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ppb\SDaten\SynologyDrive\meinFlugbuch\"/>
    </mc:Choice>
  </mc:AlternateContent>
  <xr:revisionPtr revIDLastSave="0" documentId="13_ncr:1_{55128AAB-B68B-45C0-BB6C-A49BDFE46800}" xr6:coauthVersionLast="47" xr6:coauthVersionMax="47" xr10:uidLastSave="{00000000-0000-0000-0000-000000000000}"/>
  <bookViews>
    <workbookView xWindow="12780" yWindow="90" windowWidth="38700" windowHeight="15345" xr2:uid="{00000000-000D-0000-FFFF-FFFF00000000}"/>
  </bookViews>
  <sheets>
    <sheet name="Flüge" sheetId="1" r:id="rId1"/>
    <sheet name="Übersicht" sheetId="4" r:id="rId2"/>
    <sheet name="Diverses" sheetId="5" r:id="rId3"/>
  </sheets>
  <definedNames>
    <definedName name="_xlnm._FilterDatabase" localSheetId="2" hidden="1">Diverses!$A$2:$K$64</definedName>
    <definedName name="_xlnm._FilterDatabase" localSheetId="0" hidden="1">Flüge!$A$1:$Q$2509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5" i="5" l="1"/>
  <c r="C1999" i="1"/>
  <c r="D1999" i="1"/>
  <c r="E1999" i="1"/>
  <c r="K1999" i="1"/>
  <c r="C2000" i="1"/>
  <c r="D2000" i="1"/>
  <c r="E2000" i="1"/>
  <c r="K2000" i="1"/>
  <c r="C2001" i="1"/>
  <c r="D2001" i="1"/>
  <c r="E2001" i="1"/>
  <c r="K2001" i="1"/>
  <c r="C2002" i="1"/>
  <c r="D2002" i="1"/>
  <c r="E2002" i="1"/>
  <c r="K2002" i="1"/>
  <c r="C2003" i="1"/>
  <c r="D2003" i="1"/>
  <c r="E2003" i="1"/>
  <c r="K2003" i="1"/>
  <c r="C2004" i="1"/>
  <c r="D2004" i="1"/>
  <c r="E2004" i="1"/>
  <c r="K2004" i="1"/>
  <c r="C2005" i="1"/>
  <c r="D2005" i="1"/>
  <c r="E2005" i="1"/>
  <c r="K2005" i="1"/>
  <c r="C2006" i="1"/>
  <c r="D2006" i="1"/>
  <c r="E2006" i="1"/>
  <c r="K2006" i="1"/>
  <c r="C2007" i="1"/>
  <c r="D2007" i="1"/>
  <c r="E2007" i="1"/>
  <c r="K2007" i="1"/>
  <c r="C2008" i="1"/>
  <c r="D2008" i="1"/>
  <c r="E2008" i="1"/>
  <c r="K2008" i="1"/>
  <c r="C2009" i="1"/>
  <c r="D2009" i="1"/>
  <c r="E2009" i="1"/>
  <c r="K2009" i="1"/>
  <c r="C2010" i="1"/>
  <c r="D2010" i="1"/>
  <c r="E2010" i="1"/>
  <c r="K2010" i="1"/>
  <c r="C2011" i="1"/>
  <c r="D2011" i="1"/>
  <c r="E2011" i="1"/>
  <c r="K2011" i="1"/>
  <c r="C2012" i="1"/>
  <c r="D2012" i="1"/>
  <c r="E2012" i="1"/>
  <c r="K2012" i="1"/>
  <c r="C2013" i="1"/>
  <c r="D2013" i="1"/>
  <c r="E2013" i="1"/>
  <c r="K2013" i="1"/>
  <c r="C2014" i="1"/>
  <c r="D2014" i="1"/>
  <c r="E2014" i="1"/>
  <c r="K2014" i="1"/>
  <c r="C2015" i="1"/>
  <c r="D2015" i="1"/>
  <c r="E2015" i="1"/>
  <c r="K2015" i="1"/>
  <c r="C2016" i="1"/>
  <c r="D2016" i="1"/>
  <c r="E2016" i="1"/>
  <c r="K2016" i="1"/>
  <c r="C2017" i="1"/>
  <c r="D2017" i="1"/>
  <c r="E2017" i="1"/>
  <c r="K2017" i="1"/>
  <c r="C2018" i="1"/>
  <c r="D2018" i="1"/>
  <c r="E2018" i="1"/>
  <c r="K2018" i="1"/>
  <c r="C2019" i="1"/>
  <c r="D2019" i="1"/>
  <c r="E2019" i="1"/>
  <c r="K2019" i="1"/>
  <c r="C2020" i="1"/>
  <c r="D2020" i="1"/>
  <c r="E2020" i="1"/>
  <c r="K2020" i="1"/>
  <c r="C2021" i="1"/>
  <c r="D2021" i="1"/>
  <c r="E2021" i="1"/>
  <c r="K2021" i="1"/>
  <c r="C2022" i="1"/>
  <c r="D2022" i="1"/>
  <c r="E2022" i="1"/>
  <c r="K2022" i="1"/>
  <c r="C2023" i="1"/>
  <c r="D2023" i="1"/>
  <c r="E2023" i="1"/>
  <c r="K2023" i="1"/>
  <c r="C2024" i="1"/>
  <c r="D2024" i="1"/>
  <c r="E2024" i="1"/>
  <c r="K2024" i="1"/>
  <c r="C2025" i="1"/>
  <c r="D2025" i="1"/>
  <c r="E2025" i="1"/>
  <c r="K2025" i="1"/>
  <c r="C2026" i="1"/>
  <c r="D2026" i="1"/>
  <c r="E2026" i="1"/>
  <c r="K2026" i="1"/>
  <c r="C2027" i="1"/>
  <c r="D2027" i="1"/>
  <c r="E2027" i="1"/>
  <c r="K2027" i="1"/>
  <c r="C2028" i="1"/>
  <c r="D2028" i="1"/>
  <c r="E2028" i="1"/>
  <c r="K2028" i="1"/>
  <c r="C2029" i="1"/>
  <c r="D2029" i="1"/>
  <c r="E2029" i="1"/>
  <c r="K2029" i="1"/>
  <c r="C2030" i="1"/>
  <c r="D2030" i="1"/>
  <c r="E2030" i="1"/>
  <c r="K2030" i="1"/>
  <c r="C2031" i="1"/>
  <c r="D2031" i="1"/>
  <c r="E2031" i="1"/>
  <c r="K2031" i="1"/>
  <c r="C2032" i="1"/>
  <c r="D2032" i="1"/>
  <c r="E2032" i="1"/>
  <c r="K2032" i="1"/>
  <c r="C2033" i="1"/>
  <c r="D2033" i="1"/>
  <c r="E2033" i="1"/>
  <c r="K2033" i="1"/>
  <c r="C2034" i="1"/>
  <c r="D2034" i="1"/>
  <c r="E2034" i="1"/>
  <c r="K2034" i="1"/>
  <c r="C2035" i="1"/>
  <c r="D2035" i="1"/>
  <c r="E2035" i="1"/>
  <c r="K2035" i="1"/>
  <c r="C2036" i="1"/>
  <c r="D2036" i="1"/>
  <c r="E2036" i="1"/>
  <c r="K2036" i="1"/>
  <c r="C2037" i="1"/>
  <c r="D2037" i="1"/>
  <c r="E2037" i="1"/>
  <c r="K2037" i="1"/>
  <c r="C2038" i="1"/>
  <c r="D2038" i="1"/>
  <c r="E2038" i="1"/>
  <c r="K2038" i="1"/>
  <c r="C2039" i="1"/>
  <c r="D2039" i="1"/>
  <c r="E2039" i="1"/>
  <c r="K2039" i="1"/>
  <c r="C2040" i="1"/>
  <c r="D2040" i="1"/>
  <c r="E2040" i="1"/>
  <c r="K2040" i="1"/>
  <c r="C2041" i="1"/>
  <c r="D2041" i="1"/>
  <c r="E2041" i="1"/>
  <c r="K2041" i="1"/>
  <c r="C2042" i="1"/>
  <c r="D2042" i="1"/>
  <c r="E2042" i="1"/>
  <c r="K2042" i="1"/>
  <c r="C2043" i="1"/>
  <c r="D2043" i="1"/>
  <c r="E2043" i="1"/>
  <c r="K2043" i="1"/>
  <c r="C2044" i="1"/>
  <c r="D2044" i="1"/>
  <c r="E2044" i="1"/>
  <c r="K2044" i="1"/>
  <c r="C2045" i="1"/>
  <c r="D2045" i="1"/>
  <c r="E2045" i="1"/>
  <c r="K2045" i="1"/>
  <c r="C2046" i="1"/>
  <c r="D2046" i="1"/>
  <c r="E2046" i="1"/>
  <c r="K2046" i="1"/>
  <c r="C2047" i="1"/>
  <c r="D2047" i="1"/>
  <c r="E2047" i="1"/>
  <c r="K2047" i="1"/>
  <c r="C2048" i="1"/>
  <c r="D2048" i="1"/>
  <c r="E2048" i="1"/>
  <c r="K2048" i="1"/>
  <c r="C2049" i="1"/>
  <c r="D2049" i="1"/>
  <c r="E2049" i="1"/>
  <c r="K2049" i="1"/>
  <c r="C2050" i="1"/>
  <c r="D2050" i="1"/>
  <c r="E2050" i="1"/>
  <c r="K2050" i="1"/>
  <c r="C2051" i="1"/>
  <c r="D2051" i="1"/>
  <c r="E2051" i="1"/>
  <c r="K2051" i="1"/>
  <c r="C2052" i="1"/>
  <c r="D2052" i="1"/>
  <c r="E2052" i="1"/>
  <c r="K2052" i="1"/>
  <c r="C2053" i="1"/>
  <c r="D2053" i="1"/>
  <c r="E2053" i="1"/>
  <c r="K2053" i="1"/>
  <c r="C2054" i="1"/>
  <c r="D2054" i="1"/>
  <c r="E2054" i="1"/>
  <c r="K2054" i="1"/>
  <c r="C2055" i="1"/>
  <c r="D2055" i="1"/>
  <c r="E2055" i="1"/>
  <c r="K2055" i="1"/>
  <c r="C2056" i="1"/>
  <c r="D2056" i="1"/>
  <c r="E2056" i="1"/>
  <c r="K2056" i="1"/>
  <c r="C2057" i="1"/>
  <c r="D2057" i="1"/>
  <c r="E2057" i="1"/>
  <c r="K2057" i="1"/>
  <c r="C2058" i="1"/>
  <c r="D2058" i="1"/>
  <c r="E2058" i="1"/>
  <c r="K2058" i="1"/>
  <c r="C2059" i="1"/>
  <c r="D2059" i="1"/>
  <c r="E2059" i="1"/>
  <c r="K2059" i="1"/>
  <c r="C2060" i="1"/>
  <c r="D2060" i="1"/>
  <c r="E2060" i="1"/>
  <c r="K2060" i="1"/>
  <c r="C2061" i="1"/>
  <c r="D2061" i="1"/>
  <c r="E2061" i="1"/>
  <c r="K2061" i="1"/>
  <c r="C2062" i="1"/>
  <c r="D2062" i="1"/>
  <c r="E2062" i="1"/>
  <c r="K2062" i="1"/>
  <c r="C2063" i="1"/>
  <c r="D2063" i="1"/>
  <c r="E2063" i="1"/>
  <c r="K2063" i="1"/>
  <c r="C2064" i="1"/>
  <c r="D2064" i="1"/>
  <c r="E2064" i="1"/>
  <c r="K2064" i="1"/>
  <c r="C2065" i="1"/>
  <c r="D2065" i="1"/>
  <c r="E2065" i="1"/>
  <c r="K2065" i="1"/>
  <c r="C2066" i="1"/>
  <c r="D2066" i="1"/>
  <c r="E2066" i="1"/>
  <c r="K2066" i="1"/>
  <c r="C2067" i="1"/>
  <c r="D2067" i="1"/>
  <c r="E2067" i="1"/>
  <c r="K2067" i="1"/>
  <c r="C2068" i="1"/>
  <c r="D2068" i="1"/>
  <c r="E2068" i="1"/>
  <c r="K2068" i="1"/>
  <c r="C2069" i="1"/>
  <c r="D2069" i="1"/>
  <c r="E2069" i="1"/>
  <c r="K2069" i="1"/>
  <c r="C2070" i="1"/>
  <c r="D2070" i="1"/>
  <c r="E2070" i="1"/>
  <c r="K2070" i="1"/>
  <c r="C2071" i="1"/>
  <c r="D2071" i="1"/>
  <c r="E2071" i="1"/>
  <c r="K2071" i="1"/>
  <c r="C2072" i="1"/>
  <c r="D2072" i="1"/>
  <c r="E2072" i="1"/>
  <c r="K2072" i="1"/>
  <c r="C2073" i="1"/>
  <c r="D2073" i="1"/>
  <c r="E2073" i="1"/>
  <c r="K2073" i="1"/>
  <c r="C2074" i="1"/>
  <c r="D2074" i="1"/>
  <c r="E2074" i="1"/>
  <c r="K2074" i="1"/>
  <c r="C2075" i="1"/>
  <c r="D2075" i="1"/>
  <c r="E2075" i="1"/>
  <c r="K2075" i="1"/>
  <c r="C2076" i="1"/>
  <c r="D2076" i="1"/>
  <c r="E2076" i="1"/>
  <c r="K2076" i="1"/>
  <c r="C2077" i="1"/>
  <c r="D2077" i="1"/>
  <c r="E2077" i="1"/>
  <c r="K2077" i="1"/>
  <c r="C2078" i="1"/>
  <c r="D2078" i="1"/>
  <c r="E2078" i="1"/>
  <c r="K2078" i="1"/>
  <c r="C2079" i="1"/>
  <c r="D2079" i="1"/>
  <c r="E2079" i="1"/>
  <c r="K2079" i="1"/>
  <c r="C2080" i="1"/>
  <c r="D2080" i="1"/>
  <c r="E2080" i="1"/>
  <c r="K2080" i="1"/>
  <c r="C2081" i="1"/>
  <c r="D2081" i="1"/>
  <c r="E2081" i="1"/>
  <c r="K2081" i="1"/>
  <c r="C2082" i="1"/>
  <c r="D2082" i="1"/>
  <c r="E2082" i="1"/>
  <c r="K2082" i="1"/>
  <c r="C2083" i="1"/>
  <c r="D2083" i="1"/>
  <c r="E2083" i="1"/>
  <c r="K2083" i="1"/>
  <c r="C2084" i="1"/>
  <c r="D2084" i="1"/>
  <c r="E2084" i="1"/>
  <c r="K2084" i="1"/>
  <c r="C2085" i="1"/>
  <c r="D2085" i="1"/>
  <c r="E2085" i="1"/>
  <c r="K2085" i="1"/>
  <c r="C2086" i="1"/>
  <c r="D2086" i="1"/>
  <c r="E2086" i="1"/>
  <c r="K2086" i="1"/>
  <c r="C2087" i="1"/>
  <c r="D2087" i="1"/>
  <c r="E2087" i="1"/>
  <c r="K2087" i="1"/>
  <c r="C2088" i="1"/>
  <c r="D2088" i="1"/>
  <c r="E2088" i="1"/>
  <c r="K2088" i="1"/>
  <c r="C2089" i="1"/>
  <c r="D2089" i="1"/>
  <c r="E2089" i="1"/>
  <c r="K2089" i="1"/>
  <c r="C2090" i="1"/>
  <c r="D2090" i="1"/>
  <c r="E2090" i="1"/>
  <c r="K2090" i="1"/>
  <c r="C2091" i="1"/>
  <c r="D2091" i="1"/>
  <c r="E2091" i="1"/>
  <c r="K2091" i="1"/>
  <c r="C2092" i="1"/>
  <c r="D2092" i="1"/>
  <c r="E2092" i="1"/>
  <c r="K2092" i="1"/>
  <c r="C2093" i="1"/>
  <c r="D2093" i="1"/>
  <c r="E2093" i="1"/>
  <c r="K2093" i="1"/>
  <c r="C2094" i="1"/>
  <c r="D2094" i="1"/>
  <c r="E2094" i="1"/>
  <c r="K2094" i="1"/>
  <c r="C2095" i="1"/>
  <c r="D2095" i="1"/>
  <c r="E2095" i="1"/>
  <c r="K2095" i="1"/>
  <c r="C2096" i="1"/>
  <c r="D2096" i="1"/>
  <c r="E2096" i="1"/>
  <c r="K2096" i="1"/>
  <c r="C2097" i="1"/>
  <c r="D2097" i="1"/>
  <c r="E2097" i="1"/>
  <c r="K2097" i="1"/>
  <c r="C2098" i="1"/>
  <c r="D2098" i="1"/>
  <c r="E2098" i="1"/>
  <c r="K2098" i="1"/>
  <c r="C2099" i="1"/>
  <c r="D2099" i="1"/>
  <c r="E2099" i="1"/>
  <c r="K2099" i="1"/>
  <c r="C2100" i="1"/>
  <c r="D2100" i="1"/>
  <c r="E2100" i="1"/>
  <c r="K2100" i="1"/>
  <c r="C2101" i="1"/>
  <c r="D2101" i="1"/>
  <c r="E2101" i="1"/>
  <c r="K2101" i="1"/>
  <c r="C2102" i="1"/>
  <c r="D2102" i="1"/>
  <c r="E2102" i="1"/>
  <c r="K2102" i="1"/>
  <c r="C2103" i="1"/>
  <c r="D2103" i="1"/>
  <c r="E2103" i="1"/>
  <c r="K2103" i="1"/>
  <c r="C2104" i="1"/>
  <c r="D2104" i="1"/>
  <c r="E2104" i="1"/>
  <c r="K2104" i="1"/>
  <c r="C2105" i="1"/>
  <c r="D2105" i="1"/>
  <c r="E2105" i="1"/>
  <c r="K2105" i="1"/>
  <c r="C2106" i="1"/>
  <c r="D2106" i="1"/>
  <c r="E2106" i="1"/>
  <c r="K2106" i="1"/>
  <c r="C2107" i="1"/>
  <c r="D2107" i="1"/>
  <c r="E2107" i="1"/>
  <c r="K2107" i="1"/>
  <c r="C2108" i="1"/>
  <c r="D2108" i="1"/>
  <c r="E2108" i="1"/>
  <c r="K2108" i="1"/>
  <c r="C2109" i="1"/>
  <c r="D2109" i="1"/>
  <c r="E2109" i="1"/>
  <c r="K2109" i="1"/>
  <c r="C2110" i="1"/>
  <c r="D2110" i="1"/>
  <c r="E2110" i="1"/>
  <c r="K2110" i="1"/>
  <c r="C2111" i="1"/>
  <c r="D2111" i="1"/>
  <c r="E2111" i="1"/>
  <c r="K2111" i="1"/>
  <c r="C2112" i="1"/>
  <c r="D2112" i="1"/>
  <c r="E2112" i="1"/>
  <c r="K2112" i="1"/>
  <c r="C2113" i="1"/>
  <c r="D2113" i="1"/>
  <c r="E2113" i="1"/>
  <c r="K2113" i="1"/>
  <c r="C2114" i="1"/>
  <c r="D2114" i="1"/>
  <c r="E2114" i="1"/>
  <c r="K2114" i="1"/>
  <c r="C2115" i="1"/>
  <c r="D2115" i="1"/>
  <c r="E2115" i="1"/>
  <c r="K2115" i="1"/>
  <c r="C2116" i="1"/>
  <c r="D2116" i="1"/>
  <c r="E2116" i="1"/>
  <c r="K2116" i="1"/>
  <c r="C2117" i="1"/>
  <c r="D2117" i="1"/>
  <c r="E2117" i="1"/>
  <c r="K2117" i="1"/>
  <c r="C2118" i="1"/>
  <c r="D2118" i="1"/>
  <c r="E2118" i="1"/>
  <c r="K2118" i="1"/>
  <c r="C2119" i="1"/>
  <c r="D2119" i="1"/>
  <c r="E2119" i="1"/>
  <c r="K2119" i="1"/>
  <c r="C2120" i="1"/>
  <c r="D2120" i="1"/>
  <c r="E2120" i="1"/>
  <c r="K2120" i="1"/>
  <c r="C2121" i="1"/>
  <c r="D2121" i="1"/>
  <c r="E2121" i="1"/>
  <c r="K2121" i="1"/>
  <c r="C2122" i="1"/>
  <c r="D2122" i="1"/>
  <c r="E2122" i="1"/>
  <c r="K2122" i="1"/>
  <c r="C2123" i="1"/>
  <c r="D2123" i="1"/>
  <c r="E2123" i="1"/>
  <c r="K2123" i="1"/>
  <c r="C2124" i="1"/>
  <c r="D2124" i="1"/>
  <c r="E2124" i="1"/>
  <c r="K2124" i="1"/>
  <c r="C2125" i="1"/>
  <c r="D2125" i="1"/>
  <c r="E2125" i="1"/>
  <c r="K2125" i="1"/>
  <c r="C2126" i="1"/>
  <c r="D2126" i="1"/>
  <c r="E2126" i="1"/>
  <c r="K2126" i="1"/>
  <c r="C2127" i="1"/>
  <c r="D2127" i="1"/>
  <c r="E2127" i="1"/>
  <c r="K2127" i="1"/>
  <c r="C2128" i="1"/>
  <c r="D2128" i="1"/>
  <c r="E2128" i="1"/>
  <c r="K2128" i="1"/>
  <c r="C2129" i="1"/>
  <c r="D2129" i="1"/>
  <c r="E2129" i="1"/>
  <c r="K2129" i="1"/>
  <c r="C2130" i="1"/>
  <c r="D2130" i="1"/>
  <c r="E2130" i="1"/>
  <c r="K2130" i="1"/>
  <c r="C2131" i="1"/>
  <c r="D2131" i="1"/>
  <c r="E2131" i="1"/>
  <c r="K2131" i="1"/>
  <c r="C2132" i="1"/>
  <c r="D2132" i="1"/>
  <c r="E2132" i="1"/>
  <c r="K2132" i="1"/>
  <c r="C2133" i="1"/>
  <c r="D2133" i="1"/>
  <c r="E2133" i="1"/>
  <c r="K2133" i="1"/>
  <c r="C2134" i="1"/>
  <c r="D2134" i="1"/>
  <c r="E2134" i="1"/>
  <c r="K2134" i="1"/>
  <c r="C2135" i="1"/>
  <c r="D2135" i="1"/>
  <c r="E2135" i="1"/>
  <c r="K2135" i="1"/>
  <c r="C2136" i="1"/>
  <c r="D2136" i="1"/>
  <c r="E2136" i="1"/>
  <c r="K2136" i="1"/>
  <c r="C2137" i="1"/>
  <c r="D2137" i="1"/>
  <c r="E2137" i="1"/>
  <c r="K2137" i="1"/>
  <c r="C2138" i="1"/>
  <c r="D2138" i="1"/>
  <c r="E2138" i="1"/>
  <c r="K2138" i="1"/>
  <c r="C2139" i="1"/>
  <c r="D2139" i="1"/>
  <c r="E2139" i="1"/>
  <c r="K2139" i="1"/>
  <c r="C2140" i="1"/>
  <c r="D2140" i="1"/>
  <c r="E2140" i="1"/>
  <c r="K2140" i="1"/>
  <c r="C2141" i="1"/>
  <c r="D2141" i="1"/>
  <c r="E2141" i="1"/>
  <c r="K2141" i="1"/>
  <c r="C2142" i="1"/>
  <c r="D2142" i="1"/>
  <c r="E2142" i="1"/>
  <c r="K2142" i="1"/>
  <c r="C2143" i="1"/>
  <c r="D2143" i="1"/>
  <c r="E2143" i="1"/>
  <c r="K2143" i="1"/>
  <c r="C2144" i="1"/>
  <c r="D2144" i="1"/>
  <c r="E2144" i="1"/>
  <c r="K2144" i="1"/>
  <c r="C2145" i="1"/>
  <c r="D2145" i="1"/>
  <c r="E2145" i="1"/>
  <c r="K2145" i="1"/>
  <c r="C2146" i="1"/>
  <c r="D2146" i="1"/>
  <c r="E2146" i="1"/>
  <c r="K2146" i="1"/>
  <c r="C2147" i="1"/>
  <c r="D2147" i="1"/>
  <c r="E2147" i="1"/>
  <c r="K2147" i="1"/>
  <c r="C2148" i="1"/>
  <c r="D2148" i="1"/>
  <c r="E2148" i="1"/>
  <c r="K2148" i="1"/>
  <c r="C2149" i="1"/>
  <c r="D2149" i="1"/>
  <c r="E2149" i="1"/>
  <c r="K2149" i="1"/>
  <c r="C2150" i="1"/>
  <c r="D2150" i="1"/>
  <c r="E2150" i="1"/>
  <c r="K2150" i="1"/>
  <c r="C2151" i="1"/>
  <c r="D2151" i="1"/>
  <c r="E2151" i="1"/>
  <c r="K2151" i="1"/>
  <c r="C2152" i="1"/>
  <c r="D2152" i="1"/>
  <c r="E2152" i="1"/>
  <c r="K2152" i="1"/>
  <c r="C2153" i="1"/>
  <c r="D2153" i="1"/>
  <c r="E2153" i="1"/>
  <c r="K2153" i="1"/>
  <c r="C2154" i="1"/>
  <c r="D2154" i="1"/>
  <c r="E2154" i="1"/>
  <c r="K2154" i="1"/>
  <c r="C2155" i="1"/>
  <c r="D2155" i="1"/>
  <c r="E2155" i="1"/>
  <c r="K2155" i="1"/>
  <c r="C2156" i="1"/>
  <c r="D2156" i="1"/>
  <c r="E2156" i="1"/>
  <c r="K2156" i="1"/>
  <c r="C2157" i="1"/>
  <c r="D2157" i="1"/>
  <c r="E2157" i="1"/>
  <c r="K2157" i="1"/>
  <c r="C2158" i="1"/>
  <c r="D2158" i="1"/>
  <c r="E2158" i="1"/>
  <c r="K2158" i="1"/>
  <c r="C2159" i="1"/>
  <c r="D2159" i="1"/>
  <c r="E2159" i="1"/>
  <c r="K2159" i="1"/>
  <c r="C2160" i="1"/>
  <c r="D2160" i="1"/>
  <c r="E2160" i="1"/>
  <c r="K2160" i="1"/>
  <c r="C2161" i="1"/>
  <c r="D2161" i="1"/>
  <c r="E2161" i="1"/>
  <c r="K2161" i="1"/>
  <c r="C2162" i="1"/>
  <c r="D2162" i="1"/>
  <c r="E2162" i="1"/>
  <c r="K2162" i="1"/>
  <c r="C2163" i="1"/>
  <c r="D2163" i="1"/>
  <c r="E2163" i="1"/>
  <c r="K2163" i="1"/>
  <c r="C2164" i="1"/>
  <c r="D2164" i="1"/>
  <c r="E2164" i="1"/>
  <c r="K2164" i="1"/>
  <c r="C2165" i="1"/>
  <c r="D2165" i="1"/>
  <c r="E2165" i="1"/>
  <c r="K2165" i="1"/>
  <c r="C2166" i="1"/>
  <c r="D2166" i="1"/>
  <c r="E2166" i="1"/>
  <c r="K2166" i="1"/>
  <c r="C2167" i="1"/>
  <c r="D2167" i="1"/>
  <c r="E2167" i="1"/>
  <c r="K2167" i="1"/>
  <c r="C2168" i="1"/>
  <c r="D2168" i="1"/>
  <c r="E2168" i="1"/>
  <c r="K2168" i="1"/>
  <c r="C2169" i="1"/>
  <c r="D2169" i="1"/>
  <c r="E2169" i="1"/>
  <c r="K2169" i="1"/>
  <c r="C2170" i="1"/>
  <c r="D2170" i="1"/>
  <c r="E2170" i="1"/>
  <c r="K2170" i="1"/>
  <c r="C2171" i="1"/>
  <c r="D2171" i="1"/>
  <c r="E2171" i="1"/>
  <c r="K2171" i="1"/>
  <c r="C2172" i="1"/>
  <c r="D2172" i="1"/>
  <c r="E2172" i="1"/>
  <c r="K2172" i="1"/>
  <c r="C2173" i="1"/>
  <c r="D2173" i="1"/>
  <c r="E2173" i="1"/>
  <c r="K2173" i="1"/>
  <c r="C2174" i="1"/>
  <c r="D2174" i="1"/>
  <c r="E2174" i="1"/>
  <c r="K2174" i="1"/>
  <c r="C2175" i="1"/>
  <c r="D2175" i="1"/>
  <c r="E2175" i="1"/>
  <c r="K2175" i="1"/>
  <c r="C2176" i="1"/>
  <c r="D2176" i="1"/>
  <c r="E2176" i="1"/>
  <c r="K2176" i="1"/>
  <c r="C2177" i="1"/>
  <c r="D2177" i="1"/>
  <c r="E2177" i="1"/>
  <c r="K2177" i="1"/>
  <c r="C2178" i="1"/>
  <c r="D2178" i="1"/>
  <c r="E2178" i="1"/>
  <c r="K2178" i="1"/>
  <c r="C2179" i="1"/>
  <c r="D2179" i="1"/>
  <c r="E2179" i="1"/>
  <c r="K2179" i="1"/>
  <c r="C2180" i="1"/>
  <c r="D2180" i="1"/>
  <c r="E2180" i="1"/>
  <c r="K2180" i="1"/>
  <c r="C2181" i="1"/>
  <c r="D2181" i="1"/>
  <c r="E2181" i="1"/>
  <c r="K2181" i="1"/>
  <c r="C2182" i="1"/>
  <c r="D2182" i="1"/>
  <c r="E2182" i="1"/>
  <c r="K2182" i="1"/>
  <c r="C2183" i="1"/>
  <c r="D2183" i="1"/>
  <c r="E2183" i="1"/>
  <c r="K2183" i="1"/>
  <c r="C2184" i="1"/>
  <c r="D2184" i="1"/>
  <c r="E2184" i="1"/>
  <c r="K2184" i="1"/>
  <c r="C2185" i="1"/>
  <c r="D2185" i="1"/>
  <c r="E2185" i="1"/>
  <c r="K2185" i="1"/>
  <c r="C2186" i="1"/>
  <c r="D2186" i="1"/>
  <c r="E2186" i="1"/>
  <c r="K2186" i="1"/>
  <c r="C2187" i="1"/>
  <c r="D2187" i="1"/>
  <c r="E2187" i="1"/>
  <c r="K2187" i="1"/>
  <c r="C2188" i="1"/>
  <c r="D2188" i="1"/>
  <c r="E2188" i="1"/>
  <c r="K2188" i="1"/>
  <c r="C2189" i="1"/>
  <c r="D2189" i="1"/>
  <c r="E2189" i="1"/>
  <c r="K2189" i="1"/>
  <c r="C2190" i="1"/>
  <c r="D2190" i="1"/>
  <c r="E2190" i="1"/>
  <c r="K2190" i="1"/>
  <c r="C2191" i="1"/>
  <c r="D2191" i="1"/>
  <c r="E2191" i="1"/>
  <c r="K2191" i="1"/>
  <c r="C2192" i="1"/>
  <c r="D2192" i="1"/>
  <c r="E2192" i="1"/>
  <c r="K2192" i="1"/>
  <c r="C2193" i="1"/>
  <c r="D2193" i="1"/>
  <c r="E2193" i="1"/>
  <c r="K2193" i="1"/>
  <c r="C2194" i="1"/>
  <c r="D2194" i="1"/>
  <c r="E2194" i="1"/>
  <c r="K2194" i="1"/>
  <c r="C2195" i="1"/>
  <c r="D2195" i="1"/>
  <c r="E2195" i="1"/>
  <c r="K2195" i="1"/>
  <c r="C2196" i="1"/>
  <c r="D2196" i="1"/>
  <c r="E2196" i="1"/>
  <c r="K2196" i="1"/>
  <c r="C2197" i="1"/>
  <c r="D2197" i="1"/>
  <c r="E2197" i="1"/>
  <c r="K2197" i="1"/>
  <c r="C2198" i="1"/>
  <c r="D2198" i="1"/>
  <c r="E2198" i="1"/>
  <c r="K2198" i="1"/>
  <c r="C2199" i="1"/>
  <c r="D2199" i="1"/>
  <c r="E2199" i="1"/>
  <c r="K2199" i="1"/>
  <c r="C2200" i="1"/>
  <c r="D2200" i="1"/>
  <c r="E2200" i="1"/>
  <c r="K2200" i="1"/>
  <c r="C2201" i="1"/>
  <c r="D2201" i="1"/>
  <c r="E2201" i="1"/>
  <c r="K2201" i="1"/>
  <c r="C2202" i="1"/>
  <c r="D2202" i="1"/>
  <c r="E2202" i="1"/>
  <c r="K2202" i="1"/>
  <c r="C2203" i="1"/>
  <c r="D2203" i="1"/>
  <c r="E2203" i="1"/>
  <c r="K2203" i="1"/>
  <c r="C2204" i="1"/>
  <c r="D2204" i="1"/>
  <c r="E2204" i="1"/>
  <c r="K2204" i="1"/>
  <c r="C2205" i="1"/>
  <c r="D2205" i="1"/>
  <c r="E2205" i="1"/>
  <c r="K2205" i="1"/>
  <c r="C2206" i="1"/>
  <c r="D2206" i="1"/>
  <c r="E2206" i="1"/>
  <c r="K2206" i="1"/>
  <c r="C2207" i="1"/>
  <c r="D2207" i="1"/>
  <c r="E2207" i="1"/>
  <c r="K2207" i="1"/>
  <c r="C2208" i="1"/>
  <c r="D2208" i="1"/>
  <c r="E2208" i="1"/>
  <c r="K2208" i="1"/>
  <c r="C2209" i="1"/>
  <c r="D2209" i="1"/>
  <c r="E2209" i="1"/>
  <c r="K2209" i="1"/>
  <c r="C2210" i="1"/>
  <c r="D2210" i="1"/>
  <c r="E2210" i="1"/>
  <c r="K2210" i="1"/>
  <c r="C2211" i="1"/>
  <c r="D2211" i="1"/>
  <c r="E2211" i="1"/>
  <c r="K2211" i="1"/>
  <c r="C2212" i="1"/>
  <c r="D2212" i="1"/>
  <c r="E2212" i="1"/>
  <c r="K2212" i="1"/>
  <c r="C2213" i="1"/>
  <c r="D2213" i="1"/>
  <c r="E2213" i="1"/>
  <c r="K2213" i="1"/>
  <c r="C2214" i="1"/>
  <c r="D2214" i="1"/>
  <c r="E2214" i="1"/>
  <c r="K2214" i="1"/>
  <c r="C2215" i="1"/>
  <c r="D2215" i="1"/>
  <c r="E2215" i="1"/>
  <c r="K2215" i="1"/>
  <c r="C2216" i="1"/>
  <c r="D2216" i="1"/>
  <c r="E2216" i="1"/>
  <c r="K2216" i="1"/>
  <c r="C2217" i="1"/>
  <c r="D2217" i="1"/>
  <c r="E2217" i="1"/>
  <c r="K2217" i="1"/>
  <c r="C2218" i="1"/>
  <c r="D2218" i="1"/>
  <c r="E2218" i="1"/>
  <c r="K2218" i="1"/>
  <c r="C2219" i="1"/>
  <c r="D2219" i="1"/>
  <c r="E2219" i="1"/>
  <c r="K2219" i="1"/>
  <c r="C2220" i="1"/>
  <c r="D2220" i="1"/>
  <c r="E2220" i="1"/>
  <c r="K2220" i="1"/>
  <c r="C2221" i="1"/>
  <c r="D2221" i="1"/>
  <c r="E2221" i="1"/>
  <c r="K2221" i="1"/>
  <c r="C2222" i="1"/>
  <c r="D2222" i="1"/>
  <c r="E2222" i="1"/>
  <c r="K2222" i="1"/>
  <c r="C2223" i="1"/>
  <c r="D2223" i="1"/>
  <c r="E2223" i="1"/>
  <c r="K2223" i="1"/>
  <c r="C2224" i="1"/>
  <c r="D2224" i="1"/>
  <c r="E2224" i="1"/>
  <c r="K2224" i="1"/>
  <c r="C2225" i="1"/>
  <c r="D2225" i="1"/>
  <c r="E2225" i="1"/>
  <c r="K2225" i="1"/>
  <c r="C2226" i="1"/>
  <c r="D2226" i="1"/>
  <c r="E2226" i="1"/>
  <c r="K2226" i="1"/>
  <c r="C2227" i="1"/>
  <c r="D2227" i="1"/>
  <c r="E2227" i="1"/>
  <c r="K2227" i="1"/>
  <c r="C2228" i="1"/>
  <c r="D2228" i="1"/>
  <c r="E2228" i="1"/>
  <c r="K2228" i="1"/>
  <c r="C2229" i="1"/>
  <c r="D2229" i="1"/>
  <c r="E2229" i="1"/>
  <c r="K2229" i="1"/>
  <c r="C2230" i="1"/>
  <c r="D2230" i="1"/>
  <c r="E2230" i="1"/>
  <c r="K2230" i="1"/>
  <c r="C2231" i="1"/>
  <c r="D2231" i="1"/>
  <c r="E2231" i="1"/>
  <c r="K2231" i="1"/>
  <c r="C2232" i="1"/>
  <c r="D2232" i="1"/>
  <c r="E2232" i="1"/>
  <c r="K2232" i="1"/>
  <c r="C2233" i="1"/>
  <c r="D2233" i="1"/>
  <c r="E2233" i="1"/>
  <c r="K2233" i="1"/>
  <c r="C2234" i="1"/>
  <c r="D2234" i="1"/>
  <c r="E2234" i="1"/>
  <c r="K2234" i="1"/>
  <c r="C2235" i="1"/>
  <c r="D2235" i="1"/>
  <c r="E2235" i="1"/>
  <c r="K2235" i="1"/>
  <c r="C2236" i="1"/>
  <c r="D2236" i="1"/>
  <c r="E2236" i="1"/>
  <c r="K2236" i="1"/>
  <c r="C2237" i="1"/>
  <c r="D2237" i="1"/>
  <c r="E2237" i="1"/>
  <c r="K2237" i="1"/>
  <c r="C2238" i="1"/>
  <c r="D2238" i="1"/>
  <c r="E2238" i="1"/>
  <c r="K2238" i="1"/>
  <c r="C2239" i="1"/>
  <c r="D2239" i="1"/>
  <c r="E2239" i="1"/>
  <c r="K2239" i="1"/>
  <c r="C2240" i="1"/>
  <c r="D2240" i="1"/>
  <c r="E2240" i="1"/>
  <c r="K2240" i="1"/>
  <c r="C2241" i="1"/>
  <c r="D2241" i="1"/>
  <c r="E2241" i="1"/>
  <c r="K2241" i="1"/>
  <c r="C2242" i="1"/>
  <c r="D2242" i="1"/>
  <c r="E2242" i="1"/>
  <c r="K2242" i="1"/>
  <c r="C2243" i="1"/>
  <c r="D2243" i="1"/>
  <c r="E2243" i="1"/>
  <c r="K2243" i="1"/>
  <c r="C2244" i="1"/>
  <c r="D2244" i="1"/>
  <c r="E2244" i="1"/>
  <c r="K2244" i="1"/>
  <c r="C2245" i="1"/>
  <c r="D2245" i="1"/>
  <c r="E2245" i="1"/>
  <c r="K2245" i="1"/>
  <c r="C2246" i="1"/>
  <c r="D2246" i="1"/>
  <c r="E2246" i="1"/>
  <c r="K2246" i="1"/>
  <c r="C2247" i="1"/>
  <c r="D2247" i="1"/>
  <c r="E2247" i="1"/>
  <c r="K2247" i="1"/>
  <c r="C2248" i="1"/>
  <c r="D2248" i="1"/>
  <c r="E2248" i="1"/>
  <c r="K2248" i="1"/>
  <c r="C2249" i="1"/>
  <c r="D2249" i="1"/>
  <c r="E2249" i="1"/>
  <c r="K2249" i="1"/>
  <c r="C2250" i="1"/>
  <c r="D2250" i="1"/>
  <c r="E2250" i="1"/>
  <c r="K2250" i="1"/>
  <c r="C2251" i="1"/>
  <c r="D2251" i="1"/>
  <c r="E2251" i="1"/>
  <c r="K2251" i="1"/>
  <c r="C2252" i="1"/>
  <c r="D2252" i="1"/>
  <c r="E2252" i="1"/>
  <c r="K2252" i="1"/>
  <c r="C2253" i="1"/>
  <c r="D2253" i="1"/>
  <c r="E2253" i="1"/>
  <c r="K2253" i="1"/>
  <c r="C2254" i="1"/>
  <c r="D2254" i="1"/>
  <c r="E2254" i="1"/>
  <c r="K2254" i="1"/>
  <c r="C2255" i="1"/>
  <c r="D2255" i="1"/>
  <c r="E2255" i="1"/>
  <c r="K2255" i="1"/>
  <c r="C2256" i="1"/>
  <c r="D2256" i="1"/>
  <c r="E2256" i="1"/>
  <c r="K2256" i="1"/>
  <c r="C2257" i="1"/>
  <c r="D2257" i="1"/>
  <c r="E2257" i="1"/>
  <c r="K2257" i="1"/>
  <c r="C2258" i="1"/>
  <c r="D2258" i="1"/>
  <c r="E2258" i="1"/>
  <c r="K2258" i="1"/>
  <c r="C2259" i="1"/>
  <c r="D2259" i="1"/>
  <c r="E2259" i="1"/>
  <c r="K2259" i="1"/>
  <c r="C2260" i="1"/>
  <c r="D2260" i="1"/>
  <c r="E2260" i="1"/>
  <c r="K2260" i="1"/>
  <c r="C2261" i="1"/>
  <c r="D2261" i="1"/>
  <c r="E2261" i="1"/>
  <c r="K2261" i="1"/>
  <c r="C2262" i="1"/>
  <c r="D2262" i="1"/>
  <c r="E2262" i="1"/>
  <c r="K2262" i="1"/>
  <c r="C2263" i="1"/>
  <c r="D2263" i="1"/>
  <c r="E2263" i="1"/>
  <c r="K2263" i="1"/>
  <c r="C2264" i="1"/>
  <c r="D2264" i="1"/>
  <c r="E2264" i="1"/>
  <c r="K2264" i="1"/>
  <c r="C2265" i="1"/>
  <c r="D2265" i="1"/>
  <c r="E2265" i="1"/>
  <c r="K2265" i="1"/>
  <c r="C2266" i="1"/>
  <c r="D2266" i="1"/>
  <c r="E2266" i="1"/>
  <c r="K2266" i="1"/>
  <c r="C2267" i="1"/>
  <c r="D2267" i="1"/>
  <c r="E2267" i="1"/>
  <c r="K2267" i="1"/>
  <c r="C2268" i="1"/>
  <c r="D2268" i="1"/>
  <c r="E2268" i="1"/>
  <c r="K2268" i="1"/>
  <c r="C2269" i="1"/>
  <c r="D2269" i="1"/>
  <c r="E2269" i="1"/>
  <c r="K2269" i="1"/>
  <c r="C2270" i="1"/>
  <c r="D2270" i="1"/>
  <c r="E2270" i="1"/>
  <c r="K2270" i="1"/>
  <c r="C2271" i="1"/>
  <c r="D2271" i="1"/>
  <c r="E2271" i="1"/>
  <c r="K2271" i="1"/>
  <c r="C2272" i="1"/>
  <c r="D2272" i="1"/>
  <c r="E2272" i="1"/>
  <c r="K2272" i="1"/>
  <c r="C2273" i="1"/>
  <c r="D2273" i="1"/>
  <c r="E2273" i="1"/>
  <c r="K2273" i="1"/>
  <c r="C2274" i="1"/>
  <c r="D2274" i="1"/>
  <c r="E2274" i="1"/>
  <c r="K2274" i="1"/>
  <c r="C2275" i="1"/>
  <c r="D2275" i="1"/>
  <c r="E2275" i="1"/>
  <c r="K2275" i="1"/>
  <c r="C2276" i="1"/>
  <c r="D2276" i="1"/>
  <c r="E2276" i="1"/>
  <c r="K2276" i="1"/>
  <c r="C2277" i="1"/>
  <c r="D2277" i="1"/>
  <c r="E2277" i="1"/>
  <c r="K2277" i="1"/>
  <c r="C2278" i="1"/>
  <c r="D2278" i="1"/>
  <c r="E2278" i="1"/>
  <c r="K2278" i="1"/>
  <c r="C2279" i="1"/>
  <c r="D2279" i="1"/>
  <c r="E2279" i="1"/>
  <c r="K2279" i="1"/>
  <c r="C2280" i="1"/>
  <c r="D2280" i="1"/>
  <c r="E2280" i="1"/>
  <c r="K2280" i="1"/>
  <c r="C2281" i="1"/>
  <c r="D2281" i="1"/>
  <c r="E2281" i="1"/>
  <c r="K2281" i="1"/>
  <c r="C2282" i="1"/>
  <c r="D2282" i="1"/>
  <c r="E2282" i="1"/>
  <c r="K2282" i="1"/>
  <c r="C2283" i="1"/>
  <c r="D2283" i="1"/>
  <c r="E2283" i="1"/>
  <c r="K2283" i="1"/>
  <c r="C2284" i="1"/>
  <c r="D2284" i="1"/>
  <c r="E2284" i="1"/>
  <c r="K2284" i="1"/>
  <c r="C2285" i="1"/>
  <c r="D2285" i="1"/>
  <c r="E2285" i="1"/>
  <c r="K2285" i="1"/>
  <c r="C2286" i="1"/>
  <c r="D2286" i="1"/>
  <c r="E2286" i="1"/>
  <c r="K2286" i="1"/>
  <c r="C2287" i="1"/>
  <c r="D2287" i="1"/>
  <c r="E2287" i="1"/>
  <c r="K2287" i="1"/>
  <c r="C2288" i="1"/>
  <c r="D2288" i="1"/>
  <c r="E2288" i="1"/>
  <c r="K2288" i="1"/>
  <c r="C2289" i="1"/>
  <c r="D2289" i="1"/>
  <c r="E2289" i="1"/>
  <c r="K2289" i="1"/>
  <c r="C2290" i="1"/>
  <c r="D2290" i="1"/>
  <c r="E2290" i="1"/>
  <c r="K2290" i="1"/>
  <c r="C2291" i="1"/>
  <c r="D2291" i="1"/>
  <c r="E2291" i="1"/>
  <c r="K2291" i="1"/>
  <c r="C2292" i="1"/>
  <c r="D2292" i="1"/>
  <c r="E2292" i="1"/>
  <c r="K2292" i="1"/>
  <c r="C2293" i="1"/>
  <c r="D2293" i="1"/>
  <c r="E2293" i="1"/>
  <c r="K2293" i="1"/>
  <c r="C2294" i="1"/>
  <c r="D2294" i="1"/>
  <c r="E2294" i="1"/>
  <c r="K2294" i="1"/>
  <c r="C2295" i="1"/>
  <c r="D2295" i="1"/>
  <c r="E2295" i="1"/>
  <c r="K2295" i="1"/>
  <c r="C2296" i="1"/>
  <c r="D2296" i="1"/>
  <c r="E2296" i="1"/>
  <c r="K2296" i="1"/>
  <c r="C2297" i="1"/>
  <c r="D2297" i="1"/>
  <c r="E2297" i="1"/>
  <c r="K2297" i="1"/>
  <c r="C2298" i="1"/>
  <c r="D2298" i="1"/>
  <c r="E2298" i="1"/>
  <c r="K2298" i="1"/>
  <c r="C2299" i="1"/>
  <c r="D2299" i="1"/>
  <c r="E2299" i="1"/>
  <c r="K2299" i="1"/>
  <c r="C2300" i="1"/>
  <c r="D2300" i="1"/>
  <c r="E2300" i="1"/>
  <c r="K2300" i="1"/>
  <c r="C2301" i="1"/>
  <c r="D2301" i="1"/>
  <c r="E2301" i="1"/>
  <c r="K2301" i="1"/>
  <c r="C2302" i="1"/>
  <c r="D2302" i="1"/>
  <c r="E2302" i="1"/>
  <c r="K2302" i="1"/>
  <c r="C2303" i="1"/>
  <c r="D2303" i="1"/>
  <c r="E2303" i="1"/>
  <c r="K2303" i="1"/>
  <c r="C2304" i="1"/>
  <c r="D2304" i="1"/>
  <c r="E2304" i="1"/>
  <c r="K2304" i="1"/>
  <c r="C2305" i="1"/>
  <c r="D2305" i="1"/>
  <c r="E2305" i="1"/>
  <c r="K2305" i="1"/>
  <c r="C2306" i="1"/>
  <c r="D2306" i="1"/>
  <c r="E2306" i="1"/>
  <c r="K2306" i="1"/>
  <c r="C2307" i="1"/>
  <c r="D2307" i="1"/>
  <c r="E2307" i="1"/>
  <c r="K2307" i="1"/>
  <c r="C2308" i="1"/>
  <c r="D2308" i="1"/>
  <c r="E2308" i="1"/>
  <c r="K2308" i="1"/>
  <c r="C2309" i="1"/>
  <c r="D2309" i="1"/>
  <c r="E2309" i="1"/>
  <c r="K2309" i="1"/>
  <c r="C2310" i="1"/>
  <c r="D2310" i="1"/>
  <c r="E2310" i="1"/>
  <c r="K2310" i="1"/>
  <c r="C2311" i="1"/>
  <c r="D2311" i="1"/>
  <c r="E2311" i="1"/>
  <c r="K2311" i="1"/>
  <c r="C2312" i="1"/>
  <c r="D2312" i="1"/>
  <c r="E2312" i="1"/>
  <c r="K2312" i="1"/>
  <c r="C2313" i="1"/>
  <c r="D2313" i="1"/>
  <c r="E2313" i="1"/>
  <c r="K2313" i="1"/>
  <c r="C2314" i="1"/>
  <c r="D2314" i="1"/>
  <c r="E2314" i="1"/>
  <c r="K2314" i="1"/>
  <c r="C2315" i="1"/>
  <c r="D2315" i="1"/>
  <c r="E2315" i="1"/>
  <c r="K2315" i="1"/>
  <c r="C2316" i="1"/>
  <c r="D2316" i="1"/>
  <c r="E2316" i="1"/>
  <c r="K2316" i="1"/>
  <c r="C2317" i="1"/>
  <c r="D2317" i="1"/>
  <c r="E2317" i="1"/>
  <c r="K2317" i="1"/>
  <c r="C2318" i="1"/>
  <c r="D2318" i="1"/>
  <c r="E2318" i="1"/>
  <c r="K2318" i="1"/>
  <c r="C2319" i="1"/>
  <c r="D2319" i="1"/>
  <c r="E2319" i="1"/>
  <c r="K2319" i="1"/>
  <c r="C2320" i="1"/>
  <c r="D2320" i="1"/>
  <c r="E2320" i="1"/>
  <c r="K2320" i="1"/>
  <c r="C2321" i="1"/>
  <c r="D2321" i="1"/>
  <c r="E2321" i="1"/>
  <c r="K2321" i="1"/>
  <c r="C2322" i="1"/>
  <c r="D2322" i="1"/>
  <c r="E2322" i="1"/>
  <c r="K2322" i="1"/>
  <c r="C2323" i="1"/>
  <c r="D2323" i="1"/>
  <c r="E2323" i="1"/>
  <c r="K2323" i="1"/>
  <c r="C2324" i="1"/>
  <c r="D2324" i="1"/>
  <c r="E2324" i="1"/>
  <c r="K2324" i="1"/>
  <c r="C2325" i="1"/>
  <c r="D2325" i="1"/>
  <c r="E2325" i="1"/>
  <c r="K2325" i="1"/>
  <c r="C2326" i="1"/>
  <c r="D2326" i="1"/>
  <c r="E2326" i="1"/>
  <c r="K2326" i="1"/>
  <c r="C2327" i="1"/>
  <c r="D2327" i="1"/>
  <c r="E2327" i="1"/>
  <c r="K2327" i="1"/>
  <c r="C2328" i="1"/>
  <c r="D2328" i="1"/>
  <c r="E2328" i="1"/>
  <c r="K2328" i="1"/>
  <c r="C2329" i="1"/>
  <c r="D2329" i="1"/>
  <c r="E2329" i="1"/>
  <c r="K2329" i="1"/>
  <c r="C2330" i="1"/>
  <c r="D2330" i="1"/>
  <c r="E2330" i="1"/>
  <c r="K2330" i="1"/>
  <c r="C2331" i="1"/>
  <c r="D2331" i="1"/>
  <c r="E2331" i="1"/>
  <c r="K2331" i="1"/>
  <c r="C2332" i="1"/>
  <c r="D2332" i="1"/>
  <c r="E2332" i="1"/>
  <c r="K2332" i="1"/>
  <c r="C2333" i="1"/>
  <c r="D2333" i="1"/>
  <c r="E2333" i="1"/>
  <c r="K2333" i="1"/>
  <c r="C2334" i="1"/>
  <c r="D2334" i="1"/>
  <c r="E2334" i="1"/>
  <c r="K2334" i="1"/>
  <c r="C2335" i="1"/>
  <c r="D2335" i="1"/>
  <c r="E2335" i="1"/>
  <c r="K2335" i="1"/>
  <c r="C2336" i="1"/>
  <c r="D2336" i="1"/>
  <c r="E2336" i="1"/>
  <c r="K2336" i="1"/>
  <c r="C2337" i="1"/>
  <c r="D2337" i="1"/>
  <c r="E2337" i="1"/>
  <c r="K2337" i="1"/>
  <c r="C2338" i="1"/>
  <c r="D2338" i="1"/>
  <c r="E2338" i="1"/>
  <c r="K2338" i="1"/>
  <c r="C2339" i="1"/>
  <c r="D2339" i="1"/>
  <c r="E2339" i="1"/>
  <c r="K2339" i="1"/>
  <c r="C2340" i="1"/>
  <c r="D2340" i="1"/>
  <c r="E2340" i="1"/>
  <c r="K2340" i="1"/>
  <c r="C2341" i="1"/>
  <c r="D2341" i="1"/>
  <c r="E2341" i="1"/>
  <c r="K2341" i="1"/>
  <c r="C2342" i="1"/>
  <c r="D2342" i="1"/>
  <c r="E2342" i="1"/>
  <c r="K2342" i="1"/>
  <c r="C2343" i="1"/>
  <c r="D2343" i="1"/>
  <c r="E2343" i="1"/>
  <c r="K2343" i="1"/>
  <c r="C2344" i="1"/>
  <c r="D2344" i="1"/>
  <c r="E2344" i="1"/>
  <c r="K2344" i="1"/>
  <c r="C2345" i="1"/>
  <c r="D2345" i="1"/>
  <c r="E2345" i="1"/>
  <c r="K2345" i="1"/>
  <c r="C2346" i="1"/>
  <c r="D2346" i="1"/>
  <c r="E2346" i="1"/>
  <c r="K2346" i="1"/>
  <c r="C2347" i="1"/>
  <c r="D2347" i="1"/>
  <c r="E2347" i="1"/>
  <c r="K2347" i="1"/>
  <c r="C2348" i="1"/>
  <c r="D2348" i="1"/>
  <c r="E2348" i="1"/>
  <c r="K2348" i="1"/>
  <c r="C2349" i="1"/>
  <c r="D2349" i="1"/>
  <c r="E2349" i="1"/>
  <c r="K2349" i="1"/>
  <c r="C2350" i="1"/>
  <c r="D2350" i="1"/>
  <c r="E2350" i="1"/>
  <c r="K2350" i="1"/>
  <c r="C2351" i="1"/>
  <c r="D2351" i="1"/>
  <c r="E2351" i="1"/>
  <c r="K2351" i="1"/>
  <c r="C2352" i="1"/>
  <c r="D2352" i="1"/>
  <c r="E2352" i="1"/>
  <c r="K2352" i="1"/>
  <c r="C2353" i="1"/>
  <c r="D2353" i="1"/>
  <c r="E2353" i="1"/>
  <c r="K2353" i="1"/>
  <c r="C2354" i="1"/>
  <c r="D2354" i="1"/>
  <c r="E2354" i="1"/>
  <c r="K2354" i="1"/>
  <c r="C2355" i="1"/>
  <c r="D2355" i="1"/>
  <c r="E2355" i="1"/>
  <c r="K2355" i="1"/>
  <c r="C2356" i="1"/>
  <c r="D2356" i="1"/>
  <c r="E2356" i="1"/>
  <c r="K2356" i="1"/>
  <c r="C2357" i="1"/>
  <c r="D2357" i="1"/>
  <c r="E2357" i="1"/>
  <c r="K2357" i="1"/>
  <c r="C2358" i="1"/>
  <c r="D2358" i="1"/>
  <c r="E2358" i="1"/>
  <c r="K2358" i="1"/>
  <c r="C2359" i="1"/>
  <c r="D2359" i="1"/>
  <c r="E2359" i="1"/>
  <c r="K2359" i="1"/>
  <c r="C2360" i="1"/>
  <c r="D2360" i="1"/>
  <c r="E2360" i="1"/>
  <c r="K2360" i="1"/>
  <c r="C2361" i="1"/>
  <c r="D2361" i="1"/>
  <c r="E2361" i="1"/>
  <c r="K2361" i="1"/>
  <c r="C2362" i="1"/>
  <c r="D2362" i="1"/>
  <c r="E2362" i="1"/>
  <c r="K2362" i="1"/>
  <c r="C2363" i="1"/>
  <c r="D2363" i="1"/>
  <c r="E2363" i="1"/>
  <c r="K2363" i="1"/>
  <c r="C2364" i="1"/>
  <c r="D2364" i="1"/>
  <c r="E2364" i="1"/>
  <c r="K2364" i="1"/>
  <c r="C2365" i="1"/>
  <c r="D2365" i="1"/>
  <c r="E2365" i="1"/>
  <c r="K2365" i="1"/>
  <c r="C2366" i="1"/>
  <c r="D2366" i="1"/>
  <c r="E2366" i="1"/>
  <c r="K2366" i="1"/>
  <c r="C2367" i="1"/>
  <c r="D2367" i="1"/>
  <c r="E2367" i="1"/>
  <c r="K2367" i="1"/>
  <c r="C2368" i="1"/>
  <c r="D2368" i="1"/>
  <c r="E2368" i="1"/>
  <c r="K2368" i="1"/>
  <c r="C2369" i="1"/>
  <c r="D2369" i="1"/>
  <c r="E2369" i="1"/>
  <c r="K2369" i="1"/>
  <c r="C2370" i="1"/>
  <c r="D2370" i="1"/>
  <c r="E2370" i="1"/>
  <c r="K2370" i="1"/>
  <c r="C2371" i="1"/>
  <c r="D2371" i="1"/>
  <c r="E2371" i="1"/>
  <c r="K2371" i="1"/>
  <c r="C2372" i="1"/>
  <c r="D2372" i="1"/>
  <c r="E2372" i="1"/>
  <c r="K2372" i="1"/>
  <c r="C2373" i="1"/>
  <c r="D2373" i="1"/>
  <c r="E2373" i="1"/>
  <c r="K2373" i="1"/>
  <c r="C2374" i="1"/>
  <c r="D2374" i="1"/>
  <c r="E2374" i="1"/>
  <c r="K2374" i="1"/>
  <c r="C2375" i="1"/>
  <c r="D2375" i="1"/>
  <c r="E2375" i="1"/>
  <c r="K2375" i="1"/>
  <c r="C2376" i="1"/>
  <c r="D2376" i="1"/>
  <c r="E2376" i="1"/>
  <c r="K2376" i="1"/>
  <c r="C2377" i="1"/>
  <c r="D2377" i="1"/>
  <c r="E2377" i="1"/>
  <c r="K2377" i="1"/>
  <c r="C2378" i="1"/>
  <c r="D2378" i="1"/>
  <c r="E2378" i="1"/>
  <c r="K2378" i="1"/>
  <c r="C2379" i="1"/>
  <c r="D2379" i="1"/>
  <c r="E2379" i="1"/>
  <c r="K2379" i="1"/>
  <c r="C2380" i="1"/>
  <c r="D2380" i="1"/>
  <c r="E2380" i="1"/>
  <c r="K2380" i="1"/>
  <c r="C2381" i="1"/>
  <c r="D2381" i="1"/>
  <c r="E2381" i="1"/>
  <c r="K2381" i="1"/>
  <c r="C2382" i="1"/>
  <c r="D2382" i="1"/>
  <c r="E2382" i="1"/>
  <c r="K2382" i="1"/>
  <c r="C2383" i="1"/>
  <c r="D2383" i="1"/>
  <c r="E2383" i="1"/>
  <c r="K2383" i="1"/>
  <c r="C2384" i="1"/>
  <c r="D2384" i="1"/>
  <c r="E2384" i="1"/>
  <c r="K2384" i="1"/>
  <c r="C2385" i="1"/>
  <c r="D2385" i="1"/>
  <c r="E2385" i="1"/>
  <c r="K2385" i="1"/>
  <c r="C2386" i="1"/>
  <c r="D2386" i="1"/>
  <c r="E2386" i="1"/>
  <c r="K2386" i="1"/>
  <c r="C2387" i="1"/>
  <c r="D2387" i="1"/>
  <c r="E2387" i="1"/>
  <c r="K2387" i="1"/>
  <c r="C2388" i="1"/>
  <c r="D2388" i="1"/>
  <c r="E2388" i="1"/>
  <c r="K2388" i="1"/>
  <c r="C2389" i="1"/>
  <c r="D2389" i="1"/>
  <c r="E2389" i="1"/>
  <c r="K2389" i="1"/>
  <c r="C2390" i="1"/>
  <c r="D2390" i="1"/>
  <c r="E2390" i="1"/>
  <c r="K2390" i="1"/>
  <c r="C2391" i="1"/>
  <c r="D2391" i="1"/>
  <c r="E2391" i="1"/>
  <c r="K2391" i="1"/>
  <c r="C2392" i="1"/>
  <c r="D2392" i="1"/>
  <c r="E2392" i="1"/>
  <c r="K2392" i="1"/>
  <c r="C2393" i="1"/>
  <c r="D2393" i="1"/>
  <c r="E2393" i="1"/>
  <c r="K2393" i="1"/>
  <c r="C2394" i="1"/>
  <c r="D2394" i="1"/>
  <c r="E2394" i="1"/>
  <c r="K2394" i="1"/>
  <c r="C2395" i="1"/>
  <c r="D2395" i="1"/>
  <c r="E2395" i="1"/>
  <c r="K2395" i="1"/>
  <c r="C2396" i="1"/>
  <c r="D2396" i="1"/>
  <c r="E2396" i="1"/>
  <c r="K2396" i="1"/>
  <c r="C2397" i="1"/>
  <c r="D2397" i="1"/>
  <c r="E2397" i="1"/>
  <c r="K2397" i="1"/>
  <c r="C2398" i="1"/>
  <c r="D2398" i="1"/>
  <c r="E2398" i="1"/>
  <c r="K2398" i="1"/>
  <c r="C2399" i="1"/>
  <c r="D2399" i="1"/>
  <c r="E2399" i="1"/>
  <c r="K2399" i="1"/>
  <c r="C2400" i="1"/>
  <c r="D2400" i="1"/>
  <c r="E2400" i="1"/>
  <c r="K2400" i="1"/>
  <c r="C2401" i="1"/>
  <c r="D2401" i="1"/>
  <c r="E2401" i="1"/>
  <c r="K2401" i="1"/>
  <c r="C2402" i="1"/>
  <c r="D2402" i="1"/>
  <c r="E2402" i="1"/>
  <c r="K2402" i="1"/>
  <c r="C2403" i="1"/>
  <c r="D2403" i="1"/>
  <c r="E2403" i="1"/>
  <c r="K2403" i="1"/>
  <c r="C2404" i="1"/>
  <c r="D2404" i="1"/>
  <c r="E2404" i="1"/>
  <c r="K2404" i="1"/>
  <c r="C2405" i="1"/>
  <c r="D2405" i="1"/>
  <c r="E2405" i="1"/>
  <c r="K2405" i="1"/>
  <c r="C2406" i="1"/>
  <c r="D2406" i="1"/>
  <c r="E2406" i="1"/>
  <c r="K2406" i="1"/>
  <c r="C2407" i="1"/>
  <c r="D2407" i="1"/>
  <c r="E2407" i="1"/>
  <c r="K2407" i="1"/>
  <c r="C2408" i="1"/>
  <c r="D2408" i="1"/>
  <c r="E2408" i="1"/>
  <c r="K2408" i="1"/>
  <c r="C2409" i="1"/>
  <c r="D2409" i="1"/>
  <c r="E2409" i="1"/>
  <c r="K2409" i="1"/>
  <c r="C2410" i="1"/>
  <c r="D2410" i="1"/>
  <c r="E2410" i="1"/>
  <c r="K2410" i="1"/>
  <c r="C2411" i="1"/>
  <c r="D2411" i="1"/>
  <c r="E2411" i="1"/>
  <c r="K2411" i="1"/>
  <c r="C2412" i="1"/>
  <c r="D2412" i="1"/>
  <c r="E2412" i="1"/>
  <c r="K2412" i="1"/>
  <c r="C2413" i="1"/>
  <c r="D2413" i="1"/>
  <c r="E2413" i="1"/>
  <c r="K2413" i="1"/>
  <c r="C2414" i="1"/>
  <c r="D2414" i="1"/>
  <c r="E2414" i="1"/>
  <c r="K2414" i="1"/>
  <c r="C2415" i="1"/>
  <c r="D2415" i="1"/>
  <c r="E2415" i="1"/>
  <c r="K2415" i="1"/>
  <c r="C2416" i="1"/>
  <c r="D2416" i="1"/>
  <c r="E2416" i="1"/>
  <c r="K2416" i="1"/>
  <c r="C2417" i="1"/>
  <c r="D2417" i="1"/>
  <c r="E2417" i="1"/>
  <c r="K2417" i="1"/>
  <c r="C2418" i="1"/>
  <c r="D2418" i="1"/>
  <c r="E2418" i="1"/>
  <c r="K2418" i="1"/>
  <c r="C2419" i="1"/>
  <c r="D2419" i="1"/>
  <c r="E2419" i="1"/>
  <c r="K2419" i="1"/>
  <c r="C2420" i="1"/>
  <c r="D2420" i="1"/>
  <c r="E2420" i="1"/>
  <c r="K2420" i="1"/>
  <c r="C2421" i="1"/>
  <c r="D2421" i="1"/>
  <c r="E2421" i="1"/>
  <c r="K2421" i="1"/>
  <c r="C2422" i="1"/>
  <c r="D2422" i="1"/>
  <c r="E2422" i="1"/>
  <c r="K2422" i="1"/>
  <c r="C2423" i="1"/>
  <c r="D2423" i="1"/>
  <c r="E2423" i="1"/>
  <c r="K2423" i="1"/>
  <c r="C2424" i="1"/>
  <c r="D2424" i="1"/>
  <c r="E2424" i="1"/>
  <c r="K2424" i="1"/>
  <c r="C2425" i="1"/>
  <c r="D2425" i="1"/>
  <c r="E2425" i="1"/>
  <c r="K2425" i="1"/>
  <c r="C2426" i="1"/>
  <c r="D2426" i="1"/>
  <c r="E2426" i="1"/>
  <c r="K2426" i="1"/>
  <c r="C2427" i="1"/>
  <c r="D2427" i="1"/>
  <c r="E2427" i="1"/>
  <c r="K2427" i="1"/>
  <c r="C2428" i="1"/>
  <c r="D2428" i="1"/>
  <c r="E2428" i="1"/>
  <c r="K2428" i="1"/>
  <c r="C2429" i="1"/>
  <c r="D2429" i="1"/>
  <c r="E2429" i="1"/>
  <c r="K2429" i="1"/>
  <c r="C2430" i="1"/>
  <c r="D2430" i="1"/>
  <c r="E2430" i="1"/>
  <c r="K2430" i="1"/>
  <c r="C2431" i="1"/>
  <c r="D2431" i="1"/>
  <c r="E2431" i="1"/>
  <c r="K2431" i="1"/>
  <c r="C2432" i="1"/>
  <c r="D2432" i="1"/>
  <c r="E2432" i="1"/>
  <c r="K2432" i="1"/>
  <c r="C2433" i="1"/>
  <c r="D2433" i="1"/>
  <c r="E2433" i="1"/>
  <c r="K2433" i="1"/>
  <c r="C2434" i="1"/>
  <c r="D2434" i="1"/>
  <c r="E2434" i="1"/>
  <c r="K2434" i="1"/>
  <c r="C2435" i="1"/>
  <c r="D2435" i="1"/>
  <c r="E2435" i="1"/>
  <c r="K2435" i="1"/>
  <c r="C2436" i="1"/>
  <c r="D2436" i="1"/>
  <c r="E2436" i="1"/>
  <c r="K2436" i="1"/>
  <c r="C2437" i="1"/>
  <c r="D2437" i="1"/>
  <c r="E2437" i="1"/>
  <c r="K2437" i="1"/>
  <c r="C2438" i="1"/>
  <c r="D2438" i="1"/>
  <c r="E2438" i="1"/>
  <c r="K2438" i="1"/>
  <c r="C2439" i="1"/>
  <c r="D2439" i="1"/>
  <c r="E2439" i="1"/>
  <c r="K2439" i="1"/>
  <c r="C2440" i="1"/>
  <c r="D2440" i="1"/>
  <c r="E2440" i="1"/>
  <c r="K2440" i="1"/>
  <c r="C2441" i="1"/>
  <c r="D2441" i="1"/>
  <c r="E2441" i="1"/>
  <c r="K2441" i="1"/>
  <c r="C2442" i="1"/>
  <c r="D2442" i="1"/>
  <c r="E2442" i="1"/>
  <c r="K2442" i="1"/>
  <c r="C2443" i="1"/>
  <c r="D2443" i="1"/>
  <c r="E2443" i="1"/>
  <c r="K2443" i="1"/>
  <c r="C2444" i="1"/>
  <c r="D2444" i="1"/>
  <c r="E2444" i="1"/>
  <c r="K2444" i="1"/>
  <c r="C2445" i="1"/>
  <c r="D2445" i="1"/>
  <c r="E2445" i="1"/>
  <c r="K2445" i="1"/>
  <c r="C2446" i="1"/>
  <c r="D2446" i="1"/>
  <c r="E2446" i="1"/>
  <c r="K2446" i="1"/>
  <c r="C2447" i="1"/>
  <c r="D2447" i="1"/>
  <c r="E2447" i="1"/>
  <c r="K2447" i="1"/>
  <c r="C2448" i="1"/>
  <c r="D2448" i="1"/>
  <c r="E2448" i="1"/>
  <c r="K2448" i="1"/>
  <c r="C2449" i="1"/>
  <c r="D2449" i="1"/>
  <c r="E2449" i="1"/>
  <c r="K2449" i="1"/>
  <c r="C2450" i="1"/>
  <c r="D2450" i="1"/>
  <c r="E2450" i="1"/>
  <c r="K2450" i="1"/>
  <c r="C2451" i="1"/>
  <c r="D2451" i="1"/>
  <c r="E2451" i="1"/>
  <c r="K2451" i="1"/>
  <c r="C2452" i="1"/>
  <c r="D2452" i="1"/>
  <c r="E2452" i="1"/>
  <c r="K2452" i="1"/>
  <c r="C2453" i="1"/>
  <c r="D2453" i="1"/>
  <c r="E2453" i="1"/>
  <c r="K2453" i="1"/>
  <c r="C2454" i="1"/>
  <c r="D2454" i="1"/>
  <c r="E2454" i="1"/>
  <c r="K2454" i="1"/>
  <c r="C2455" i="1"/>
  <c r="D2455" i="1"/>
  <c r="E2455" i="1"/>
  <c r="K2455" i="1"/>
  <c r="C2456" i="1"/>
  <c r="D2456" i="1"/>
  <c r="E2456" i="1"/>
  <c r="K2456" i="1"/>
  <c r="C2457" i="1"/>
  <c r="D2457" i="1"/>
  <c r="E2457" i="1"/>
  <c r="K2457" i="1"/>
  <c r="C2458" i="1"/>
  <c r="D2458" i="1"/>
  <c r="E2458" i="1"/>
  <c r="K2458" i="1"/>
  <c r="C2459" i="1"/>
  <c r="D2459" i="1"/>
  <c r="E2459" i="1"/>
  <c r="K2459" i="1"/>
  <c r="C2460" i="1"/>
  <c r="D2460" i="1"/>
  <c r="E2460" i="1"/>
  <c r="K2460" i="1"/>
  <c r="C2461" i="1"/>
  <c r="D2461" i="1"/>
  <c r="E2461" i="1"/>
  <c r="K2461" i="1"/>
  <c r="C2462" i="1"/>
  <c r="D2462" i="1"/>
  <c r="E2462" i="1"/>
  <c r="K2462" i="1"/>
  <c r="C2463" i="1"/>
  <c r="D2463" i="1"/>
  <c r="E2463" i="1"/>
  <c r="K2463" i="1"/>
  <c r="C2464" i="1"/>
  <c r="D2464" i="1"/>
  <c r="E2464" i="1"/>
  <c r="K2464" i="1"/>
  <c r="C2465" i="1"/>
  <c r="D2465" i="1"/>
  <c r="E2465" i="1"/>
  <c r="K2465" i="1"/>
  <c r="C2466" i="1"/>
  <c r="D2466" i="1"/>
  <c r="E2466" i="1"/>
  <c r="K2466" i="1"/>
  <c r="C2467" i="1"/>
  <c r="D2467" i="1"/>
  <c r="E2467" i="1"/>
  <c r="K2467" i="1"/>
  <c r="C2468" i="1"/>
  <c r="D2468" i="1"/>
  <c r="E2468" i="1"/>
  <c r="K2468" i="1"/>
  <c r="C2469" i="1"/>
  <c r="D2469" i="1"/>
  <c r="E2469" i="1"/>
  <c r="K2469" i="1"/>
  <c r="C2470" i="1"/>
  <c r="D2470" i="1"/>
  <c r="E2470" i="1"/>
  <c r="K2470" i="1"/>
  <c r="C2471" i="1"/>
  <c r="D2471" i="1"/>
  <c r="E2471" i="1"/>
  <c r="K2471" i="1"/>
  <c r="C2472" i="1"/>
  <c r="D2472" i="1"/>
  <c r="E2472" i="1"/>
  <c r="K2472" i="1"/>
  <c r="C2473" i="1"/>
  <c r="D2473" i="1"/>
  <c r="E2473" i="1"/>
  <c r="K2473" i="1"/>
  <c r="C2474" i="1"/>
  <c r="D2474" i="1"/>
  <c r="E2474" i="1"/>
  <c r="K2474" i="1"/>
  <c r="C2475" i="1"/>
  <c r="D2475" i="1"/>
  <c r="E2475" i="1"/>
  <c r="K2475" i="1"/>
  <c r="C2476" i="1"/>
  <c r="D2476" i="1"/>
  <c r="E2476" i="1"/>
  <c r="K2476" i="1"/>
  <c r="C2477" i="1"/>
  <c r="D2477" i="1"/>
  <c r="E2477" i="1"/>
  <c r="K2477" i="1"/>
  <c r="C2478" i="1"/>
  <c r="D2478" i="1"/>
  <c r="E2478" i="1"/>
  <c r="K2478" i="1"/>
  <c r="C2479" i="1"/>
  <c r="D2479" i="1"/>
  <c r="E2479" i="1"/>
  <c r="K2479" i="1"/>
  <c r="C2480" i="1"/>
  <c r="D2480" i="1"/>
  <c r="E2480" i="1"/>
  <c r="K2480" i="1"/>
  <c r="C2481" i="1"/>
  <c r="D2481" i="1"/>
  <c r="E2481" i="1"/>
  <c r="K2481" i="1"/>
  <c r="C2482" i="1"/>
  <c r="D2482" i="1"/>
  <c r="E2482" i="1"/>
  <c r="K2482" i="1"/>
  <c r="C2483" i="1"/>
  <c r="D2483" i="1"/>
  <c r="E2483" i="1"/>
  <c r="K2483" i="1"/>
  <c r="C2484" i="1"/>
  <c r="D2484" i="1"/>
  <c r="E2484" i="1"/>
  <c r="K2484" i="1"/>
  <c r="C2485" i="1"/>
  <c r="D2485" i="1"/>
  <c r="E2485" i="1"/>
  <c r="K2485" i="1"/>
  <c r="C2486" i="1"/>
  <c r="D2486" i="1"/>
  <c r="E2486" i="1"/>
  <c r="K2486" i="1"/>
  <c r="C2487" i="1"/>
  <c r="D2487" i="1"/>
  <c r="E2487" i="1"/>
  <c r="K2487" i="1"/>
  <c r="C2488" i="1"/>
  <c r="D2488" i="1"/>
  <c r="E2488" i="1"/>
  <c r="K2488" i="1"/>
  <c r="C2489" i="1"/>
  <c r="D2489" i="1"/>
  <c r="E2489" i="1"/>
  <c r="K2489" i="1"/>
  <c r="C2490" i="1"/>
  <c r="D2490" i="1"/>
  <c r="E2490" i="1"/>
  <c r="K2490" i="1"/>
  <c r="C2491" i="1"/>
  <c r="D2491" i="1"/>
  <c r="E2491" i="1"/>
  <c r="K2491" i="1"/>
  <c r="C2492" i="1"/>
  <c r="D2492" i="1"/>
  <c r="E2492" i="1"/>
  <c r="K2492" i="1"/>
  <c r="C2493" i="1"/>
  <c r="D2493" i="1"/>
  <c r="E2493" i="1"/>
  <c r="K2493" i="1"/>
  <c r="C2494" i="1"/>
  <c r="D2494" i="1"/>
  <c r="E2494" i="1"/>
  <c r="K2494" i="1"/>
  <c r="C2495" i="1"/>
  <c r="D2495" i="1"/>
  <c r="E2495" i="1"/>
  <c r="K2495" i="1"/>
  <c r="C2496" i="1"/>
  <c r="D2496" i="1"/>
  <c r="E2496" i="1"/>
  <c r="K2496" i="1"/>
  <c r="C2497" i="1"/>
  <c r="D2497" i="1"/>
  <c r="E2497" i="1"/>
  <c r="K2497" i="1"/>
  <c r="C2498" i="1"/>
  <c r="D2498" i="1"/>
  <c r="E2498" i="1"/>
  <c r="K2498" i="1"/>
  <c r="C2499" i="1"/>
  <c r="D2499" i="1"/>
  <c r="E2499" i="1"/>
  <c r="K2499" i="1"/>
  <c r="C2500" i="1"/>
  <c r="D2500" i="1"/>
  <c r="E2500" i="1"/>
  <c r="K2500" i="1"/>
  <c r="K1955" i="1"/>
  <c r="K1956" i="1"/>
  <c r="K1685" i="1"/>
  <c r="E1685" i="1"/>
  <c r="C1685" i="1"/>
  <c r="D1685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2" i="1"/>
  <c r="D1000" i="1"/>
  <c r="E1000" i="1"/>
  <c r="K1000" i="1"/>
  <c r="D1001" i="1"/>
  <c r="E1001" i="1"/>
  <c r="K1001" i="1"/>
  <c r="D1002" i="1"/>
  <c r="E1002" i="1"/>
  <c r="K1002" i="1"/>
  <c r="D1003" i="1"/>
  <c r="E1003" i="1"/>
  <c r="K1003" i="1"/>
  <c r="D1004" i="1"/>
  <c r="E1004" i="1"/>
  <c r="K1004" i="1"/>
  <c r="D1005" i="1"/>
  <c r="E1005" i="1"/>
  <c r="K1005" i="1"/>
  <c r="D1006" i="1"/>
  <c r="E1006" i="1"/>
  <c r="K1006" i="1"/>
  <c r="D1007" i="1"/>
  <c r="E1007" i="1"/>
  <c r="K1007" i="1"/>
  <c r="D1008" i="1"/>
  <c r="E1008" i="1"/>
  <c r="K1008" i="1"/>
  <c r="D1009" i="1"/>
  <c r="E1009" i="1"/>
  <c r="K1009" i="1"/>
  <c r="D1010" i="1"/>
  <c r="E1010" i="1"/>
  <c r="K1010" i="1"/>
  <c r="D1011" i="1"/>
  <c r="E1011" i="1"/>
  <c r="K1011" i="1"/>
  <c r="D1012" i="1"/>
  <c r="E1012" i="1"/>
  <c r="K1012" i="1"/>
  <c r="D1013" i="1"/>
  <c r="E1013" i="1"/>
  <c r="K1013" i="1"/>
  <c r="D1014" i="1"/>
  <c r="E1014" i="1"/>
  <c r="K1014" i="1"/>
  <c r="D1015" i="1"/>
  <c r="E1015" i="1"/>
  <c r="K1015" i="1"/>
  <c r="D1016" i="1"/>
  <c r="E1016" i="1"/>
  <c r="K1016" i="1"/>
  <c r="D1017" i="1"/>
  <c r="E1017" i="1"/>
  <c r="K1017" i="1"/>
  <c r="D1018" i="1"/>
  <c r="E1018" i="1"/>
  <c r="K1018" i="1"/>
  <c r="D1019" i="1"/>
  <c r="E1019" i="1"/>
  <c r="K1019" i="1"/>
  <c r="D1020" i="1"/>
  <c r="E1020" i="1"/>
  <c r="K1020" i="1"/>
  <c r="D1021" i="1"/>
  <c r="E1021" i="1"/>
  <c r="K1021" i="1"/>
  <c r="D1022" i="1"/>
  <c r="E1022" i="1"/>
  <c r="K1022" i="1"/>
  <c r="D1023" i="1"/>
  <c r="E1023" i="1"/>
  <c r="K1023" i="1"/>
  <c r="D1024" i="1"/>
  <c r="E1024" i="1"/>
  <c r="K1024" i="1"/>
  <c r="D1025" i="1"/>
  <c r="E1025" i="1"/>
  <c r="K1025" i="1"/>
  <c r="D1026" i="1"/>
  <c r="E1026" i="1"/>
  <c r="K1026" i="1"/>
  <c r="D1027" i="1"/>
  <c r="E1027" i="1"/>
  <c r="K1027" i="1"/>
  <c r="D1028" i="1"/>
  <c r="E1028" i="1"/>
  <c r="K1028" i="1"/>
  <c r="D1029" i="1"/>
  <c r="E1029" i="1"/>
  <c r="K1029" i="1"/>
  <c r="D1030" i="1"/>
  <c r="E1030" i="1"/>
  <c r="K1030" i="1"/>
  <c r="D1031" i="1"/>
  <c r="E1031" i="1"/>
  <c r="K1031" i="1"/>
  <c r="D1032" i="1"/>
  <c r="E1032" i="1"/>
  <c r="K1032" i="1"/>
  <c r="D1033" i="1"/>
  <c r="E1033" i="1"/>
  <c r="K1033" i="1"/>
  <c r="D1034" i="1"/>
  <c r="E1034" i="1"/>
  <c r="K1034" i="1"/>
  <c r="D1035" i="1"/>
  <c r="E1035" i="1"/>
  <c r="K1035" i="1"/>
  <c r="D1036" i="1"/>
  <c r="E1036" i="1"/>
  <c r="K1036" i="1"/>
  <c r="D1037" i="1"/>
  <c r="E1037" i="1"/>
  <c r="K1037" i="1"/>
  <c r="D1038" i="1"/>
  <c r="E1038" i="1"/>
  <c r="K1038" i="1"/>
  <c r="D1039" i="1"/>
  <c r="E1039" i="1"/>
  <c r="K1039" i="1"/>
  <c r="D1040" i="1"/>
  <c r="E1040" i="1"/>
  <c r="K1040" i="1"/>
  <c r="D1041" i="1"/>
  <c r="E1041" i="1"/>
  <c r="K1041" i="1"/>
  <c r="D1042" i="1"/>
  <c r="E1042" i="1"/>
  <c r="K1042" i="1"/>
  <c r="D1043" i="1"/>
  <c r="E1043" i="1"/>
  <c r="K1043" i="1"/>
  <c r="D1044" i="1"/>
  <c r="E1044" i="1"/>
  <c r="K1044" i="1"/>
  <c r="D1045" i="1"/>
  <c r="E1045" i="1"/>
  <c r="K1045" i="1"/>
  <c r="D1046" i="1"/>
  <c r="E1046" i="1"/>
  <c r="K1046" i="1"/>
  <c r="D1047" i="1"/>
  <c r="E1047" i="1"/>
  <c r="K1047" i="1"/>
  <c r="D1048" i="1"/>
  <c r="E1048" i="1"/>
  <c r="K1048" i="1"/>
  <c r="D1049" i="1"/>
  <c r="E1049" i="1"/>
  <c r="K1049" i="1"/>
  <c r="D1050" i="1"/>
  <c r="E1050" i="1"/>
  <c r="K1050" i="1"/>
  <c r="D1051" i="1"/>
  <c r="E1051" i="1"/>
  <c r="K1051" i="1"/>
  <c r="D1052" i="1"/>
  <c r="E1052" i="1"/>
  <c r="K1052" i="1"/>
  <c r="D1053" i="1"/>
  <c r="E1053" i="1"/>
  <c r="K1053" i="1"/>
  <c r="D1054" i="1"/>
  <c r="E1054" i="1"/>
  <c r="K1054" i="1"/>
  <c r="D1055" i="1"/>
  <c r="E1055" i="1"/>
  <c r="K1055" i="1"/>
  <c r="D1056" i="1"/>
  <c r="E1056" i="1"/>
  <c r="K1056" i="1"/>
  <c r="D1057" i="1"/>
  <c r="E1057" i="1"/>
  <c r="K1057" i="1"/>
  <c r="D1058" i="1"/>
  <c r="E1058" i="1"/>
  <c r="K1058" i="1"/>
  <c r="D1059" i="1"/>
  <c r="E1059" i="1"/>
  <c r="K1059" i="1"/>
  <c r="D1060" i="1"/>
  <c r="E1060" i="1"/>
  <c r="K1060" i="1"/>
  <c r="D1061" i="1"/>
  <c r="E1061" i="1"/>
  <c r="K1061" i="1"/>
  <c r="D1062" i="1"/>
  <c r="E1062" i="1"/>
  <c r="K1062" i="1"/>
  <c r="D1063" i="1"/>
  <c r="E1063" i="1"/>
  <c r="K1063" i="1"/>
  <c r="D1064" i="1"/>
  <c r="E1064" i="1"/>
  <c r="K1064" i="1"/>
  <c r="D1065" i="1"/>
  <c r="E1065" i="1"/>
  <c r="K1065" i="1"/>
  <c r="D1066" i="1"/>
  <c r="E1066" i="1"/>
  <c r="K1066" i="1"/>
  <c r="D1067" i="1"/>
  <c r="E1067" i="1"/>
  <c r="K1067" i="1"/>
  <c r="D1068" i="1"/>
  <c r="E1068" i="1"/>
  <c r="K1068" i="1"/>
  <c r="D1069" i="1"/>
  <c r="E1069" i="1"/>
  <c r="K1069" i="1"/>
  <c r="D1070" i="1"/>
  <c r="E1070" i="1"/>
  <c r="K1070" i="1"/>
  <c r="D1071" i="1"/>
  <c r="E1071" i="1"/>
  <c r="K1071" i="1"/>
  <c r="D1072" i="1"/>
  <c r="E1072" i="1"/>
  <c r="K1072" i="1"/>
  <c r="D1073" i="1"/>
  <c r="E1073" i="1"/>
  <c r="K1073" i="1"/>
  <c r="D1074" i="1"/>
  <c r="E1074" i="1"/>
  <c r="K1074" i="1"/>
  <c r="D1075" i="1"/>
  <c r="E1075" i="1"/>
  <c r="K1075" i="1"/>
  <c r="D1076" i="1"/>
  <c r="E1076" i="1"/>
  <c r="K1076" i="1"/>
  <c r="D1077" i="1"/>
  <c r="E1077" i="1"/>
  <c r="K1077" i="1"/>
  <c r="D1078" i="1"/>
  <c r="E1078" i="1"/>
  <c r="K1078" i="1"/>
  <c r="D1079" i="1"/>
  <c r="K1079" i="1"/>
  <c r="D1080" i="1"/>
  <c r="E1080" i="1"/>
  <c r="K1080" i="1"/>
  <c r="D1081" i="1"/>
  <c r="K1081" i="1"/>
  <c r="D1082" i="1"/>
  <c r="E1082" i="1"/>
  <c r="K1082" i="1"/>
  <c r="D1083" i="1"/>
  <c r="E1083" i="1"/>
  <c r="K1083" i="1"/>
  <c r="D1084" i="1"/>
  <c r="E1084" i="1"/>
  <c r="K1084" i="1"/>
  <c r="D1085" i="1"/>
  <c r="K1085" i="1"/>
  <c r="D1086" i="1"/>
  <c r="E1086" i="1"/>
  <c r="K1086" i="1"/>
  <c r="D1087" i="1"/>
  <c r="E1087" i="1"/>
  <c r="K1087" i="1"/>
  <c r="D1088" i="1"/>
  <c r="E1088" i="1"/>
  <c r="K1088" i="1"/>
  <c r="D1089" i="1"/>
  <c r="E1089" i="1"/>
  <c r="K1089" i="1"/>
  <c r="D1090" i="1"/>
  <c r="E1090" i="1"/>
  <c r="K1090" i="1"/>
  <c r="D1091" i="1"/>
  <c r="E1091" i="1"/>
  <c r="K1091" i="1"/>
  <c r="D1092" i="1"/>
  <c r="E1092" i="1"/>
  <c r="K1092" i="1"/>
  <c r="D1093" i="1"/>
  <c r="E1093" i="1"/>
  <c r="K1093" i="1"/>
  <c r="D1094" i="1"/>
  <c r="E1094" i="1"/>
  <c r="K1094" i="1"/>
  <c r="D1095" i="1"/>
  <c r="E1095" i="1"/>
  <c r="K1095" i="1"/>
  <c r="D1096" i="1"/>
  <c r="E1096" i="1"/>
  <c r="K1096" i="1"/>
  <c r="D1097" i="1"/>
  <c r="E1097" i="1"/>
  <c r="K1097" i="1"/>
  <c r="D1098" i="1"/>
  <c r="E1098" i="1"/>
  <c r="K1098" i="1"/>
  <c r="D1099" i="1"/>
  <c r="E1099" i="1"/>
  <c r="K1099" i="1"/>
  <c r="D1100" i="1"/>
  <c r="E1100" i="1"/>
  <c r="K1100" i="1"/>
  <c r="D1101" i="1"/>
  <c r="E1101" i="1"/>
  <c r="K1101" i="1"/>
  <c r="D1102" i="1"/>
  <c r="E1102" i="1"/>
  <c r="K1102" i="1"/>
  <c r="D1103" i="1"/>
  <c r="E1103" i="1"/>
  <c r="K1103" i="1"/>
  <c r="D1104" i="1"/>
  <c r="E1104" i="1"/>
  <c r="K1104" i="1"/>
  <c r="D1105" i="1"/>
  <c r="E1105" i="1"/>
  <c r="K1105" i="1"/>
  <c r="D1106" i="1"/>
  <c r="E1106" i="1"/>
  <c r="K1106" i="1"/>
  <c r="D1107" i="1"/>
  <c r="E1107" i="1"/>
  <c r="K1107" i="1"/>
  <c r="D1108" i="1"/>
  <c r="E1108" i="1"/>
  <c r="K1108" i="1"/>
  <c r="D1109" i="1"/>
  <c r="E1109" i="1"/>
  <c r="K1109" i="1"/>
  <c r="D1110" i="1"/>
  <c r="E1110" i="1"/>
  <c r="K1110" i="1"/>
  <c r="D1111" i="1"/>
  <c r="E1111" i="1"/>
  <c r="K1111" i="1"/>
  <c r="D1112" i="1"/>
  <c r="E1112" i="1"/>
  <c r="K1112" i="1"/>
  <c r="D1113" i="1"/>
  <c r="E1113" i="1"/>
  <c r="K1113" i="1"/>
  <c r="D1114" i="1"/>
  <c r="E1114" i="1"/>
  <c r="K1114" i="1"/>
  <c r="D1115" i="1"/>
  <c r="E1115" i="1"/>
  <c r="K1115" i="1"/>
  <c r="D1116" i="1"/>
  <c r="E1116" i="1"/>
  <c r="K1116" i="1"/>
  <c r="D1117" i="1"/>
  <c r="E1117" i="1"/>
  <c r="K1117" i="1"/>
  <c r="D1118" i="1"/>
  <c r="E1118" i="1"/>
  <c r="K1118" i="1"/>
  <c r="D1119" i="1"/>
  <c r="E1119" i="1"/>
  <c r="K1119" i="1"/>
  <c r="D1120" i="1"/>
  <c r="E1120" i="1"/>
  <c r="K1120" i="1"/>
  <c r="D1121" i="1"/>
  <c r="E1121" i="1"/>
  <c r="K1121" i="1"/>
  <c r="D1122" i="1"/>
  <c r="E1122" i="1"/>
  <c r="K1122" i="1"/>
  <c r="D1123" i="1"/>
  <c r="E1123" i="1"/>
  <c r="K1123" i="1"/>
  <c r="D1124" i="1"/>
  <c r="E1124" i="1"/>
  <c r="K1124" i="1"/>
  <c r="D1125" i="1"/>
  <c r="E1125" i="1"/>
  <c r="K1125" i="1"/>
  <c r="D1126" i="1"/>
  <c r="E1126" i="1"/>
  <c r="K1126" i="1"/>
  <c r="D1127" i="1"/>
  <c r="E1127" i="1"/>
  <c r="K1127" i="1"/>
  <c r="D1128" i="1"/>
  <c r="E1128" i="1"/>
  <c r="K1128" i="1"/>
  <c r="D1129" i="1"/>
  <c r="E1129" i="1"/>
  <c r="K1129" i="1"/>
  <c r="D1130" i="1"/>
  <c r="E1130" i="1"/>
  <c r="K1130" i="1"/>
  <c r="D1131" i="1"/>
  <c r="E1131" i="1"/>
  <c r="K1131" i="1"/>
  <c r="D1132" i="1"/>
  <c r="E1132" i="1"/>
  <c r="K1132" i="1"/>
  <c r="D1133" i="1"/>
  <c r="E1133" i="1"/>
  <c r="K1133" i="1"/>
  <c r="D1134" i="1"/>
  <c r="E1134" i="1"/>
  <c r="K1134" i="1"/>
  <c r="D1135" i="1"/>
  <c r="E1135" i="1"/>
  <c r="K1135" i="1"/>
  <c r="D1136" i="1"/>
  <c r="E1136" i="1"/>
  <c r="K1136" i="1"/>
  <c r="D1137" i="1"/>
  <c r="E1137" i="1"/>
  <c r="K1137" i="1"/>
  <c r="D1138" i="1"/>
  <c r="E1138" i="1"/>
  <c r="K1138" i="1"/>
  <c r="D1139" i="1"/>
  <c r="E1139" i="1"/>
  <c r="K1139" i="1"/>
  <c r="D1140" i="1"/>
  <c r="E1140" i="1"/>
  <c r="K1140" i="1"/>
  <c r="D1141" i="1"/>
  <c r="E1141" i="1"/>
  <c r="K1141" i="1"/>
  <c r="D1142" i="1"/>
  <c r="E1142" i="1"/>
  <c r="K1142" i="1"/>
  <c r="D1143" i="1"/>
  <c r="E1143" i="1"/>
  <c r="K1143" i="1"/>
  <c r="D1144" i="1"/>
  <c r="E1144" i="1"/>
  <c r="K1144" i="1"/>
  <c r="D1145" i="1"/>
  <c r="E1145" i="1"/>
  <c r="K1145" i="1"/>
  <c r="D1146" i="1"/>
  <c r="E1146" i="1"/>
  <c r="K1146" i="1"/>
  <c r="D1147" i="1"/>
  <c r="E1147" i="1"/>
  <c r="K1147" i="1"/>
  <c r="D1148" i="1"/>
  <c r="E1148" i="1"/>
  <c r="K1148" i="1"/>
  <c r="D1149" i="1"/>
  <c r="E1149" i="1"/>
  <c r="K1149" i="1"/>
  <c r="D1150" i="1"/>
  <c r="E1150" i="1"/>
  <c r="K1150" i="1"/>
  <c r="D1151" i="1"/>
  <c r="E1151" i="1"/>
  <c r="K1151" i="1"/>
  <c r="D1152" i="1"/>
  <c r="E1152" i="1"/>
  <c r="K1152" i="1"/>
  <c r="D1153" i="1"/>
  <c r="E1153" i="1"/>
  <c r="K1153" i="1"/>
  <c r="D1154" i="1"/>
  <c r="E1154" i="1"/>
  <c r="K1154" i="1"/>
  <c r="D1155" i="1"/>
  <c r="E1155" i="1"/>
  <c r="K1155" i="1"/>
  <c r="D1156" i="1"/>
  <c r="E1156" i="1"/>
  <c r="K1156" i="1"/>
  <c r="D1157" i="1"/>
  <c r="E1157" i="1"/>
  <c r="K1157" i="1"/>
  <c r="D1158" i="1"/>
  <c r="E1158" i="1"/>
  <c r="K1158" i="1"/>
  <c r="D1159" i="1"/>
  <c r="E1159" i="1"/>
  <c r="K1159" i="1"/>
  <c r="D1160" i="1"/>
  <c r="E1160" i="1"/>
  <c r="K1160" i="1"/>
  <c r="D1161" i="1"/>
  <c r="E1161" i="1"/>
  <c r="K1161" i="1"/>
  <c r="D1162" i="1"/>
  <c r="E1162" i="1"/>
  <c r="K1162" i="1"/>
  <c r="D1163" i="1"/>
  <c r="E1163" i="1"/>
  <c r="K1163" i="1"/>
  <c r="D1164" i="1"/>
  <c r="E1164" i="1"/>
  <c r="K1164" i="1"/>
  <c r="D1165" i="1"/>
  <c r="E1165" i="1"/>
  <c r="K1165" i="1"/>
  <c r="D1166" i="1"/>
  <c r="E1166" i="1"/>
  <c r="K1166" i="1"/>
  <c r="D1167" i="1"/>
  <c r="E1167" i="1"/>
  <c r="K1167" i="1"/>
  <c r="D1168" i="1"/>
  <c r="E1168" i="1"/>
  <c r="K1168" i="1"/>
  <c r="D1169" i="1"/>
  <c r="E1169" i="1"/>
  <c r="K1169" i="1"/>
  <c r="D1170" i="1"/>
  <c r="E1170" i="1"/>
  <c r="K1170" i="1"/>
  <c r="D1171" i="1"/>
  <c r="E1171" i="1"/>
  <c r="K1171" i="1"/>
  <c r="D1172" i="1"/>
  <c r="E1172" i="1"/>
  <c r="K1172" i="1"/>
  <c r="D1173" i="1"/>
  <c r="E1173" i="1"/>
  <c r="K1173" i="1"/>
  <c r="D1174" i="1"/>
  <c r="E1174" i="1"/>
  <c r="K1174" i="1"/>
  <c r="D1175" i="1"/>
  <c r="E1175" i="1"/>
  <c r="K1175" i="1"/>
  <c r="D1176" i="1"/>
  <c r="E1176" i="1"/>
  <c r="K1176" i="1"/>
  <c r="D1177" i="1"/>
  <c r="E1177" i="1"/>
  <c r="K1177" i="1"/>
  <c r="D1178" i="1"/>
  <c r="E1178" i="1"/>
  <c r="K1178" i="1"/>
  <c r="D1179" i="1"/>
  <c r="E1179" i="1"/>
  <c r="K1179" i="1"/>
  <c r="D1180" i="1"/>
  <c r="E1180" i="1"/>
  <c r="K1180" i="1"/>
  <c r="D1181" i="1"/>
  <c r="E1181" i="1"/>
  <c r="K1181" i="1"/>
  <c r="D1182" i="1"/>
  <c r="E1182" i="1"/>
  <c r="K1182" i="1"/>
  <c r="D1183" i="1"/>
  <c r="E1183" i="1"/>
  <c r="K1183" i="1"/>
  <c r="D1184" i="1"/>
  <c r="E1184" i="1"/>
  <c r="K1184" i="1"/>
  <c r="D1185" i="1"/>
  <c r="E1185" i="1"/>
  <c r="K1185" i="1"/>
  <c r="D1186" i="1"/>
  <c r="E1186" i="1"/>
  <c r="K1186" i="1"/>
  <c r="D1187" i="1"/>
  <c r="E1187" i="1"/>
  <c r="K1187" i="1"/>
  <c r="D1188" i="1"/>
  <c r="E1188" i="1"/>
  <c r="K1188" i="1"/>
  <c r="D1189" i="1"/>
  <c r="K1189" i="1"/>
  <c r="D1190" i="1"/>
  <c r="E1190" i="1"/>
  <c r="K1190" i="1"/>
  <c r="D1191" i="1"/>
  <c r="K1191" i="1"/>
  <c r="D1192" i="1"/>
  <c r="E1192" i="1"/>
  <c r="K1192" i="1"/>
  <c r="D1193" i="1"/>
  <c r="E1193" i="1"/>
  <c r="K1193" i="1"/>
  <c r="D1194" i="1"/>
  <c r="E1194" i="1"/>
  <c r="K1194" i="1"/>
  <c r="D1195" i="1"/>
  <c r="E1195" i="1"/>
  <c r="K1195" i="1"/>
  <c r="D1196" i="1"/>
  <c r="E1196" i="1"/>
  <c r="K1196" i="1"/>
  <c r="D1197" i="1"/>
  <c r="E1197" i="1"/>
  <c r="K1197" i="1"/>
  <c r="D1198" i="1"/>
  <c r="E1198" i="1"/>
  <c r="K1198" i="1"/>
  <c r="D1199" i="1"/>
  <c r="E1199" i="1"/>
  <c r="K1199" i="1"/>
  <c r="D1200" i="1"/>
  <c r="E1200" i="1"/>
  <c r="K1200" i="1"/>
  <c r="D1201" i="1"/>
  <c r="E1201" i="1"/>
  <c r="K1201" i="1"/>
  <c r="D1202" i="1"/>
  <c r="E1202" i="1"/>
  <c r="K1202" i="1"/>
  <c r="D1203" i="1"/>
  <c r="E1203" i="1"/>
  <c r="K1203" i="1"/>
  <c r="D1204" i="1"/>
  <c r="E1204" i="1"/>
  <c r="K1204" i="1"/>
  <c r="D1205" i="1"/>
  <c r="E1205" i="1"/>
  <c r="K1205" i="1"/>
  <c r="D1206" i="1"/>
  <c r="E1206" i="1"/>
  <c r="K1206" i="1"/>
  <c r="D1207" i="1"/>
  <c r="E1207" i="1"/>
  <c r="K1207" i="1"/>
  <c r="D1208" i="1"/>
  <c r="E1208" i="1"/>
  <c r="K1208" i="1"/>
  <c r="D1209" i="1"/>
  <c r="E1209" i="1"/>
  <c r="K1209" i="1"/>
  <c r="D1210" i="1"/>
  <c r="E1210" i="1"/>
  <c r="K1210" i="1"/>
  <c r="D1211" i="1"/>
  <c r="E1211" i="1"/>
  <c r="K1211" i="1"/>
  <c r="D1212" i="1"/>
  <c r="E1212" i="1"/>
  <c r="K1212" i="1"/>
  <c r="D1213" i="1"/>
  <c r="E1213" i="1"/>
  <c r="K1213" i="1"/>
  <c r="D1214" i="1"/>
  <c r="E1214" i="1"/>
  <c r="K1214" i="1"/>
  <c r="D1215" i="1"/>
  <c r="E1215" i="1"/>
  <c r="K1215" i="1"/>
  <c r="D1216" i="1"/>
  <c r="E1216" i="1"/>
  <c r="K1216" i="1"/>
  <c r="D1217" i="1"/>
  <c r="E1217" i="1"/>
  <c r="K1217" i="1"/>
  <c r="D1218" i="1"/>
  <c r="E1218" i="1"/>
  <c r="K1218" i="1"/>
  <c r="D1219" i="1"/>
  <c r="E1219" i="1"/>
  <c r="K1219" i="1"/>
  <c r="D1220" i="1"/>
  <c r="E1220" i="1"/>
  <c r="K1220" i="1"/>
  <c r="D1221" i="1"/>
  <c r="E1221" i="1"/>
  <c r="K1221" i="1"/>
  <c r="D1222" i="1"/>
  <c r="E1222" i="1"/>
  <c r="K1222" i="1"/>
  <c r="D1223" i="1"/>
  <c r="E1223" i="1"/>
  <c r="K1223" i="1"/>
  <c r="D1224" i="1"/>
  <c r="E1224" i="1"/>
  <c r="K1224" i="1"/>
  <c r="D1225" i="1"/>
  <c r="E1225" i="1"/>
  <c r="K1225" i="1"/>
  <c r="D1226" i="1"/>
  <c r="E1226" i="1"/>
  <c r="K1226" i="1"/>
  <c r="D1227" i="1"/>
  <c r="E1227" i="1"/>
  <c r="K1227" i="1"/>
  <c r="D1228" i="1"/>
  <c r="E1228" i="1"/>
  <c r="K1228" i="1"/>
  <c r="D1229" i="1"/>
  <c r="E1229" i="1"/>
  <c r="K1229" i="1"/>
  <c r="D1230" i="1"/>
  <c r="E1230" i="1"/>
  <c r="K1230" i="1"/>
  <c r="D1231" i="1"/>
  <c r="E1231" i="1"/>
  <c r="K1231" i="1"/>
  <c r="D1232" i="1"/>
  <c r="E1232" i="1"/>
  <c r="K1232" i="1"/>
  <c r="D1233" i="1"/>
  <c r="E1233" i="1"/>
  <c r="K1233" i="1"/>
  <c r="D1234" i="1"/>
  <c r="E1234" i="1"/>
  <c r="K1234" i="1"/>
  <c r="D1235" i="1"/>
  <c r="E1235" i="1"/>
  <c r="K1235" i="1"/>
  <c r="D1236" i="1"/>
  <c r="E1236" i="1"/>
  <c r="K1236" i="1"/>
  <c r="D1237" i="1"/>
  <c r="E1237" i="1"/>
  <c r="K1237" i="1"/>
  <c r="D1238" i="1"/>
  <c r="E1238" i="1"/>
  <c r="K1238" i="1"/>
  <c r="D1239" i="1"/>
  <c r="E1239" i="1"/>
  <c r="K1239" i="1"/>
  <c r="D1240" i="1"/>
  <c r="E1240" i="1"/>
  <c r="K1240" i="1"/>
  <c r="D1241" i="1"/>
  <c r="E1241" i="1"/>
  <c r="K1241" i="1"/>
  <c r="D1242" i="1"/>
  <c r="E1242" i="1"/>
  <c r="K1242" i="1"/>
  <c r="D1243" i="1"/>
  <c r="E1243" i="1"/>
  <c r="K1243" i="1"/>
  <c r="D1244" i="1"/>
  <c r="E1244" i="1"/>
  <c r="K1244" i="1"/>
  <c r="D1245" i="1"/>
  <c r="E1245" i="1"/>
  <c r="K1245" i="1"/>
  <c r="D1246" i="1"/>
  <c r="E1246" i="1"/>
  <c r="K1246" i="1"/>
  <c r="D1247" i="1"/>
  <c r="E1247" i="1"/>
  <c r="K1247" i="1"/>
  <c r="D1248" i="1"/>
  <c r="E1248" i="1"/>
  <c r="K1248" i="1"/>
  <c r="D1249" i="1"/>
  <c r="E1249" i="1"/>
  <c r="K1249" i="1"/>
  <c r="D1250" i="1"/>
  <c r="E1250" i="1"/>
  <c r="K1250" i="1"/>
  <c r="D1251" i="1"/>
  <c r="E1251" i="1"/>
  <c r="K1251" i="1"/>
  <c r="D1252" i="1"/>
  <c r="E1252" i="1"/>
  <c r="K1252" i="1"/>
  <c r="D1253" i="1"/>
  <c r="E1253" i="1"/>
  <c r="K1253" i="1"/>
  <c r="D1254" i="1"/>
  <c r="E1254" i="1"/>
  <c r="K1254" i="1"/>
  <c r="D1255" i="1"/>
  <c r="E1255" i="1"/>
  <c r="K1255" i="1"/>
  <c r="D1256" i="1"/>
  <c r="E1256" i="1"/>
  <c r="K1256" i="1"/>
  <c r="D1257" i="1"/>
  <c r="E1257" i="1"/>
  <c r="K1257" i="1"/>
  <c r="D1258" i="1"/>
  <c r="E1258" i="1"/>
  <c r="K1258" i="1"/>
  <c r="D1259" i="1"/>
  <c r="E1259" i="1"/>
  <c r="K1259" i="1"/>
  <c r="D1260" i="1"/>
  <c r="E1260" i="1"/>
  <c r="K1260" i="1"/>
  <c r="D1261" i="1"/>
  <c r="E1261" i="1"/>
  <c r="K1261" i="1"/>
  <c r="D1262" i="1"/>
  <c r="E1262" i="1"/>
  <c r="K1262" i="1"/>
  <c r="D1263" i="1"/>
  <c r="E1263" i="1"/>
  <c r="K1263" i="1"/>
  <c r="D1264" i="1"/>
  <c r="E1264" i="1"/>
  <c r="K1264" i="1"/>
  <c r="D1265" i="1"/>
  <c r="E1265" i="1"/>
  <c r="K1265" i="1"/>
  <c r="D1266" i="1"/>
  <c r="E1266" i="1"/>
  <c r="K1266" i="1"/>
  <c r="D1267" i="1"/>
  <c r="E1267" i="1"/>
  <c r="K1267" i="1"/>
  <c r="D1268" i="1"/>
  <c r="E1268" i="1"/>
  <c r="K1268" i="1"/>
  <c r="D1269" i="1"/>
  <c r="E1269" i="1"/>
  <c r="K1269" i="1"/>
  <c r="D1270" i="1"/>
  <c r="E1270" i="1"/>
  <c r="K1270" i="1"/>
  <c r="D1271" i="1"/>
  <c r="E1271" i="1"/>
  <c r="K1271" i="1"/>
  <c r="D1272" i="1"/>
  <c r="E1272" i="1"/>
  <c r="K1272" i="1"/>
  <c r="D1273" i="1"/>
  <c r="E1273" i="1"/>
  <c r="K1273" i="1"/>
  <c r="D1274" i="1"/>
  <c r="E1274" i="1"/>
  <c r="K1274" i="1"/>
  <c r="D1275" i="1"/>
  <c r="E1275" i="1"/>
  <c r="K1275" i="1"/>
  <c r="D1276" i="1"/>
  <c r="E1276" i="1"/>
  <c r="K1276" i="1"/>
  <c r="D1277" i="1"/>
  <c r="E1277" i="1"/>
  <c r="K1277" i="1"/>
  <c r="D1278" i="1"/>
  <c r="E1278" i="1"/>
  <c r="K1278" i="1"/>
  <c r="D1279" i="1"/>
  <c r="E1279" i="1"/>
  <c r="K1279" i="1"/>
  <c r="D1280" i="1"/>
  <c r="E1280" i="1"/>
  <c r="K1280" i="1"/>
  <c r="D1281" i="1"/>
  <c r="E1281" i="1"/>
  <c r="K1281" i="1"/>
  <c r="D1282" i="1"/>
  <c r="E1282" i="1"/>
  <c r="K1282" i="1"/>
  <c r="D1283" i="1"/>
  <c r="E1283" i="1"/>
  <c r="K1283" i="1"/>
  <c r="D1284" i="1"/>
  <c r="E1284" i="1"/>
  <c r="K1284" i="1"/>
  <c r="D1285" i="1"/>
  <c r="E1285" i="1"/>
  <c r="K1285" i="1"/>
  <c r="D1286" i="1"/>
  <c r="E1286" i="1"/>
  <c r="K1286" i="1"/>
  <c r="D1287" i="1"/>
  <c r="E1287" i="1"/>
  <c r="K1287" i="1"/>
  <c r="D1288" i="1"/>
  <c r="E1288" i="1"/>
  <c r="K1288" i="1"/>
  <c r="D1289" i="1"/>
  <c r="E1289" i="1"/>
  <c r="K1289" i="1"/>
  <c r="D1290" i="1"/>
  <c r="E1290" i="1"/>
  <c r="K1290" i="1"/>
  <c r="D1291" i="1"/>
  <c r="E1291" i="1"/>
  <c r="K1291" i="1"/>
  <c r="D1292" i="1"/>
  <c r="E1292" i="1"/>
  <c r="K1292" i="1"/>
  <c r="D1293" i="1"/>
  <c r="E1293" i="1"/>
  <c r="K1293" i="1"/>
  <c r="D1294" i="1"/>
  <c r="E1294" i="1"/>
  <c r="K1294" i="1"/>
  <c r="D1295" i="1"/>
  <c r="E1295" i="1"/>
  <c r="K1295" i="1"/>
  <c r="D1296" i="1"/>
  <c r="E1296" i="1"/>
  <c r="K1296" i="1"/>
  <c r="D1297" i="1"/>
  <c r="E1297" i="1"/>
  <c r="K1297" i="1"/>
  <c r="D1298" i="1"/>
  <c r="E1298" i="1"/>
  <c r="K1298" i="1"/>
  <c r="D1299" i="1"/>
  <c r="E1299" i="1"/>
  <c r="K1299" i="1"/>
  <c r="D1300" i="1"/>
  <c r="E1300" i="1"/>
  <c r="K1300" i="1"/>
  <c r="D1301" i="1"/>
  <c r="E1301" i="1"/>
  <c r="K1301" i="1"/>
  <c r="D1302" i="1"/>
  <c r="E1302" i="1"/>
  <c r="K1302" i="1"/>
  <c r="D1303" i="1"/>
  <c r="E1303" i="1"/>
  <c r="K1303" i="1"/>
  <c r="D1304" i="1"/>
  <c r="E1304" i="1"/>
  <c r="K1304" i="1"/>
  <c r="D1305" i="1"/>
  <c r="E1305" i="1"/>
  <c r="K1305" i="1"/>
  <c r="D1306" i="1"/>
  <c r="E1306" i="1"/>
  <c r="K1306" i="1"/>
  <c r="D1307" i="1"/>
  <c r="E1307" i="1"/>
  <c r="K1307" i="1"/>
  <c r="D1308" i="1"/>
  <c r="E1308" i="1"/>
  <c r="K1308" i="1"/>
  <c r="D1309" i="1"/>
  <c r="E1309" i="1"/>
  <c r="K1309" i="1"/>
  <c r="D1310" i="1"/>
  <c r="E1310" i="1"/>
  <c r="K1310" i="1"/>
  <c r="D1311" i="1"/>
  <c r="E1311" i="1"/>
  <c r="K1311" i="1"/>
  <c r="D1312" i="1"/>
  <c r="E1312" i="1"/>
  <c r="K1312" i="1"/>
  <c r="D1313" i="1"/>
  <c r="E1313" i="1"/>
  <c r="K1313" i="1"/>
  <c r="D1314" i="1"/>
  <c r="E1314" i="1"/>
  <c r="K1314" i="1"/>
  <c r="D1315" i="1"/>
  <c r="E1315" i="1"/>
  <c r="K1315" i="1"/>
  <c r="D1316" i="1"/>
  <c r="E1316" i="1"/>
  <c r="K1316" i="1"/>
  <c r="D1317" i="1"/>
  <c r="E1317" i="1"/>
  <c r="K1317" i="1"/>
  <c r="D1318" i="1"/>
  <c r="E1318" i="1"/>
  <c r="K1318" i="1"/>
  <c r="D1319" i="1"/>
  <c r="E1319" i="1"/>
  <c r="K1319" i="1"/>
  <c r="D1320" i="1"/>
  <c r="E1320" i="1"/>
  <c r="K1320" i="1"/>
  <c r="D1321" i="1"/>
  <c r="E1321" i="1"/>
  <c r="K1321" i="1"/>
  <c r="D1322" i="1"/>
  <c r="E1322" i="1"/>
  <c r="K1322" i="1"/>
  <c r="D1323" i="1"/>
  <c r="E1323" i="1"/>
  <c r="K1323" i="1"/>
  <c r="D1324" i="1"/>
  <c r="E1324" i="1"/>
  <c r="K1324" i="1"/>
  <c r="D1325" i="1"/>
  <c r="E1325" i="1"/>
  <c r="K1325" i="1"/>
  <c r="D1326" i="1"/>
  <c r="E1326" i="1"/>
  <c r="K1326" i="1"/>
  <c r="D1327" i="1"/>
  <c r="E1327" i="1"/>
  <c r="K1327" i="1"/>
  <c r="D1328" i="1"/>
  <c r="E1328" i="1"/>
  <c r="K1328" i="1"/>
  <c r="D1329" i="1"/>
  <c r="E1329" i="1"/>
  <c r="K1329" i="1"/>
  <c r="D1330" i="1"/>
  <c r="E1330" i="1"/>
  <c r="K1330" i="1"/>
  <c r="D1331" i="1"/>
  <c r="E1331" i="1"/>
  <c r="K1331" i="1"/>
  <c r="D1332" i="1"/>
  <c r="E1332" i="1"/>
  <c r="K1332" i="1"/>
  <c r="D1333" i="1"/>
  <c r="E1333" i="1"/>
  <c r="K1333" i="1"/>
  <c r="D1334" i="1"/>
  <c r="E1334" i="1"/>
  <c r="K1334" i="1"/>
  <c r="D1335" i="1"/>
  <c r="E1335" i="1"/>
  <c r="K1335" i="1"/>
  <c r="D1336" i="1"/>
  <c r="E1336" i="1"/>
  <c r="K1336" i="1"/>
  <c r="D1337" i="1"/>
  <c r="E1337" i="1"/>
  <c r="K1337" i="1"/>
  <c r="D1338" i="1"/>
  <c r="E1338" i="1"/>
  <c r="K1338" i="1"/>
  <c r="D1339" i="1"/>
  <c r="E1339" i="1"/>
  <c r="K1339" i="1"/>
  <c r="D1340" i="1"/>
  <c r="E1340" i="1"/>
  <c r="K1340" i="1"/>
  <c r="D1341" i="1"/>
  <c r="E1341" i="1"/>
  <c r="K1341" i="1"/>
  <c r="D1342" i="1"/>
  <c r="E1342" i="1"/>
  <c r="K1342" i="1"/>
  <c r="D1343" i="1"/>
  <c r="E1343" i="1"/>
  <c r="K1343" i="1"/>
  <c r="D1344" i="1"/>
  <c r="E1344" i="1"/>
  <c r="K1344" i="1"/>
  <c r="D1345" i="1"/>
  <c r="E1345" i="1"/>
  <c r="K1345" i="1"/>
  <c r="D1346" i="1"/>
  <c r="E1346" i="1"/>
  <c r="K1346" i="1"/>
  <c r="D1347" i="1"/>
  <c r="E1347" i="1"/>
  <c r="K1347" i="1"/>
  <c r="D1348" i="1"/>
  <c r="E1348" i="1"/>
  <c r="K1348" i="1"/>
  <c r="D1349" i="1"/>
  <c r="E1349" i="1"/>
  <c r="K1349" i="1"/>
  <c r="D1350" i="1"/>
  <c r="E1350" i="1"/>
  <c r="K1350" i="1"/>
  <c r="D1351" i="1"/>
  <c r="E1351" i="1"/>
  <c r="K1351" i="1"/>
  <c r="D1352" i="1"/>
  <c r="E1352" i="1"/>
  <c r="K1352" i="1"/>
  <c r="D1353" i="1"/>
  <c r="E1353" i="1"/>
  <c r="K1353" i="1"/>
  <c r="D1354" i="1"/>
  <c r="E1354" i="1"/>
  <c r="K1354" i="1"/>
  <c r="D1355" i="1"/>
  <c r="E1355" i="1"/>
  <c r="K1355" i="1"/>
  <c r="D1356" i="1"/>
  <c r="E1356" i="1"/>
  <c r="K1356" i="1"/>
  <c r="D1357" i="1"/>
  <c r="E1357" i="1"/>
  <c r="K1357" i="1"/>
  <c r="D1358" i="1"/>
  <c r="E1358" i="1"/>
  <c r="K1358" i="1"/>
  <c r="D1359" i="1"/>
  <c r="E1359" i="1"/>
  <c r="K1359" i="1"/>
  <c r="D1360" i="1"/>
  <c r="E1360" i="1"/>
  <c r="K1360" i="1"/>
  <c r="D1361" i="1"/>
  <c r="E1361" i="1"/>
  <c r="K1361" i="1"/>
  <c r="D1362" i="1"/>
  <c r="E1362" i="1"/>
  <c r="K1362" i="1"/>
  <c r="D1363" i="1"/>
  <c r="E1363" i="1"/>
  <c r="K1363" i="1"/>
  <c r="D1364" i="1"/>
  <c r="E1364" i="1"/>
  <c r="K1364" i="1"/>
  <c r="D1365" i="1"/>
  <c r="E1365" i="1"/>
  <c r="K1365" i="1"/>
  <c r="D1366" i="1"/>
  <c r="E1366" i="1"/>
  <c r="K1366" i="1"/>
  <c r="D1367" i="1"/>
  <c r="E1367" i="1"/>
  <c r="K1367" i="1"/>
  <c r="D1368" i="1"/>
  <c r="E1368" i="1"/>
  <c r="K1368" i="1"/>
  <c r="D1369" i="1"/>
  <c r="E1369" i="1"/>
  <c r="K1369" i="1"/>
  <c r="D1370" i="1"/>
  <c r="E1370" i="1"/>
  <c r="K1370" i="1"/>
  <c r="D1371" i="1"/>
  <c r="E1371" i="1"/>
  <c r="K1371" i="1"/>
  <c r="D1372" i="1"/>
  <c r="E1372" i="1"/>
  <c r="K1372" i="1"/>
  <c r="D1373" i="1"/>
  <c r="E1373" i="1"/>
  <c r="K1373" i="1"/>
  <c r="D1374" i="1"/>
  <c r="E1374" i="1"/>
  <c r="K1374" i="1"/>
  <c r="D1375" i="1"/>
  <c r="E1375" i="1"/>
  <c r="K1375" i="1"/>
  <c r="D1376" i="1"/>
  <c r="E1376" i="1"/>
  <c r="K1376" i="1"/>
  <c r="D1377" i="1"/>
  <c r="E1377" i="1"/>
  <c r="K1377" i="1"/>
  <c r="D1378" i="1"/>
  <c r="E1378" i="1"/>
  <c r="K1378" i="1"/>
  <c r="D1379" i="1"/>
  <c r="E1379" i="1"/>
  <c r="K1379" i="1"/>
  <c r="D1380" i="1"/>
  <c r="E1380" i="1"/>
  <c r="K1380" i="1"/>
  <c r="D1381" i="1"/>
  <c r="E1381" i="1"/>
  <c r="K1381" i="1"/>
  <c r="D1382" i="1"/>
  <c r="E1382" i="1"/>
  <c r="K1382" i="1"/>
  <c r="D1383" i="1"/>
  <c r="E1383" i="1"/>
  <c r="K1383" i="1"/>
  <c r="D1384" i="1"/>
  <c r="E1384" i="1"/>
  <c r="K1384" i="1"/>
  <c r="D1385" i="1"/>
  <c r="E1385" i="1"/>
  <c r="K1385" i="1"/>
  <c r="D1386" i="1"/>
  <c r="E1386" i="1"/>
  <c r="K1386" i="1"/>
  <c r="D1387" i="1"/>
  <c r="E1387" i="1"/>
  <c r="K1387" i="1"/>
  <c r="D1388" i="1"/>
  <c r="E1388" i="1"/>
  <c r="K1388" i="1"/>
  <c r="D1389" i="1"/>
  <c r="E1389" i="1"/>
  <c r="K1389" i="1"/>
  <c r="D1390" i="1"/>
  <c r="E1390" i="1"/>
  <c r="K1390" i="1"/>
  <c r="D1391" i="1"/>
  <c r="E1391" i="1"/>
  <c r="K1391" i="1"/>
  <c r="D1392" i="1"/>
  <c r="E1392" i="1"/>
  <c r="K1392" i="1"/>
  <c r="D1393" i="1"/>
  <c r="E1393" i="1"/>
  <c r="K1393" i="1"/>
  <c r="D1394" i="1"/>
  <c r="E1394" i="1"/>
  <c r="K1394" i="1"/>
  <c r="D1395" i="1"/>
  <c r="E1395" i="1"/>
  <c r="K1395" i="1"/>
  <c r="D1396" i="1"/>
  <c r="E1396" i="1"/>
  <c r="K1396" i="1"/>
  <c r="D1397" i="1"/>
  <c r="E1397" i="1"/>
  <c r="K1397" i="1"/>
  <c r="D1398" i="1"/>
  <c r="E1398" i="1"/>
  <c r="K1398" i="1"/>
  <c r="D1399" i="1"/>
  <c r="E1399" i="1"/>
  <c r="K1399" i="1"/>
  <c r="D1400" i="1"/>
  <c r="E1400" i="1"/>
  <c r="K1400" i="1"/>
  <c r="D1401" i="1"/>
  <c r="K1401" i="1"/>
  <c r="D1402" i="1"/>
  <c r="E1402" i="1"/>
  <c r="K1402" i="1"/>
  <c r="D1403" i="1"/>
  <c r="E1403" i="1"/>
  <c r="K1403" i="1"/>
  <c r="D1404" i="1"/>
  <c r="K1404" i="1"/>
  <c r="D1405" i="1"/>
  <c r="E1405" i="1"/>
  <c r="K1405" i="1"/>
  <c r="D1406" i="1"/>
  <c r="E1406" i="1"/>
  <c r="K1406" i="1"/>
  <c r="D1407" i="1"/>
  <c r="K1407" i="1"/>
  <c r="D1408" i="1"/>
  <c r="E1408" i="1"/>
  <c r="K1408" i="1"/>
  <c r="D1409" i="1"/>
  <c r="E1409" i="1"/>
  <c r="K1409" i="1"/>
  <c r="D1410" i="1"/>
  <c r="E1410" i="1"/>
  <c r="K1410" i="1"/>
  <c r="D1411" i="1"/>
  <c r="K1411" i="1"/>
  <c r="D1412" i="1"/>
  <c r="E1412" i="1"/>
  <c r="K1412" i="1"/>
  <c r="D1413" i="1"/>
  <c r="E1413" i="1"/>
  <c r="K1413" i="1"/>
  <c r="D1414" i="1"/>
  <c r="E1414" i="1"/>
  <c r="K1414" i="1"/>
  <c r="D1415" i="1"/>
  <c r="E1415" i="1"/>
  <c r="K1415" i="1"/>
  <c r="D1416" i="1"/>
  <c r="E1416" i="1"/>
  <c r="K1416" i="1"/>
  <c r="D1417" i="1"/>
  <c r="E1417" i="1"/>
  <c r="K1417" i="1"/>
  <c r="D1418" i="1"/>
  <c r="E1418" i="1"/>
  <c r="K1418" i="1"/>
  <c r="D1419" i="1"/>
  <c r="E1419" i="1"/>
  <c r="K1419" i="1"/>
  <c r="D1420" i="1"/>
  <c r="E1420" i="1"/>
  <c r="K1420" i="1"/>
  <c r="D1421" i="1"/>
  <c r="E1421" i="1"/>
  <c r="K1421" i="1"/>
  <c r="D1422" i="1"/>
  <c r="E1422" i="1"/>
  <c r="K1422" i="1"/>
  <c r="D1423" i="1"/>
  <c r="E1423" i="1"/>
  <c r="K1423" i="1"/>
  <c r="D1424" i="1"/>
  <c r="E1424" i="1"/>
  <c r="K1424" i="1"/>
  <c r="D1425" i="1"/>
  <c r="E1425" i="1"/>
  <c r="K1425" i="1"/>
  <c r="D1426" i="1"/>
  <c r="E1426" i="1"/>
  <c r="K1426" i="1"/>
  <c r="D1427" i="1"/>
  <c r="E1427" i="1"/>
  <c r="K1427" i="1"/>
  <c r="D1428" i="1"/>
  <c r="E1428" i="1"/>
  <c r="K1428" i="1"/>
  <c r="D1429" i="1"/>
  <c r="E1429" i="1"/>
  <c r="K1429" i="1"/>
  <c r="D1430" i="1"/>
  <c r="E1430" i="1"/>
  <c r="K1430" i="1"/>
  <c r="D1431" i="1"/>
  <c r="E1431" i="1"/>
  <c r="K1431" i="1"/>
  <c r="D1432" i="1"/>
  <c r="E1432" i="1"/>
  <c r="K1432" i="1"/>
  <c r="D1433" i="1"/>
  <c r="E1433" i="1"/>
  <c r="K1433" i="1"/>
  <c r="D1434" i="1"/>
  <c r="E1434" i="1"/>
  <c r="K1434" i="1"/>
  <c r="D1435" i="1"/>
  <c r="E1435" i="1"/>
  <c r="K1435" i="1"/>
  <c r="D1436" i="1"/>
  <c r="E1436" i="1"/>
  <c r="K1436" i="1"/>
  <c r="D1437" i="1"/>
  <c r="E1437" i="1"/>
  <c r="K1437" i="1"/>
  <c r="D1438" i="1"/>
  <c r="E1438" i="1"/>
  <c r="K1438" i="1"/>
  <c r="D1439" i="1"/>
  <c r="E1439" i="1"/>
  <c r="K1439" i="1"/>
  <c r="D1440" i="1"/>
  <c r="E1440" i="1"/>
  <c r="K1440" i="1"/>
  <c r="D1441" i="1"/>
  <c r="E1441" i="1"/>
  <c r="K1441" i="1"/>
  <c r="D1442" i="1"/>
  <c r="E1442" i="1"/>
  <c r="K1442" i="1"/>
  <c r="D1443" i="1"/>
  <c r="E1443" i="1"/>
  <c r="K1443" i="1"/>
  <c r="D1444" i="1"/>
  <c r="E1444" i="1"/>
  <c r="K1444" i="1"/>
  <c r="D1445" i="1"/>
  <c r="E1445" i="1"/>
  <c r="K1445" i="1"/>
  <c r="D1446" i="1"/>
  <c r="E1446" i="1"/>
  <c r="K1446" i="1"/>
  <c r="D1447" i="1"/>
  <c r="E1447" i="1"/>
  <c r="K1447" i="1"/>
  <c r="D1448" i="1"/>
  <c r="E1448" i="1"/>
  <c r="K1448" i="1"/>
  <c r="D1449" i="1"/>
  <c r="E1449" i="1"/>
  <c r="K1449" i="1"/>
  <c r="D1450" i="1"/>
  <c r="E1450" i="1"/>
  <c r="K1450" i="1"/>
  <c r="D1451" i="1"/>
  <c r="E1451" i="1"/>
  <c r="K1451" i="1"/>
  <c r="D1452" i="1"/>
  <c r="E1452" i="1"/>
  <c r="K1452" i="1"/>
  <c r="D1453" i="1"/>
  <c r="E1453" i="1"/>
  <c r="K1453" i="1"/>
  <c r="D1454" i="1"/>
  <c r="E1454" i="1"/>
  <c r="K1454" i="1"/>
  <c r="D1455" i="1"/>
  <c r="E1455" i="1"/>
  <c r="K1455" i="1"/>
  <c r="D1456" i="1"/>
  <c r="E1456" i="1"/>
  <c r="K1456" i="1"/>
  <c r="D1457" i="1"/>
  <c r="E1457" i="1"/>
  <c r="K1457" i="1"/>
  <c r="D1458" i="1"/>
  <c r="E1458" i="1"/>
  <c r="K1458" i="1"/>
  <c r="D1459" i="1"/>
  <c r="E1459" i="1"/>
  <c r="K1459" i="1"/>
  <c r="D1460" i="1"/>
  <c r="E1460" i="1"/>
  <c r="K1460" i="1"/>
  <c r="D1461" i="1"/>
  <c r="E1461" i="1"/>
  <c r="K1461" i="1"/>
  <c r="D1462" i="1"/>
  <c r="E1462" i="1"/>
  <c r="K1462" i="1"/>
  <c r="D1463" i="1"/>
  <c r="E1463" i="1"/>
  <c r="K1463" i="1"/>
  <c r="D1464" i="1"/>
  <c r="E1464" i="1"/>
  <c r="K1464" i="1"/>
  <c r="D1465" i="1"/>
  <c r="E1465" i="1"/>
  <c r="K1465" i="1"/>
  <c r="D1466" i="1"/>
  <c r="E1466" i="1"/>
  <c r="K1466" i="1"/>
  <c r="D1467" i="1"/>
  <c r="E1467" i="1"/>
  <c r="K1467" i="1"/>
  <c r="D1468" i="1"/>
  <c r="E1468" i="1"/>
  <c r="K1468" i="1"/>
  <c r="D1469" i="1"/>
  <c r="E1469" i="1"/>
  <c r="K1469" i="1"/>
  <c r="D1470" i="1"/>
  <c r="E1470" i="1"/>
  <c r="K1470" i="1"/>
  <c r="D1471" i="1"/>
  <c r="E1471" i="1"/>
  <c r="K1471" i="1"/>
  <c r="D1472" i="1"/>
  <c r="E1472" i="1"/>
  <c r="K1472" i="1"/>
  <c r="D1473" i="1"/>
  <c r="E1473" i="1"/>
  <c r="K1473" i="1"/>
  <c r="D1474" i="1"/>
  <c r="E1474" i="1"/>
  <c r="K1474" i="1"/>
  <c r="D1475" i="1"/>
  <c r="E1475" i="1"/>
  <c r="K1475" i="1"/>
  <c r="D1476" i="1"/>
  <c r="E1476" i="1"/>
  <c r="K1476" i="1"/>
  <c r="D1477" i="1"/>
  <c r="E1477" i="1"/>
  <c r="K1477" i="1"/>
  <c r="D1478" i="1"/>
  <c r="E1478" i="1"/>
  <c r="K1478" i="1"/>
  <c r="D1479" i="1"/>
  <c r="E1479" i="1"/>
  <c r="K1479" i="1"/>
  <c r="D1480" i="1"/>
  <c r="E1480" i="1"/>
  <c r="K1480" i="1"/>
  <c r="D1481" i="1"/>
  <c r="E1481" i="1"/>
  <c r="K1481" i="1"/>
  <c r="D1482" i="1"/>
  <c r="E1482" i="1"/>
  <c r="K1482" i="1"/>
  <c r="D1483" i="1"/>
  <c r="E1483" i="1"/>
  <c r="K1483" i="1"/>
  <c r="D1484" i="1"/>
  <c r="E1484" i="1"/>
  <c r="K1484" i="1"/>
  <c r="D1485" i="1"/>
  <c r="E1485" i="1"/>
  <c r="K1485" i="1"/>
  <c r="D1486" i="1"/>
  <c r="E1486" i="1"/>
  <c r="K1486" i="1"/>
  <c r="D1487" i="1"/>
  <c r="E1487" i="1"/>
  <c r="D1488" i="1"/>
  <c r="E1488" i="1"/>
  <c r="K1488" i="1"/>
  <c r="D1489" i="1"/>
  <c r="E1489" i="1"/>
  <c r="K1489" i="1"/>
  <c r="D1490" i="1"/>
  <c r="E1490" i="1"/>
  <c r="K1490" i="1"/>
  <c r="D1491" i="1"/>
  <c r="E1491" i="1"/>
  <c r="K1491" i="1"/>
  <c r="D1492" i="1"/>
  <c r="E1492" i="1"/>
  <c r="K1492" i="1"/>
  <c r="D1493" i="1"/>
  <c r="E1493" i="1"/>
  <c r="K1493" i="1"/>
  <c r="D1494" i="1"/>
  <c r="E1494" i="1"/>
  <c r="K1494" i="1"/>
  <c r="D1495" i="1"/>
  <c r="E1495" i="1"/>
  <c r="K1495" i="1"/>
  <c r="D1496" i="1"/>
  <c r="E1496" i="1"/>
  <c r="K1496" i="1"/>
  <c r="D1497" i="1"/>
  <c r="E1497" i="1"/>
  <c r="K1497" i="1"/>
  <c r="D1498" i="1"/>
  <c r="E1498" i="1"/>
  <c r="K1498" i="1"/>
  <c r="D1499" i="1"/>
  <c r="E1499" i="1"/>
  <c r="K1499" i="1"/>
  <c r="D1500" i="1"/>
  <c r="E1500" i="1"/>
  <c r="K1500" i="1"/>
  <c r="D1501" i="1"/>
  <c r="E1501" i="1"/>
  <c r="K1501" i="1"/>
  <c r="D1502" i="1"/>
  <c r="E1502" i="1"/>
  <c r="K1502" i="1"/>
  <c r="D1503" i="1"/>
  <c r="E1503" i="1"/>
  <c r="K1503" i="1"/>
  <c r="D1504" i="1"/>
  <c r="E1504" i="1"/>
  <c r="K1504" i="1"/>
  <c r="D1505" i="1"/>
  <c r="E1505" i="1"/>
  <c r="K1505" i="1"/>
  <c r="D1506" i="1"/>
  <c r="E1506" i="1"/>
  <c r="K1506" i="1"/>
  <c r="D1507" i="1"/>
  <c r="E1507" i="1"/>
  <c r="K1507" i="1"/>
  <c r="D1508" i="1"/>
  <c r="E1508" i="1"/>
  <c r="K1508" i="1"/>
  <c r="D1509" i="1"/>
  <c r="E1509" i="1"/>
  <c r="K1509" i="1"/>
  <c r="D1510" i="1"/>
  <c r="E1510" i="1"/>
  <c r="K1510" i="1"/>
  <c r="D1511" i="1"/>
  <c r="E1511" i="1"/>
  <c r="K1511" i="1"/>
  <c r="D1512" i="1"/>
  <c r="E1512" i="1"/>
  <c r="K1512" i="1"/>
  <c r="D1513" i="1"/>
  <c r="E1513" i="1"/>
  <c r="K1513" i="1"/>
  <c r="D1514" i="1"/>
  <c r="E1514" i="1"/>
  <c r="K1514" i="1"/>
  <c r="D1515" i="1"/>
  <c r="E1515" i="1"/>
  <c r="K1515" i="1"/>
  <c r="D1516" i="1"/>
  <c r="E1516" i="1"/>
  <c r="K1516" i="1"/>
  <c r="D1517" i="1"/>
  <c r="E1517" i="1"/>
  <c r="K1517" i="1"/>
  <c r="D1518" i="1"/>
  <c r="E1518" i="1"/>
  <c r="K1518" i="1"/>
  <c r="D1519" i="1"/>
  <c r="E1519" i="1"/>
  <c r="K1519" i="1"/>
  <c r="D1520" i="1"/>
  <c r="E1520" i="1"/>
  <c r="K1520" i="1"/>
  <c r="D1521" i="1"/>
  <c r="E1521" i="1"/>
  <c r="K1521" i="1"/>
  <c r="D1522" i="1"/>
  <c r="K1522" i="1"/>
  <c r="D1523" i="1"/>
  <c r="K1523" i="1"/>
  <c r="D1524" i="1"/>
  <c r="K1524" i="1"/>
  <c r="D1525" i="1"/>
  <c r="K1525" i="1"/>
  <c r="D1526" i="1"/>
  <c r="K1526" i="1"/>
  <c r="D1527" i="1"/>
  <c r="K1527" i="1"/>
  <c r="D1528" i="1"/>
  <c r="K1528" i="1"/>
  <c r="D1529" i="1"/>
  <c r="K1529" i="1"/>
  <c r="D1530" i="1"/>
  <c r="K1530" i="1"/>
  <c r="D1531" i="1"/>
  <c r="K1531" i="1"/>
  <c r="D1532" i="1"/>
  <c r="K1532" i="1"/>
  <c r="D1533" i="1"/>
  <c r="K1533" i="1"/>
  <c r="D1534" i="1"/>
  <c r="K1534" i="1"/>
  <c r="D1535" i="1"/>
  <c r="K1535" i="1"/>
  <c r="D1536" i="1"/>
  <c r="K1536" i="1"/>
  <c r="D1537" i="1"/>
  <c r="E1537" i="1"/>
  <c r="K1537" i="1"/>
  <c r="D1538" i="1"/>
  <c r="E1538" i="1"/>
  <c r="K1538" i="1"/>
  <c r="D1539" i="1"/>
  <c r="E1539" i="1"/>
  <c r="K1539" i="1"/>
  <c r="D1540" i="1"/>
  <c r="E1540" i="1"/>
  <c r="K1540" i="1"/>
  <c r="D1541" i="1"/>
  <c r="E1541" i="1"/>
  <c r="K1541" i="1"/>
  <c r="D1542" i="1"/>
  <c r="E1542" i="1"/>
  <c r="K1542" i="1"/>
  <c r="D1543" i="1"/>
  <c r="E1543" i="1"/>
  <c r="K1543" i="1"/>
  <c r="D1544" i="1"/>
  <c r="E1544" i="1"/>
  <c r="K1544" i="1"/>
  <c r="D1545" i="1"/>
  <c r="E1545" i="1"/>
  <c r="K1545" i="1"/>
  <c r="D1546" i="1"/>
  <c r="E1546" i="1"/>
  <c r="K1546" i="1"/>
  <c r="D1547" i="1"/>
  <c r="E1547" i="1"/>
  <c r="K1547" i="1"/>
  <c r="D1548" i="1"/>
  <c r="E1548" i="1"/>
  <c r="K1548" i="1"/>
  <c r="D1549" i="1"/>
  <c r="E1549" i="1"/>
  <c r="K1549" i="1"/>
  <c r="D1550" i="1"/>
  <c r="E1550" i="1"/>
  <c r="K1550" i="1"/>
  <c r="D1551" i="1"/>
  <c r="E1551" i="1"/>
  <c r="K1551" i="1"/>
  <c r="D1552" i="1"/>
  <c r="E1552" i="1"/>
  <c r="K1552" i="1"/>
  <c r="D1553" i="1"/>
  <c r="E1553" i="1"/>
  <c r="K1553" i="1"/>
  <c r="D1554" i="1"/>
  <c r="E1554" i="1"/>
  <c r="K1554" i="1"/>
  <c r="D1555" i="1"/>
  <c r="E1555" i="1"/>
  <c r="K1555" i="1"/>
  <c r="D1556" i="1"/>
  <c r="E1556" i="1"/>
  <c r="K1556" i="1"/>
  <c r="D1557" i="1"/>
  <c r="E1557" i="1"/>
  <c r="K1557" i="1"/>
  <c r="D1558" i="1"/>
  <c r="E1558" i="1"/>
  <c r="K1558" i="1"/>
  <c r="D1559" i="1"/>
  <c r="E1559" i="1"/>
  <c r="K1559" i="1"/>
  <c r="D1560" i="1"/>
  <c r="E1560" i="1"/>
  <c r="K1560" i="1"/>
  <c r="D1561" i="1"/>
  <c r="E1561" i="1"/>
  <c r="K1561" i="1"/>
  <c r="D1562" i="1"/>
  <c r="E1562" i="1"/>
  <c r="K1562" i="1"/>
  <c r="D1563" i="1"/>
  <c r="E1563" i="1"/>
  <c r="K1563" i="1"/>
  <c r="D1564" i="1"/>
  <c r="E1564" i="1"/>
  <c r="K1564" i="1"/>
  <c r="D1565" i="1"/>
  <c r="E1565" i="1"/>
  <c r="K1565" i="1"/>
  <c r="D1566" i="1"/>
  <c r="E1566" i="1"/>
  <c r="K1566" i="1"/>
  <c r="D1567" i="1"/>
  <c r="E1567" i="1"/>
  <c r="K1567" i="1"/>
  <c r="D1568" i="1"/>
  <c r="E1568" i="1"/>
  <c r="K1568" i="1"/>
  <c r="D1569" i="1"/>
  <c r="E1569" i="1"/>
  <c r="K1569" i="1"/>
  <c r="D1570" i="1"/>
  <c r="E1570" i="1"/>
  <c r="K1570" i="1"/>
  <c r="D1571" i="1"/>
  <c r="E1571" i="1"/>
  <c r="K1571" i="1"/>
  <c r="D1572" i="1"/>
  <c r="E1572" i="1"/>
  <c r="K1572" i="1"/>
  <c r="D1573" i="1"/>
  <c r="E1573" i="1"/>
  <c r="K1573" i="1"/>
  <c r="D1574" i="1"/>
  <c r="E1574" i="1"/>
  <c r="K1574" i="1"/>
  <c r="D1575" i="1"/>
  <c r="E1575" i="1"/>
  <c r="K1575" i="1"/>
  <c r="D1576" i="1"/>
  <c r="E1576" i="1"/>
  <c r="K1576" i="1"/>
  <c r="D1577" i="1"/>
  <c r="E1577" i="1"/>
  <c r="K1577" i="1"/>
  <c r="D1578" i="1"/>
  <c r="E1578" i="1"/>
  <c r="K1578" i="1"/>
  <c r="D1579" i="1"/>
  <c r="E1579" i="1"/>
  <c r="K1579" i="1"/>
  <c r="D1580" i="1"/>
  <c r="E1580" i="1"/>
  <c r="K1580" i="1"/>
  <c r="D1581" i="1"/>
  <c r="E1581" i="1"/>
  <c r="K1581" i="1"/>
  <c r="D1582" i="1"/>
  <c r="E1582" i="1"/>
  <c r="K1582" i="1"/>
  <c r="D1583" i="1"/>
  <c r="E1583" i="1"/>
  <c r="K1583" i="1"/>
  <c r="D1584" i="1"/>
  <c r="E1584" i="1"/>
  <c r="K1584" i="1"/>
  <c r="D1585" i="1"/>
  <c r="E1585" i="1"/>
  <c r="K1585" i="1"/>
  <c r="D1586" i="1"/>
  <c r="E1586" i="1"/>
  <c r="K1586" i="1"/>
  <c r="D1587" i="1"/>
  <c r="E1587" i="1"/>
  <c r="K1587" i="1"/>
  <c r="D1588" i="1"/>
  <c r="E1588" i="1"/>
  <c r="K1588" i="1"/>
  <c r="D1589" i="1"/>
  <c r="E1589" i="1"/>
  <c r="K1589" i="1"/>
  <c r="D1590" i="1"/>
  <c r="E1590" i="1"/>
  <c r="K1590" i="1"/>
  <c r="D1591" i="1"/>
  <c r="E1591" i="1"/>
  <c r="K1591" i="1"/>
  <c r="D1592" i="1"/>
  <c r="E1592" i="1"/>
  <c r="K1592" i="1"/>
  <c r="D1593" i="1"/>
  <c r="E1593" i="1"/>
  <c r="K1593" i="1"/>
  <c r="D1594" i="1"/>
  <c r="E1594" i="1"/>
  <c r="K1594" i="1"/>
  <c r="D1595" i="1"/>
  <c r="E1595" i="1"/>
  <c r="K1595" i="1"/>
  <c r="D1596" i="1"/>
  <c r="E1596" i="1"/>
  <c r="K1596" i="1"/>
  <c r="D1597" i="1"/>
  <c r="E1597" i="1"/>
  <c r="K1597" i="1"/>
  <c r="D1598" i="1"/>
  <c r="E1598" i="1"/>
  <c r="K1598" i="1"/>
  <c r="D1599" i="1"/>
  <c r="E1599" i="1"/>
  <c r="K1599" i="1"/>
  <c r="D1600" i="1"/>
  <c r="E1600" i="1"/>
  <c r="K1600" i="1"/>
  <c r="D1601" i="1"/>
  <c r="E1601" i="1"/>
  <c r="K1601" i="1"/>
  <c r="D1602" i="1"/>
  <c r="E1602" i="1"/>
  <c r="K1602" i="1"/>
  <c r="D1603" i="1"/>
  <c r="E1603" i="1"/>
  <c r="K1603" i="1"/>
  <c r="D1604" i="1"/>
  <c r="E1604" i="1"/>
  <c r="K1604" i="1"/>
  <c r="D1605" i="1"/>
  <c r="E1605" i="1"/>
  <c r="K1605" i="1"/>
  <c r="D1606" i="1"/>
  <c r="E1606" i="1"/>
  <c r="K1606" i="1"/>
  <c r="D1607" i="1"/>
  <c r="E1607" i="1"/>
  <c r="K1607" i="1"/>
  <c r="D1608" i="1"/>
  <c r="E1608" i="1"/>
  <c r="K1608" i="1"/>
  <c r="D1609" i="1"/>
  <c r="E1609" i="1"/>
  <c r="K1609" i="1"/>
  <c r="D1610" i="1"/>
  <c r="E1610" i="1"/>
  <c r="K1610" i="1"/>
  <c r="D1611" i="1"/>
  <c r="E1611" i="1"/>
  <c r="K1611" i="1"/>
  <c r="D1612" i="1"/>
  <c r="E1612" i="1"/>
  <c r="K1612" i="1"/>
  <c r="D1613" i="1"/>
  <c r="E1613" i="1"/>
  <c r="K1613" i="1"/>
  <c r="D1614" i="1"/>
  <c r="E1614" i="1"/>
  <c r="K1614" i="1"/>
  <c r="D1615" i="1"/>
  <c r="E1615" i="1"/>
  <c r="K1615" i="1"/>
  <c r="D1616" i="1"/>
  <c r="E1616" i="1"/>
  <c r="K1616" i="1"/>
  <c r="D1617" i="1"/>
  <c r="E1617" i="1"/>
  <c r="K1617" i="1"/>
  <c r="D1618" i="1"/>
  <c r="E1618" i="1"/>
  <c r="K1618" i="1"/>
  <c r="D1619" i="1"/>
  <c r="E1619" i="1"/>
  <c r="K1619" i="1"/>
  <c r="D1620" i="1"/>
  <c r="E1620" i="1"/>
  <c r="K1620" i="1"/>
  <c r="D1621" i="1"/>
  <c r="E1621" i="1"/>
  <c r="K1621" i="1"/>
  <c r="D1622" i="1"/>
  <c r="E1622" i="1"/>
  <c r="K1622" i="1"/>
  <c r="D1623" i="1"/>
  <c r="E1623" i="1"/>
  <c r="K1623" i="1"/>
  <c r="D1624" i="1"/>
  <c r="E1624" i="1"/>
  <c r="K1624" i="1"/>
  <c r="D1625" i="1"/>
  <c r="E1625" i="1"/>
  <c r="K1625" i="1"/>
  <c r="D1626" i="1"/>
  <c r="E1626" i="1"/>
  <c r="K1626" i="1"/>
  <c r="D1627" i="1"/>
  <c r="E1627" i="1"/>
  <c r="K1627" i="1"/>
  <c r="D1628" i="1"/>
  <c r="E1628" i="1"/>
  <c r="K1628" i="1"/>
  <c r="D1629" i="1"/>
  <c r="E1629" i="1"/>
  <c r="K1629" i="1"/>
  <c r="D1630" i="1"/>
  <c r="E1630" i="1"/>
  <c r="K1630" i="1"/>
  <c r="D1631" i="1"/>
  <c r="E1631" i="1"/>
  <c r="K1631" i="1"/>
  <c r="D1632" i="1"/>
  <c r="E1632" i="1"/>
  <c r="K1632" i="1"/>
  <c r="D1633" i="1"/>
  <c r="E1633" i="1"/>
  <c r="K1633" i="1"/>
  <c r="D1634" i="1"/>
  <c r="E1634" i="1"/>
  <c r="K1634" i="1"/>
  <c r="D1635" i="1"/>
  <c r="E1635" i="1"/>
  <c r="K1635" i="1"/>
  <c r="D1636" i="1"/>
  <c r="E1636" i="1"/>
  <c r="K1636" i="1"/>
  <c r="D1637" i="1"/>
  <c r="E1637" i="1"/>
  <c r="K1637" i="1"/>
  <c r="D1638" i="1"/>
  <c r="E1638" i="1"/>
  <c r="K1638" i="1"/>
  <c r="D1639" i="1"/>
  <c r="E1639" i="1"/>
  <c r="K1639" i="1"/>
  <c r="D1640" i="1"/>
  <c r="E1640" i="1"/>
  <c r="K1640" i="1"/>
  <c r="D1641" i="1"/>
  <c r="E1641" i="1"/>
  <c r="K1641" i="1"/>
  <c r="D1642" i="1"/>
  <c r="E1642" i="1"/>
  <c r="K1642" i="1"/>
  <c r="D1643" i="1"/>
  <c r="E1643" i="1"/>
  <c r="K1643" i="1"/>
  <c r="D1644" i="1"/>
  <c r="E1644" i="1"/>
  <c r="K1644" i="1"/>
  <c r="D1645" i="1"/>
  <c r="E1645" i="1"/>
  <c r="K1645" i="1"/>
  <c r="D1646" i="1"/>
  <c r="E1646" i="1"/>
  <c r="K1646" i="1"/>
  <c r="D1647" i="1"/>
  <c r="E1647" i="1"/>
  <c r="K1647" i="1"/>
  <c r="D1648" i="1"/>
  <c r="E1648" i="1"/>
  <c r="K1648" i="1"/>
  <c r="D1649" i="1"/>
  <c r="E1649" i="1"/>
  <c r="K1649" i="1"/>
  <c r="D1650" i="1"/>
  <c r="E1650" i="1"/>
  <c r="K1650" i="1"/>
  <c r="D1651" i="1"/>
  <c r="E1651" i="1"/>
  <c r="K1651" i="1"/>
  <c r="D1652" i="1"/>
  <c r="E1652" i="1"/>
  <c r="K1652" i="1"/>
  <c r="D1653" i="1"/>
  <c r="E1653" i="1"/>
  <c r="K1653" i="1"/>
  <c r="D1654" i="1"/>
  <c r="E1654" i="1"/>
  <c r="K1654" i="1"/>
  <c r="D1655" i="1"/>
  <c r="E1655" i="1"/>
  <c r="K1655" i="1"/>
  <c r="D1656" i="1"/>
  <c r="E1656" i="1"/>
  <c r="K1656" i="1"/>
  <c r="D1657" i="1"/>
  <c r="E1657" i="1"/>
  <c r="K1657" i="1"/>
  <c r="D1658" i="1"/>
  <c r="E1658" i="1"/>
  <c r="K1658" i="1"/>
  <c r="D1659" i="1"/>
  <c r="E1659" i="1"/>
  <c r="K1659" i="1"/>
  <c r="D1660" i="1"/>
  <c r="E1660" i="1"/>
  <c r="K1660" i="1"/>
  <c r="D1661" i="1"/>
  <c r="E1661" i="1"/>
  <c r="K1661" i="1"/>
  <c r="D1662" i="1"/>
  <c r="E1662" i="1"/>
  <c r="K1662" i="1"/>
  <c r="D1663" i="1"/>
  <c r="E1663" i="1"/>
  <c r="K1663" i="1"/>
  <c r="D1664" i="1"/>
  <c r="E1664" i="1"/>
  <c r="K1664" i="1"/>
  <c r="D1665" i="1"/>
  <c r="E1665" i="1"/>
  <c r="K1665" i="1"/>
  <c r="D1666" i="1"/>
  <c r="E1666" i="1"/>
  <c r="K1666" i="1"/>
  <c r="D1667" i="1"/>
  <c r="E1667" i="1"/>
  <c r="K1667" i="1"/>
  <c r="D1668" i="1"/>
  <c r="E1668" i="1"/>
  <c r="K1668" i="1"/>
  <c r="D1669" i="1"/>
  <c r="E1669" i="1"/>
  <c r="K1669" i="1"/>
  <c r="D1670" i="1"/>
  <c r="E1670" i="1"/>
  <c r="K1670" i="1"/>
  <c r="D1671" i="1"/>
  <c r="E1671" i="1"/>
  <c r="K1671" i="1"/>
  <c r="D1672" i="1"/>
  <c r="E1672" i="1"/>
  <c r="K1672" i="1"/>
  <c r="D1673" i="1"/>
  <c r="E1673" i="1"/>
  <c r="K1673" i="1"/>
  <c r="D1674" i="1"/>
  <c r="E1674" i="1"/>
  <c r="K1674" i="1"/>
  <c r="D1675" i="1"/>
  <c r="E1675" i="1"/>
  <c r="K1675" i="1"/>
  <c r="D1676" i="1"/>
  <c r="E1676" i="1"/>
  <c r="K1676" i="1"/>
  <c r="D1677" i="1"/>
  <c r="E1677" i="1"/>
  <c r="K1677" i="1"/>
  <c r="D1678" i="1"/>
  <c r="E1678" i="1"/>
  <c r="K1678" i="1"/>
  <c r="D1679" i="1"/>
  <c r="E1679" i="1"/>
  <c r="K1679" i="1"/>
  <c r="D1680" i="1"/>
  <c r="E1680" i="1"/>
  <c r="K1680" i="1"/>
  <c r="D1681" i="1"/>
  <c r="E1681" i="1"/>
  <c r="K1681" i="1"/>
  <c r="D1682" i="1"/>
  <c r="E1682" i="1"/>
  <c r="K1682" i="1"/>
  <c r="D1683" i="1"/>
  <c r="E1683" i="1"/>
  <c r="K1683" i="1"/>
  <c r="D1684" i="1"/>
  <c r="E1684" i="1"/>
  <c r="K1684" i="1"/>
  <c r="D1686" i="1"/>
  <c r="E1686" i="1"/>
  <c r="K1686" i="1"/>
  <c r="D1687" i="1"/>
  <c r="E1687" i="1"/>
  <c r="K1687" i="1"/>
  <c r="D1688" i="1"/>
  <c r="E1688" i="1"/>
  <c r="K1688" i="1"/>
  <c r="D1689" i="1"/>
  <c r="E1689" i="1"/>
  <c r="K1689" i="1"/>
  <c r="D1690" i="1"/>
  <c r="E1690" i="1"/>
  <c r="K1690" i="1"/>
  <c r="D1691" i="1"/>
  <c r="E1691" i="1"/>
  <c r="K1691" i="1"/>
  <c r="D1692" i="1"/>
  <c r="E1692" i="1"/>
  <c r="K1692" i="1"/>
  <c r="D1693" i="1"/>
  <c r="E1693" i="1"/>
  <c r="K1693" i="1"/>
  <c r="D1694" i="1"/>
  <c r="E1694" i="1"/>
  <c r="K1694" i="1"/>
  <c r="D1695" i="1"/>
  <c r="E1695" i="1"/>
  <c r="K1695" i="1"/>
  <c r="D1696" i="1"/>
  <c r="E1696" i="1"/>
  <c r="K1696" i="1"/>
  <c r="D1697" i="1"/>
  <c r="E1697" i="1"/>
  <c r="K1697" i="1"/>
  <c r="D1698" i="1"/>
  <c r="E1698" i="1"/>
  <c r="K1698" i="1"/>
  <c r="D1699" i="1"/>
  <c r="E1699" i="1"/>
  <c r="K1699" i="1"/>
  <c r="D1700" i="1"/>
  <c r="E1700" i="1"/>
  <c r="K1700" i="1"/>
  <c r="D1701" i="1"/>
  <c r="E1701" i="1"/>
  <c r="K1701" i="1"/>
  <c r="D1702" i="1"/>
  <c r="E1702" i="1"/>
  <c r="K1702" i="1"/>
  <c r="D1703" i="1"/>
  <c r="E1703" i="1"/>
  <c r="K1703" i="1"/>
  <c r="D1704" i="1"/>
  <c r="E1704" i="1"/>
  <c r="K1704" i="1"/>
  <c r="D1705" i="1"/>
  <c r="E1705" i="1"/>
  <c r="K1705" i="1"/>
  <c r="D1706" i="1"/>
  <c r="E1706" i="1"/>
  <c r="K1706" i="1"/>
  <c r="D1707" i="1"/>
  <c r="E1707" i="1"/>
  <c r="K1707" i="1"/>
  <c r="D1708" i="1"/>
  <c r="E1708" i="1"/>
  <c r="K1708" i="1"/>
  <c r="D1709" i="1"/>
  <c r="E1709" i="1"/>
  <c r="K1709" i="1"/>
  <c r="D1710" i="1"/>
  <c r="E1710" i="1"/>
  <c r="K1710" i="1"/>
  <c r="D1711" i="1"/>
  <c r="E1711" i="1"/>
  <c r="K1711" i="1"/>
  <c r="D1712" i="1"/>
  <c r="E1712" i="1"/>
  <c r="K1712" i="1"/>
  <c r="D1713" i="1"/>
  <c r="E1713" i="1"/>
  <c r="K1713" i="1"/>
  <c r="D1714" i="1"/>
  <c r="E1714" i="1"/>
  <c r="K1714" i="1"/>
  <c r="D1715" i="1"/>
  <c r="E1715" i="1"/>
  <c r="K1715" i="1"/>
  <c r="D1716" i="1"/>
  <c r="E1716" i="1"/>
  <c r="K1716" i="1"/>
  <c r="D1717" i="1"/>
  <c r="E1717" i="1"/>
  <c r="K1717" i="1"/>
  <c r="D1718" i="1"/>
  <c r="E1718" i="1"/>
  <c r="K1718" i="1"/>
  <c r="D1719" i="1"/>
  <c r="E1719" i="1"/>
  <c r="K1719" i="1"/>
  <c r="D1720" i="1"/>
  <c r="E1720" i="1"/>
  <c r="K1720" i="1"/>
  <c r="D1721" i="1"/>
  <c r="E1721" i="1"/>
  <c r="K1721" i="1"/>
  <c r="D1722" i="1"/>
  <c r="E1722" i="1"/>
  <c r="K1722" i="1"/>
  <c r="D1723" i="1"/>
  <c r="E1723" i="1"/>
  <c r="K1723" i="1"/>
  <c r="D1724" i="1"/>
  <c r="E1724" i="1"/>
  <c r="K1724" i="1"/>
  <c r="D1725" i="1"/>
  <c r="E1725" i="1"/>
  <c r="K1725" i="1"/>
  <c r="D1726" i="1"/>
  <c r="E1726" i="1"/>
  <c r="K1726" i="1"/>
  <c r="D1727" i="1"/>
  <c r="E1727" i="1"/>
  <c r="K1727" i="1"/>
  <c r="D1728" i="1"/>
  <c r="E1728" i="1"/>
  <c r="K1728" i="1"/>
  <c r="D1729" i="1"/>
  <c r="E1729" i="1"/>
  <c r="K1729" i="1"/>
  <c r="D1730" i="1"/>
  <c r="E1730" i="1"/>
  <c r="K1730" i="1"/>
  <c r="D1731" i="1"/>
  <c r="E1731" i="1"/>
  <c r="K1731" i="1"/>
  <c r="D1732" i="1"/>
  <c r="E1732" i="1"/>
  <c r="K1732" i="1"/>
  <c r="D1733" i="1"/>
  <c r="E1733" i="1"/>
  <c r="K1733" i="1"/>
  <c r="D1734" i="1"/>
  <c r="E1734" i="1"/>
  <c r="K1734" i="1"/>
  <c r="D1735" i="1"/>
  <c r="E1735" i="1"/>
  <c r="K1735" i="1"/>
  <c r="D1736" i="1"/>
  <c r="E1736" i="1"/>
  <c r="K1736" i="1"/>
  <c r="D1737" i="1"/>
  <c r="E1737" i="1"/>
  <c r="K1737" i="1"/>
  <c r="D1738" i="1"/>
  <c r="E1738" i="1"/>
  <c r="K1738" i="1"/>
  <c r="D1739" i="1"/>
  <c r="E1739" i="1"/>
  <c r="K1739" i="1"/>
  <c r="D1740" i="1"/>
  <c r="E1740" i="1"/>
  <c r="K1740" i="1"/>
  <c r="D1741" i="1"/>
  <c r="E1741" i="1"/>
  <c r="K1741" i="1"/>
  <c r="D1742" i="1"/>
  <c r="E1742" i="1"/>
  <c r="K1742" i="1"/>
  <c r="D1743" i="1"/>
  <c r="E1743" i="1"/>
  <c r="K1743" i="1"/>
  <c r="D1744" i="1"/>
  <c r="E1744" i="1"/>
  <c r="K1744" i="1"/>
  <c r="D1745" i="1"/>
  <c r="E1745" i="1"/>
  <c r="K1745" i="1"/>
  <c r="D1746" i="1"/>
  <c r="E1746" i="1"/>
  <c r="K1746" i="1"/>
  <c r="D1747" i="1"/>
  <c r="E1747" i="1"/>
  <c r="K1747" i="1"/>
  <c r="D1748" i="1"/>
  <c r="E1748" i="1"/>
  <c r="K1748" i="1"/>
  <c r="D1749" i="1"/>
  <c r="E1749" i="1"/>
  <c r="K1749" i="1"/>
  <c r="D1750" i="1"/>
  <c r="E1750" i="1"/>
  <c r="K1750" i="1"/>
  <c r="D1751" i="1"/>
  <c r="E1751" i="1"/>
  <c r="K1751" i="1"/>
  <c r="D1752" i="1"/>
  <c r="E1752" i="1"/>
  <c r="K1752" i="1"/>
  <c r="D1753" i="1"/>
  <c r="E1753" i="1"/>
  <c r="K1753" i="1"/>
  <c r="D1754" i="1"/>
  <c r="E1754" i="1"/>
  <c r="K1754" i="1"/>
  <c r="D1755" i="1"/>
  <c r="E1755" i="1"/>
  <c r="K1755" i="1"/>
  <c r="D1756" i="1"/>
  <c r="E1756" i="1"/>
  <c r="K1756" i="1"/>
  <c r="D1757" i="1"/>
  <c r="E1757" i="1"/>
  <c r="K1757" i="1"/>
  <c r="D1758" i="1"/>
  <c r="E1758" i="1"/>
  <c r="K1758" i="1"/>
  <c r="D1759" i="1"/>
  <c r="E1759" i="1"/>
  <c r="K1759" i="1"/>
  <c r="D1760" i="1"/>
  <c r="E1760" i="1"/>
  <c r="K1760" i="1"/>
  <c r="D1761" i="1"/>
  <c r="E1761" i="1"/>
  <c r="K1761" i="1"/>
  <c r="D1762" i="1"/>
  <c r="E1762" i="1"/>
  <c r="K1762" i="1"/>
  <c r="D1763" i="1"/>
  <c r="E1763" i="1"/>
  <c r="K1763" i="1"/>
  <c r="D1764" i="1"/>
  <c r="E1764" i="1"/>
  <c r="K1764" i="1"/>
  <c r="D1765" i="1"/>
  <c r="E1765" i="1"/>
  <c r="K1765" i="1"/>
  <c r="D1766" i="1"/>
  <c r="E1766" i="1"/>
  <c r="K1766" i="1"/>
  <c r="D1767" i="1"/>
  <c r="E1767" i="1"/>
  <c r="K1767" i="1"/>
  <c r="D1768" i="1"/>
  <c r="E1768" i="1"/>
  <c r="K1768" i="1"/>
  <c r="D1769" i="1"/>
  <c r="E1769" i="1"/>
  <c r="K1769" i="1"/>
  <c r="D1770" i="1"/>
  <c r="E1770" i="1"/>
  <c r="K1770" i="1"/>
  <c r="D1771" i="1"/>
  <c r="E1771" i="1"/>
  <c r="K1771" i="1"/>
  <c r="D1772" i="1"/>
  <c r="E1772" i="1"/>
  <c r="K1772" i="1"/>
  <c r="D1773" i="1"/>
  <c r="E1773" i="1"/>
  <c r="K1773" i="1"/>
  <c r="D1774" i="1"/>
  <c r="E1774" i="1"/>
  <c r="K1774" i="1"/>
  <c r="D1775" i="1"/>
  <c r="E1775" i="1"/>
  <c r="K1775" i="1"/>
  <c r="D1776" i="1"/>
  <c r="E1776" i="1"/>
  <c r="K1776" i="1"/>
  <c r="D1777" i="1"/>
  <c r="E1777" i="1"/>
  <c r="K1777" i="1"/>
  <c r="D1778" i="1"/>
  <c r="E1778" i="1"/>
  <c r="K1778" i="1"/>
  <c r="D1779" i="1"/>
  <c r="E1779" i="1"/>
  <c r="K1779" i="1"/>
  <c r="D1780" i="1"/>
  <c r="E1780" i="1"/>
  <c r="K1780" i="1"/>
  <c r="D1781" i="1"/>
  <c r="E1781" i="1"/>
  <c r="K1781" i="1"/>
  <c r="D1782" i="1"/>
  <c r="E1782" i="1"/>
  <c r="K1782" i="1"/>
  <c r="D1783" i="1"/>
  <c r="E1783" i="1"/>
  <c r="K1783" i="1"/>
  <c r="D1784" i="1"/>
  <c r="E1784" i="1"/>
  <c r="K1784" i="1"/>
  <c r="D1785" i="1"/>
  <c r="E1785" i="1"/>
  <c r="K1785" i="1"/>
  <c r="D1786" i="1"/>
  <c r="E1786" i="1"/>
  <c r="K1786" i="1"/>
  <c r="D1787" i="1"/>
  <c r="K1787" i="1"/>
  <c r="D1788" i="1"/>
  <c r="E1788" i="1"/>
  <c r="K1788" i="1"/>
  <c r="D1789" i="1"/>
  <c r="E1789" i="1"/>
  <c r="K1789" i="1"/>
  <c r="D1790" i="1"/>
  <c r="K1790" i="1"/>
  <c r="D1791" i="1"/>
  <c r="E1791" i="1"/>
  <c r="K1791" i="1"/>
  <c r="D1792" i="1"/>
  <c r="E1792" i="1"/>
  <c r="K1792" i="1"/>
  <c r="D1793" i="1"/>
  <c r="K1793" i="1"/>
  <c r="D1794" i="1"/>
  <c r="E1794" i="1"/>
  <c r="K1794" i="1"/>
  <c r="D1795" i="1"/>
  <c r="E1795" i="1"/>
  <c r="K1795" i="1"/>
  <c r="D1796" i="1"/>
  <c r="E1796" i="1"/>
  <c r="K1796" i="1"/>
  <c r="D1797" i="1"/>
  <c r="K1797" i="1"/>
  <c r="D1798" i="1"/>
  <c r="E1798" i="1"/>
  <c r="K1798" i="1"/>
  <c r="D1799" i="1"/>
  <c r="E1799" i="1"/>
  <c r="K1799" i="1"/>
  <c r="D1800" i="1"/>
  <c r="E1800" i="1"/>
  <c r="K1800" i="1"/>
  <c r="D1801" i="1"/>
  <c r="E1801" i="1"/>
  <c r="K1801" i="1"/>
  <c r="D1802" i="1"/>
  <c r="E1802" i="1"/>
  <c r="K1802" i="1"/>
  <c r="D1803" i="1"/>
  <c r="E1803" i="1"/>
  <c r="K1803" i="1"/>
  <c r="D1804" i="1"/>
  <c r="E1804" i="1"/>
  <c r="K1804" i="1"/>
  <c r="D1805" i="1"/>
  <c r="E1805" i="1"/>
  <c r="K1805" i="1"/>
  <c r="D1806" i="1"/>
  <c r="E1806" i="1"/>
  <c r="K1806" i="1"/>
  <c r="D1807" i="1"/>
  <c r="E1807" i="1"/>
  <c r="K1807" i="1"/>
  <c r="D1808" i="1"/>
  <c r="E1808" i="1"/>
  <c r="K1808" i="1"/>
  <c r="D1809" i="1"/>
  <c r="E1809" i="1"/>
  <c r="K1809" i="1"/>
  <c r="D1810" i="1"/>
  <c r="E1810" i="1"/>
  <c r="K1810" i="1"/>
  <c r="D1811" i="1"/>
  <c r="E1811" i="1"/>
  <c r="K1811" i="1"/>
  <c r="D1812" i="1"/>
  <c r="E1812" i="1"/>
  <c r="K1812" i="1"/>
  <c r="D1813" i="1"/>
  <c r="E1813" i="1"/>
  <c r="K1813" i="1"/>
  <c r="D1814" i="1"/>
  <c r="E1814" i="1"/>
  <c r="K1814" i="1"/>
  <c r="D1815" i="1"/>
  <c r="E1815" i="1"/>
  <c r="K1815" i="1"/>
  <c r="D1816" i="1"/>
  <c r="E1816" i="1"/>
  <c r="K1816" i="1"/>
  <c r="D1817" i="1"/>
  <c r="E1817" i="1"/>
  <c r="K1817" i="1"/>
  <c r="D1818" i="1"/>
  <c r="E1818" i="1"/>
  <c r="K1818" i="1"/>
  <c r="D1819" i="1"/>
  <c r="E1819" i="1"/>
  <c r="K1819" i="1"/>
  <c r="D1820" i="1"/>
  <c r="E1820" i="1"/>
  <c r="K1820" i="1"/>
  <c r="D1821" i="1"/>
  <c r="E1821" i="1"/>
  <c r="K1821" i="1"/>
  <c r="D1822" i="1"/>
  <c r="E1822" i="1"/>
  <c r="K1822" i="1"/>
  <c r="D1823" i="1"/>
  <c r="E1823" i="1"/>
  <c r="K1823" i="1"/>
  <c r="D1824" i="1"/>
  <c r="E1824" i="1"/>
  <c r="K1824" i="1"/>
  <c r="D1825" i="1"/>
  <c r="E1825" i="1"/>
  <c r="K1825" i="1"/>
  <c r="D1826" i="1"/>
  <c r="E1826" i="1"/>
  <c r="K1826" i="1"/>
  <c r="D1827" i="1"/>
  <c r="E1827" i="1"/>
  <c r="K1827" i="1"/>
  <c r="D1828" i="1"/>
  <c r="E1828" i="1"/>
  <c r="K1828" i="1"/>
  <c r="D1829" i="1"/>
  <c r="E1829" i="1"/>
  <c r="K1829" i="1"/>
  <c r="D1830" i="1"/>
  <c r="E1830" i="1"/>
  <c r="K1830" i="1"/>
  <c r="D1831" i="1"/>
  <c r="E1831" i="1"/>
  <c r="K1831" i="1"/>
  <c r="D1832" i="1"/>
  <c r="E1832" i="1"/>
  <c r="K1832" i="1"/>
  <c r="D1833" i="1"/>
  <c r="E1833" i="1"/>
  <c r="K1833" i="1"/>
  <c r="D1834" i="1"/>
  <c r="E1834" i="1"/>
  <c r="K1834" i="1"/>
  <c r="D1835" i="1"/>
  <c r="E1835" i="1"/>
  <c r="K1835" i="1"/>
  <c r="D1836" i="1"/>
  <c r="E1836" i="1"/>
  <c r="K1836" i="1"/>
  <c r="D1837" i="1"/>
  <c r="E1837" i="1"/>
  <c r="K1837" i="1"/>
  <c r="D1838" i="1"/>
  <c r="E1838" i="1"/>
  <c r="K1838" i="1"/>
  <c r="D1839" i="1"/>
  <c r="E1839" i="1"/>
  <c r="K1839" i="1"/>
  <c r="D1840" i="1"/>
  <c r="E1840" i="1"/>
  <c r="K1840" i="1"/>
  <c r="D1841" i="1"/>
  <c r="E1841" i="1"/>
  <c r="K1841" i="1"/>
  <c r="D1842" i="1"/>
  <c r="E1842" i="1"/>
  <c r="K1842" i="1"/>
  <c r="D1843" i="1"/>
  <c r="E1843" i="1"/>
  <c r="K1843" i="1"/>
  <c r="D1844" i="1"/>
  <c r="E1844" i="1"/>
  <c r="K1844" i="1"/>
  <c r="D1845" i="1"/>
  <c r="E1845" i="1"/>
  <c r="K1845" i="1"/>
  <c r="D1846" i="1"/>
  <c r="E1846" i="1"/>
  <c r="K1846" i="1"/>
  <c r="D1847" i="1"/>
  <c r="E1847" i="1"/>
  <c r="K1847" i="1"/>
  <c r="D1848" i="1"/>
  <c r="E1848" i="1"/>
  <c r="K1848" i="1"/>
  <c r="D1849" i="1"/>
  <c r="E1849" i="1"/>
  <c r="K1849" i="1"/>
  <c r="D1850" i="1"/>
  <c r="E1850" i="1"/>
  <c r="K1850" i="1"/>
  <c r="D1851" i="1"/>
  <c r="E1851" i="1"/>
  <c r="K1851" i="1"/>
  <c r="D1852" i="1"/>
  <c r="E1852" i="1"/>
  <c r="K1852" i="1"/>
  <c r="D1853" i="1"/>
  <c r="E1853" i="1"/>
  <c r="K1853" i="1"/>
  <c r="D1854" i="1"/>
  <c r="E1854" i="1"/>
  <c r="K1854" i="1"/>
  <c r="D1855" i="1"/>
  <c r="E1855" i="1"/>
  <c r="K1855" i="1"/>
  <c r="D1856" i="1"/>
  <c r="E1856" i="1"/>
  <c r="K1856" i="1"/>
  <c r="D1857" i="1"/>
  <c r="E1857" i="1"/>
  <c r="K1857" i="1"/>
  <c r="D1858" i="1"/>
  <c r="E1858" i="1"/>
  <c r="K1858" i="1"/>
  <c r="D1859" i="1"/>
  <c r="E1859" i="1"/>
  <c r="K1859" i="1"/>
  <c r="D1860" i="1"/>
  <c r="E1860" i="1"/>
  <c r="K1860" i="1"/>
  <c r="D1861" i="1"/>
  <c r="E1861" i="1"/>
  <c r="K1861" i="1"/>
  <c r="D1862" i="1"/>
  <c r="E1862" i="1"/>
  <c r="K1862" i="1"/>
  <c r="D1863" i="1"/>
  <c r="E1863" i="1"/>
  <c r="K1863" i="1"/>
  <c r="D1864" i="1"/>
  <c r="E1864" i="1"/>
  <c r="K1864" i="1"/>
  <c r="D1865" i="1"/>
  <c r="E1865" i="1"/>
  <c r="K1865" i="1"/>
  <c r="D1866" i="1"/>
  <c r="E1866" i="1"/>
  <c r="K1866" i="1"/>
  <c r="D1867" i="1"/>
  <c r="E1867" i="1"/>
  <c r="K1867" i="1"/>
  <c r="D1868" i="1"/>
  <c r="E1868" i="1"/>
  <c r="K1868" i="1"/>
  <c r="D1869" i="1"/>
  <c r="E1869" i="1"/>
  <c r="K1869" i="1"/>
  <c r="D1870" i="1"/>
  <c r="E1870" i="1"/>
  <c r="K1870" i="1"/>
  <c r="D1871" i="1"/>
  <c r="E1871" i="1"/>
  <c r="K1871" i="1"/>
  <c r="D1872" i="1"/>
  <c r="E1872" i="1"/>
  <c r="K1872" i="1"/>
  <c r="D1873" i="1"/>
  <c r="E1873" i="1"/>
  <c r="K1873" i="1"/>
  <c r="D1874" i="1"/>
  <c r="E1874" i="1"/>
  <c r="K1874" i="1"/>
  <c r="D1875" i="1"/>
  <c r="E1875" i="1"/>
  <c r="K1875" i="1"/>
  <c r="D1876" i="1"/>
  <c r="E1876" i="1"/>
  <c r="K1876" i="1"/>
  <c r="D1877" i="1"/>
  <c r="E1877" i="1"/>
  <c r="K1877" i="1"/>
  <c r="D1878" i="1"/>
  <c r="E1878" i="1"/>
  <c r="K1878" i="1"/>
  <c r="D1879" i="1"/>
  <c r="E1879" i="1"/>
  <c r="K1879" i="1"/>
  <c r="D1880" i="1"/>
  <c r="E1880" i="1"/>
  <c r="K1880" i="1"/>
  <c r="D1881" i="1"/>
  <c r="E1881" i="1"/>
  <c r="K1881" i="1"/>
  <c r="D1882" i="1"/>
  <c r="E1882" i="1"/>
  <c r="K1882" i="1"/>
  <c r="D1883" i="1"/>
  <c r="E1883" i="1"/>
  <c r="K1883" i="1"/>
  <c r="D1884" i="1"/>
  <c r="E1884" i="1"/>
  <c r="K1884" i="1"/>
  <c r="D1885" i="1"/>
  <c r="E1885" i="1"/>
  <c r="K1885" i="1"/>
  <c r="D1886" i="1"/>
  <c r="E1886" i="1"/>
  <c r="K1886" i="1"/>
  <c r="D1887" i="1"/>
  <c r="E1887" i="1"/>
  <c r="K1887" i="1"/>
  <c r="D1888" i="1"/>
  <c r="E1888" i="1"/>
  <c r="K1888" i="1"/>
  <c r="D1889" i="1"/>
  <c r="E1889" i="1"/>
  <c r="K1889" i="1"/>
  <c r="D1890" i="1"/>
  <c r="E1890" i="1"/>
  <c r="K1890" i="1"/>
  <c r="D1891" i="1"/>
  <c r="E1891" i="1"/>
  <c r="K1891" i="1"/>
  <c r="D1892" i="1"/>
  <c r="E1892" i="1"/>
  <c r="K1892" i="1"/>
  <c r="D1893" i="1"/>
  <c r="E1893" i="1"/>
  <c r="K1893" i="1"/>
  <c r="D1894" i="1"/>
  <c r="E1894" i="1"/>
  <c r="K1894" i="1"/>
  <c r="D1895" i="1"/>
  <c r="E1895" i="1"/>
  <c r="K1895" i="1"/>
  <c r="D1896" i="1"/>
  <c r="E1896" i="1"/>
  <c r="K1896" i="1"/>
  <c r="D1897" i="1"/>
  <c r="E1897" i="1"/>
  <c r="K1897" i="1"/>
  <c r="D1898" i="1"/>
  <c r="E1898" i="1"/>
  <c r="K1898" i="1"/>
  <c r="D1899" i="1"/>
  <c r="E1899" i="1"/>
  <c r="K1899" i="1"/>
  <c r="D1900" i="1"/>
  <c r="E1900" i="1"/>
  <c r="K1900" i="1"/>
  <c r="D1901" i="1"/>
  <c r="E1901" i="1"/>
  <c r="K1901" i="1"/>
  <c r="D1902" i="1"/>
  <c r="E1902" i="1"/>
  <c r="K1902" i="1"/>
  <c r="D1903" i="1"/>
  <c r="E1903" i="1"/>
  <c r="K1903" i="1"/>
  <c r="D1904" i="1"/>
  <c r="E1904" i="1"/>
  <c r="K1904" i="1"/>
  <c r="D1905" i="1"/>
  <c r="E1905" i="1"/>
  <c r="K1905" i="1"/>
  <c r="D1906" i="1"/>
  <c r="E1906" i="1"/>
  <c r="K1906" i="1"/>
  <c r="D1907" i="1"/>
  <c r="E1907" i="1"/>
  <c r="K1907" i="1"/>
  <c r="D1908" i="1"/>
  <c r="E1908" i="1"/>
  <c r="K1908" i="1"/>
  <c r="D1909" i="1"/>
  <c r="E1909" i="1"/>
  <c r="K1909" i="1"/>
  <c r="D1910" i="1"/>
  <c r="E1910" i="1"/>
  <c r="K1910" i="1"/>
  <c r="D1911" i="1"/>
  <c r="E1911" i="1"/>
  <c r="K1911" i="1"/>
  <c r="D1912" i="1"/>
  <c r="E1912" i="1"/>
  <c r="K1912" i="1"/>
  <c r="D1913" i="1"/>
  <c r="E1913" i="1"/>
  <c r="K1913" i="1"/>
  <c r="D1914" i="1"/>
  <c r="E1914" i="1"/>
  <c r="K1914" i="1"/>
  <c r="D1915" i="1"/>
  <c r="E1915" i="1"/>
  <c r="K1915" i="1"/>
  <c r="D1916" i="1"/>
  <c r="E1916" i="1"/>
  <c r="K1916" i="1"/>
  <c r="D1917" i="1"/>
  <c r="E1917" i="1"/>
  <c r="K1917" i="1"/>
  <c r="D1918" i="1"/>
  <c r="E1918" i="1"/>
  <c r="K1918" i="1"/>
  <c r="D1919" i="1"/>
  <c r="E1919" i="1"/>
  <c r="K1919" i="1"/>
  <c r="D1920" i="1"/>
  <c r="E1920" i="1"/>
  <c r="K1920" i="1"/>
  <c r="D1921" i="1"/>
  <c r="E1921" i="1"/>
  <c r="K1921" i="1"/>
  <c r="D1922" i="1"/>
  <c r="E1922" i="1"/>
  <c r="K1922" i="1"/>
  <c r="D1923" i="1"/>
  <c r="E1923" i="1"/>
  <c r="K1923" i="1"/>
  <c r="D1924" i="1"/>
  <c r="E1924" i="1"/>
  <c r="K1924" i="1"/>
  <c r="D1925" i="1"/>
  <c r="E1925" i="1"/>
  <c r="K1925" i="1"/>
  <c r="D1926" i="1"/>
  <c r="E1926" i="1"/>
  <c r="K1926" i="1"/>
  <c r="D1927" i="1"/>
  <c r="E1927" i="1"/>
  <c r="K1927" i="1"/>
  <c r="D1928" i="1"/>
  <c r="E1928" i="1"/>
  <c r="K1928" i="1"/>
  <c r="D1929" i="1"/>
  <c r="E1929" i="1"/>
  <c r="K1929" i="1"/>
  <c r="D1930" i="1"/>
  <c r="E1930" i="1"/>
  <c r="K1930" i="1"/>
  <c r="D1931" i="1"/>
  <c r="E1931" i="1"/>
  <c r="K1931" i="1"/>
  <c r="D1932" i="1"/>
  <c r="E1932" i="1"/>
  <c r="K1932" i="1"/>
  <c r="D1933" i="1"/>
  <c r="E1933" i="1"/>
  <c r="K1933" i="1"/>
  <c r="D1934" i="1"/>
  <c r="E1934" i="1"/>
  <c r="K1934" i="1"/>
  <c r="D1935" i="1"/>
  <c r="E1935" i="1"/>
  <c r="K1935" i="1"/>
  <c r="D1936" i="1"/>
  <c r="E1936" i="1"/>
  <c r="K1936" i="1"/>
  <c r="D1937" i="1"/>
  <c r="E1937" i="1"/>
  <c r="K1937" i="1"/>
  <c r="D1938" i="1"/>
  <c r="E1938" i="1"/>
  <c r="K1938" i="1"/>
  <c r="D1939" i="1"/>
  <c r="E1939" i="1"/>
  <c r="K1939" i="1"/>
  <c r="D1940" i="1"/>
  <c r="E1940" i="1"/>
  <c r="K1940" i="1"/>
  <c r="D1941" i="1"/>
  <c r="K1941" i="1"/>
  <c r="D1942" i="1"/>
  <c r="E1942" i="1"/>
  <c r="K1942" i="1"/>
  <c r="D1943" i="1"/>
  <c r="E1943" i="1"/>
  <c r="K1943" i="1"/>
  <c r="D1944" i="1"/>
  <c r="K1944" i="1"/>
  <c r="D1945" i="1"/>
  <c r="E1945" i="1"/>
  <c r="K1945" i="1"/>
  <c r="D1946" i="1"/>
  <c r="E1946" i="1"/>
  <c r="K1946" i="1"/>
  <c r="D1947" i="1"/>
  <c r="E1947" i="1"/>
  <c r="K1947" i="1"/>
  <c r="D1948" i="1"/>
  <c r="E1948" i="1"/>
  <c r="K1948" i="1"/>
  <c r="D1949" i="1"/>
  <c r="E1949" i="1"/>
  <c r="K1949" i="1"/>
  <c r="D1950" i="1"/>
  <c r="E1950" i="1"/>
  <c r="K1950" i="1"/>
  <c r="D1951" i="1"/>
  <c r="E1951" i="1"/>
  <c r="K1951" i="1"/>
  <c r="D1952" i="1"/>
  <c r="E1952" i="1"/>
  <c r="K1952" i="1"/>
  <c r="D1953" i="1"/>
  <c r="E1953" i="1"/>
  <c r="K1953" i="1"/>
  <c r="D1954" i="1"/>
  <c r="E1954" i="1"/>
  <c r="K1954" i="1"/>
  <c r="D1955" i="1"/>
  <c r="E1955" i="1"/>
  <c r="D1956" i="1"/>
  <c r="E1956" i="1"/>
  <c r="D1957" i="1"/>
  <c r="E1957" i="1"/>
  <c r="K1957" i="1"/>
  <c r="D1958" i="1"/>
  <c r="E1958" i="1"/>
  <c r="K1958" i="1"/>
  <c r="D1959" i="1"/>
  <c r="E1959" i="1"/>
  <c r="K1959" i="1"/>
  <c r="D1960" i="1"/>
  <c r="E1960" i="1"/>
  <c r="K1960" i="1"/>
  <c r="D1961" i="1"/>
  <c r="E1961" i="1"/>
  <c r="K1961" i="1"/>
  <c r="D1962" i="1"/>
  <c r="E1962" i="1"/>
  <c r="K1962" i="1"/>
  <c r="D1963" i="1"/>
  <c r="E1963" i="1"/>
  <c r="K1963" i="1"/>
  <c r="D1964" i="1"/>
  <c r="E1964" i="1"/>
  <c r="K1964" i="1"/>
  <c r="D1965" i="1"/>
  <c r="E1965" i="1"/>
  <c r="K1965" i="1"/>
  <c r="D1966" i="1"/>
  <c r="E1966" i="1"/>
  <c r="K1966" i="1"/>
  <c r="D1967" i="1"/>
  <c r="E1967" i="1"/>
  <c r="K1967" i="1"/>
  <c r="D1968" i="1"/>
  <c r="E1968" i="1"/>
  <c r="K1968" i="1"/>
  <c r="D1969" i="1"/>
  <c r="E1969" i="1"/>
  <c r="K1969" i="1"/>
  <c r="D1970" i="1"/>
  <c r="E1970" i="1"/>
  <c r="K1970" i="1"/>
  <c r="D1971" i="1"/>
  <c r="E1971" i="1"/>
  <c r="K1971" i="1"/>
  <c r="D1972" i="1"/>
  <c r="E1972" i="1"/>
  <c r="K1972" i="1"/>
  <c r="D1973" i="1"/>
  <c r="E1973" i="1"/>
  <c r="K1973" i="1"/>
  <c r="D1974" i="1"/>
  <c r="E1974" i="1"/>
  <c r="K1974" i="1"/>
  <c r="D1975" i="1"/>
  <c r="E1975" i="1"/>
  <c r="K1975" i="1"/>
  <c r="D1976" i="1"/>
  <c r="E1976" i="1"/>
  <c r="K1976" i="1"/>
  <c r="D1977" i="1"/>
  <c r="E1977" i="1"/>
  <c r="K1977" i="1"/>
  <c r="D1978" i="1"/>
  <c r="E1978" i="1"/>
  <c r="K1978" i="1"/>
  <c r="D1979" i="1"/>
  <c r="E1979" i="1"/>
  <c r="K1979" i="1"/>
  <c r="D1980" i="1"/>
  <c r="E1980" i="1"/>
  <c r="K1980" i="1"/>
  <c r="D1981" i="1"/>
  <c r="E1981" i="1"/>
  <c r="K1981" i="1"/>
  <c r="D1982" i="1"/>
  <c r="E1982" i="1"/>
  <c r="K1982" i="1"/>
  <c r="D1983" i="1"/>
  <c r="E1983" i="1"/>
  <c r="K1983" i="1"/>
  <c r="D1984" i="1"/>
  <c r="E1984" i="1"/>
  <c r="K1984" i="1"/>
  <c r="D1985" i="1"/>
  <c r="E1985" i="1"/>
  <c r="K1985" i="1"/>
  <c r="D1986" i="1"/>
  <c r="E1986" i="1"/>
  <c r="K1986" i="1"/>
  <c r="D1987" i="1"/>
  <c r="E1987" i="1"/>
  <c r="K1987" i="1"/>
  <c r="D1988" i="1"/>
  <c r="E1988" i="1"/>
  <c r="K1988" i="1"/>
  <c r="D1989" i="1"/>
  <c r="E1989" i="1"/>
  <c r="K1989" i="1"/>
  <c r="D1990" i="1"/>
  <c r="E1990" i="1"/>
  <c r="K1990" i="1"/>
  <c r="D1991" i="1"/>
  <c r="E1991" i="1"/>
  <c r="K1991" i="1"/>
  <c r="D1992" i="1"/>
  <c r="E1992" i="1"/>
  <c r="K1992" i="1"/>
  <c r="D1993" i="1"/>
  <c r="E1993" i="1"/>
  <c r="K1993" i="1"/>
  <c r="D1994" i="1"/>
  <c r="E1994" i="1"/>
  <c r="K1994" i="1"/>
  <c r="D1995" i="1"/>
  <c r="E1995" i="1"/>
  <c r="K1995" i="1"/>
  <c r="D1996" i="1"/>
  <c r="E1996" i="1"/>
  <c r="K1996" i="1"/>
  <c r="D1997" i="1"/>
  <c r="E1997" i="1"/>
  <c r="K1997" i="1"/>
  <c r="D1998" i="1"/>
  <c r="E1998" i="1"/>
  <c r="K1998" i="1"/>
  <c r="K971" i="1"/>
  <c r="E971" i="1"/>
  <c r="D971" i="1"/>
  <c r="K781" i="1"/>
  <c r="E781" i="1"/>
  <c r="D781" i="1"/>
  <c r="K731" i="1"/>
  <c r="K732" i="1"/>
  <c r="K705" i="1"/>
  <c r="K706" i="1"/>
  <c r="K707" i="1"/>
  <c r="K708" i="1"/>
  <c r="K709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E624" i="1"/>
  <c r="D530" i="1"/>
  <c r="E530" i="1"/>
  <c r="K530" i="1"/>
  <c r="D531" i="1"/>
  <c r="E531" i="1"/>
  <c r="K531" i="1"/>
  <c r="D532" i="1"/>
  <c r="E532" i="1"/>
  <c r="K532" i="1"/>
  <c r="D533" i="1"/>
  <c r="E533" i="1"/>
  <c r="K533" i="1"/>
  <c r="D534" i="1"/>
  <c r="E534" i="1"/>
  <c r="K534" i="1"/>
  <c r="D535" i="1"/>
  <c r="E535" i="1"/>
  <c r="K535" i="1"/>
  <c r="D536" i="1"/>
  <c r="E536" i="1"/>
  <c r="K536" i="1"/>
  <c r="D537" i="1"/>
  <c r="E537" i="1"/>
  <c r="K537" i="1"/>
  <c r="D538" i="1"/>
  <c r="E538" i="1"/>
  <c r="K538" i="1"/>
  <c r="D539" i="1"/>
  <c r="E539" i="1"/>
  <c r="K539" i="1"/>
  <c r="D540" i="1"/>
  <c r="E540" i="1"/>
  <c r="K540" i="1"/>
  <c r="D541" i="1"/>
  <c r="E541" i="1"/>
  <c r="K541" i="1"/>
  <c r="D542" i="1"/>
  <c r="E542" i="1"/>
  <c r="K542" i="1"/>
  <c r="D543" i="1"/>
  <c r="E543" i="1"/>
  <c r="K543" i="1"/>
  <c r="D544" i="1"/>
  <c r="E544" i="1"/>
  <c r="K544" i="1"/>
  <c r="D545" i="1"/>
  <c r="E545" i="1"/>
  <c r="K545" i="1"/>
  <c r="D546" i="1"/>
  <c r="E546" i="1"/>
  <c r="K546" i="1"/>
  <c r="D547" i="1"/>
  <c r="E547" i="1"/>
  <c r="K547" i="1"/>
  <c r="D548" i="1"/>
  <c r="E548" i="1"/>
  <c r="K548" i="1"/>
  <c r="D549" i="1"/>
  <c r="E549" i="1"/>
  <c r="K549" i="1"/>
  <c r="D550" i="1"/>
  <c r="E550" i="1"/>
  <c r="K550" i="1"/>
  <c r="D551" i="1"/>
  <c r="E551" i="1"/>
  <c r="K551" i="1"/>
  <c r="D552" i="1"/>
  <c r="E552" i="1"/>
  <c r="K552" i="1"/>
  <c r="D553" i="1"/>
  <c r="E553" i="1"/>
  <c r="K553" i="1"/>
  <c r="D554" i="1"/>
  <c r="E554" i="1"/>
  <c r="K554" i="1"/>
  <c r="D555" i="1"/>
  <c r="E555" i="1"/>
  <c r="K555" i="1"/>
  <c r="D556" i="1"/>
  <c r="E556" i="1"/>
  <c r="K556" i="1"/>
  <c r="D557" i="1"/>
  <c r="E557" i="1"/>
  <c r="K557" i="1"/>
  <c r="D558" i="1"/>
  <c r="E558" i="1"/>
  <c r="K558" i="1"/>
  <c r="D559" i="1"/>
  <c r="E559" i="1"/>
  <c r="K559" i="1"/>
  <c r="D560" i="1"/>
  <c r="E560" i="1"/>
  <c r="K560" i="1"/>
  <c r="D561" i="1"/>
  <c r="E561" i="1"/>
  <c r="K561" i="1"/>
  <c r="D562" i="1"/>
  <c r="E562" i="1"/>
  <c r="K562" i="1"/>
  <c r="D563" i="1"/>
  <c r="E563" i="1"/>
  <c r="K563" i="1"/>
  <c r="D564" i="1"/>
  <c r="E564" i="1"/>
  <c r="K564" i="1"/>
  <c r="D565" i="1"/>
  <c r="E565" i="1"/>
  <c r="K565" i="1"/>
  <c r="D566" i="1"/>
  <c r="K566" i="1"/>
  <c r="D567" i="1"/>
  <c r="E567" i="1"/>
  <c r="K567" i="1"/>
  <c r="D568" i="1"/>
  <c r="E568" i="1"/>
  <c r="K568" i="1"/>
  <c r="D569" i="1"/>
  <c r="E569" i="1"/>
  <c r="K569" i="1"/>
  <c r="D570" i="1"/>
  <c r="E570" i="1"/>
  <c r="K570" i="1"/>
  <c r="D571" i="1"/>
  <c r="E571" i="1"/>
  <c r="K571" i="1"/>
  <c r="D572" i="1"/>
  <c r="E572" i="1"/>
  <c r="K572" i="1"/>
  <c r="D573" i="1"/>
  <c r="E573" i="1"/>
  <c r="K573" i="1"/>
  <c r="D574" i="1"/>
  <c r="E574" i="1"/>
  <c r="K574" i="1"/>
  <c r="D575" i="1"/>
  <c r="E575" i="1"/>
  <c r="K575" i="1"/>
  <c r="D576" i="1"/>
  <c r="E576" i="1"/>
  <c r="K576" i="1"/>
  <c r="D577" i="1"/>
  <c r="E577" i="1"/>
  <c r="K577" i="1"/>
  <c r="D578" i="1"/>
  <c r="E578" i="1"/>
  <c r="K578" i="1"/>
  <c r="D579" i="1"/>
  <c r="E579" i="1"/>
  <c r="K579" i="1"/>
  <c r="D580" i="1"/>
  <c r="E580" i="1"/>
  <c r="K580" i="1"/>
  <c r="D581" i="1"/>
  <c r="E581" i="1"/>
  <c r="K581" i="1"/>
  <c r="D582" i="1"/>
  <c r="E582" i="1"/>
  <c r="K582" i="1"/>
  <c r="D583" i="1"/>
  <c r="E583" i="1"/>
  <c r="K583" i="1"/>
  <c r="D584" i="1"/>
  <c r="E584" i="1"/>
  <c r="K584" i="1"/>
  <c r="D585" i="1"/>
  <c r="E585" i="1"/>
  <c r="K585" i="1"/>
  <c r="D586" i="1"/>
  <c r="E586" i="1"/>
  <c r="K586" i="1"/>
  <c r="D587" i="1"/>
  <c r="E587" i="1"/>
  <c r="K587" i="1"/>
  <c r="D588" i="1"/>
  <c r="E588" i="1"/>
  <c r="K588" i="1"/>
  <c r="D589" i="1"/>
  <c r="E589" i="1"/>
  <c r="K589" i="1"/>
  <c r="D590" i="1"/>
  <c r="E590" i="1"/>
  <c r="K590" i="1"/>
  <c r="D591" i="1"/>
  <c r="E591" i="1"/>
  <c r="K591" i="1"/>
  <c r="D592" i="1"/>
  <c r="E592" i="1"/>
  <c r="K592" i="1"/>
  <c r="D593" i="1"/>
  <c r="E593" i="1"/>
  <c r="K593" i="1"/>
  <c r="D594" i="1"/>
  <c r="E594" i="1"/>
  <c r="K594" i="1"/>
  <c r="D595" i="1"/>
  <c r="E595" i="1"/>
  <c r="K595" i="1"/>
  <c r="D596" i="1"/>
  <c r="E596" i="1"/>
  <c r="K596" i="1"/>
  <c r="D597" i="1"/>
  <c r="E597" i="1"/>
  <c r="K597" i="1"/>
  <c r="D598" i="1"/>
  <c r="E598" i="1"/>
  <c r="K598" i="1"/>
  <c r="D599" i="1"/>
  <c r="E599" i="1"/>
  <c r="K599" i="1"/>
  <c r="D600" i="1"/>
  <c r="E600" i="1"/>
  <c r="K600" i="1"/>
  <c r="D601" i="1"/>
  <c r="E601" i="1"/>
  <c r="K601" i="1"/>
  <c r="D602" i="1"/>
  <c r="E602" i="1"/>
  <c r="K602" i="1"/>
  <c r="D603" i="1"/>
  <c r="E603" i="1"/>
  <c r="K603" i="1"/>
  <c r="D604" i="1"/>
  <c r="E604" i="1"/>
  <c r="K604" i="1"/>
  <c r="D605" i="1"/>
  <c r="E605" i="1"/>
  <c r="K605" i="1"/>
  <c r="D606" i="1"/>
  <c r="E606" i="1"/>
  <c r="K606" i="1"/>
  <c r="D607" i="1"/>
  <c r="E607" i="1"/>
  <c r="K607" i="1"/>
  <c r="D608" i="1"/>
  <c r="E608" i="1"/>
  <c r="K608" i="1"/>
  <c r="D609" i="1"/>
  <c r="E609" i="1"/>
  <c r="K609" i="1"/>
  <c r="D610" i="1"/>
  <c r="E610" i="1"/>
  <c r="K610" i="1"/>
  <c r="D611" i="1"/>
  <c r="E611" i="1"/>
  <c r="K611" i="1"/>
  <c r="D612" i="1"/>
  <c r="E612" i="1"/>
  <c r="K612" i="1"/>
  <c r="D613" i="1"/>
  <c r="E613" i="1"/>
  <c r="K613" i="1"/>
  <c r="D614" i="1"/>
  <c r="E614" i="1"/>
  <c r="K614" i="1"/>
  <c r="D615" i="1"/>
  <c r="E615" i="1"/>
  <c r="K615" i="1"/>
  <c r="D616" i="1"/>
  <c r="E616" i="1"/>
  <c r="K616" i="1"/>
  <c r="D617" i="1"/>
  <c r="E617" i="1"/>
  <c r="K617" i="1"/>
  <c r="D618" i="1"/>
  <c r="E618" i="1"/>
  <c r="K618" i="1"/>
  <c r="D619" i="1"/>
  <c r="E619" i="1"/>
  <c r="K619" i="1"/>
  <c r="D620" i="1"/>
  <c r="E620" i="1"/>
  <c r="K620" i="1"/>
  <c r="D621" i="1"/>
  <c r="E621" i="1"/>
  <c r="K621" i="1"/>
  <c r="D622" i="1"/>
  <c r="K622" i="1"/>
  <c r="D623" i="1"/>
  <c r="E623" i="1"/>
  <c r="K623" i="1"/>
  <c r="D624" i="1"/>
  <c r="K624" i="1"/>
  <c r="D625" i="1"/>
  <c r="K625" i="1"/>
  <c r="D626" i="1"/>
  <c r="E626" i="1"/>
  <c r="K626" i="1"/>
  <c r="D627" i="1"/>
  <c r="E627" i="1"/>
  <c r="K627" i="1"/>
  <c r="D628" i="1"/>
  <c r="E628" i="1"/>
  <c r="K628" i="1"/>
  <c r="D629" i="1"/>
  <c r="E629" i="1"/>
  <c r="K629" i="1"/>
  <c r="D630" i="1"/>
  <c r="E630" i="1"/>
  <c r="K630" i="1"/>
  <c r="D631" i="1"/>
  <c r="E631" i="1"/>
  <c r="K631" i="1"/>
  <c r="D632" i="1"/>
  <c r="E632" i="1"/>
  <c r="K632" i="1"/>
  <c r="D633" i="1"/>
  <c r="E633" i="1"/>
  <c r="K633" i="1"/>
  <c r="D634" i="1"/>
  <c r="E634" i="1"/>
  <c r="K634" i="1"/>
  <c r="D635" i="1"/>
  <c r="E635" i="1"/>
  <c r="K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K654" i="1"/>
  <c r="D655" i="1"/>
  <c r="E655" i="1"/>
  <c r="K655" i="1"/>
  <c r="D656" i="1"/>
  <c r="E656" i="1"/>
  <c r="K656" i="1"/>
  <c r="D657" i="1"/>
  <c r="E657" i="1"/>
  <c r="K657" i="1"/>
  <c r="D658" i="1"/>
  <c r="E658" i="1"/>
  <c r="K658" i="1"/>
  <c r="D659" i="1"/>
  <c r="E659" i="1"/>
  <c r="K659" i="1"/>
  <c r="D660" i="1"/>
  <c r="E660" i="1"/>
  <c r="K660" i="1"/>
  <c r="D661" i="1"/>
  <c r="E661" i="1"/>
  <c r="K661" i="1"/>
  <c r="D662" i="1"/>
  <c r="E662" i="1"/>
  <c r="K662" i="1"/>
  <c r="D663" i="1"/>
  <c r="E663" i="1"/>
  <c r="K663" i="1"/>
  <c r="D664" i="1"/>
  <c r="E664" i="1"/>
  <c r="K664" i="1"/>
  <c r="D665" i="1"/>
  <c r="E665" i="1"/>
  <c r="K665" i="1"/>
  <c r="D666" i="1"/>
  <c r="E666" i="1"/>
  <c r="K666" i="1"/>
  <c r="D667" i="1"/>
  <c r="E667" i="1"/>
  <c r="K667" i="1"/>
  <c r="D668" i="1"/>
  <c r="E668" i="1"/>
  <c r="K668" i="1"/>
  <c r="D669" i="1"/>
  <c r="E669" i="1"/>
  <c r="K669" i="1"/>
  <c r="D670" i="1"/>
  <c r="E670" i="1"/>
  <c r="K670" i="1"/>
  <c r="D671" i="1"/>
  <c r="E671" i="1"/>
  <c r="K671" i="1"/>
  <c r="D672" i="1"/>
  <c r="E672" i="1"/>
  <c r="K672" i="1"/>
  <c r="D673" i="1"/>
  <c r="E673" i="1"/>
  <c r="K673" i="1"/>
  <c r="D674" i="1"/>
  <c r="E674" i="1"/>
  <c r="K674" i="1"/>
  <c r="D675" i="1"/>
  <c r="E675" i="1"/>
  <c r="K675" i="1"/>
  <c r="D676" i="1"/>
  <c r="E676" i="1"/>
  <c r="K676" i="1"/>
  <c r="D677" i="1"/>
  <c r="E677" i="1"/>
  <c r="K677" i="1"/>
  <c r="D678" i="1"/>
  <c r="E678" i="1"/>
  <c r="K678" i="1"/>
  <c r="D679" i="1"/>
  <c r="E679" i="1"/>
  <c r="K679" i="1"/>
  <c r="D680" i="1"/>
  <c r="E680" i="1"/>
  <c r="K680" i="1"/>
  <c r="D681" i="1"/>
  <c r="E681" i="1"/>
  <c r="K681" i="1"/>
  <c r="D682" i="1"/>
  <c r="E682" i="1"/>
  <c r="K682" i="1"/>
  <c r="D683" i="1"/>
  <c r="E683" i="1"/>
  <c r="K683" i="1"/>
  <c r="D684" i="1"/>
  <c r="E684" i="1"/>
  <c r="K684" i="1"/>
  <c r="D685" i="1"/>
  <c r="E685" i="1"/>
  <c r="K685" i="1"/>
  <c r="D686" i="1"/>
  <c r="E686" i="1"/>
  <c r="K686" i="1"/>
  <c r="D687" i="1"/>
  <c r="E687" i="1"/>
  <c r="K687" i="1"/>
  <c r="D688" i="1"/>
  <c r="E688" i="1"/>
  <c r="K688" i="1"/>
  <c r="D689" i="1"/>
  <c r="E689" i="1"/>
  <c r="K689" i="1"/>
  <c r="D690" i="1"/>
  <c r="E690" i="1"/>
  <c r="K690" i="1"/>
  <c r="D691" i="1"/>
  <c r="E691" i="1"/>
  <c r="K691" i="1"/>
  <c r="D692" i="1"/>
  <c r="E692" i="1"/>
  <c r="K692" i="1"/>
  <c r="D693" i="1"/>
  <c r="E693" i="1"/>
  <c r="K693" i="1"/>
  <c r="D694" i="1"/>
  <c r="E694" i="1"/>
  <c r="K694" i="1"/>
  <c r="D695" i="1"/>
  <c r="E695" i="1"/>
  <c r="K695" i="1"/>
  <c r="D696" i="1"/>
  <c r="E696" i="1"/>
  <c r="K696" i="1"/>
  <c r="D697" i="1"/>
  <c r="E697" i="1"/>
  <c r="K697" i="1"/>
  <c r="D698" i="1"/>
  <c r="E698" i="1"/>
  <c r="K698" i="1"/>
  <c r="D699" i="1"/>
  <c r="E699" i="1"/>
  <c r="K699" i="1"/>
  <c r="D700" i="1"/>
  <c r="E700" i="1"/>
  <c r="K700" i="1"/>
  <c r="D701" i="1"/>
  <c r="K701" i="1"/>
  <c r="D702" i="1"/>
  <c r="E702" i="1"/>
  <c r="K702" i="1"/>
  <c r="D703" i="1"/>
  <c r="E703" i="1"/>
  <c r="K703" i="1"/>
  <c r="D704" i="1"/>
  <c r="K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K710" i="1"/>
  <c r="D711" i="1"/>
  <c r="E711" i="1"/>
  <c r="K711" i="1"/>
  <c r="D712" i="1"/>
  <c r="E712" i="1"/>
  <c r="K712" i="1"/>
  <c r="D713" i="1"/>
  <c r="E713" i="1"/>
  <c r="K713" i="1"/>
  <c r="D714" i="1"/>
  <c r="E714" i="1"/>
  <c r="K714" i="1"/>
  <c r="D715" i="1"/>
  <c r="E715" i="1"/>
  <c r="K715" i="1"/>
  <c r="D716" i="1"/>
  <c r="E716" i="1"/>
  <c r="K716" i="1"/>
  <c r="D717" i="1"/>
  <c r="E717" i="1"/>
  <c r="K717" i="1"/>
  <c r="D718" i="1"/>
  <c r="E718" i="1"/>
  <c r="K718" i="1"/>
  <c r="D719" i="1"/>
  <c r="E719" i="1"/>
  <c r="K719" i="1"/>
  <c r="D720" i="1"/>
  <c r="E720" i="1"/>
  <c r="K720" i="1"/>
  <c r="D721" i="1"/>
  <c r="E721" i="1"/>
  <c r="K721" i="1"/>
  <c r="D722" i="1"/>
  <c r="E722" i="1"/>
  <c r="K722" i="1"/>
  <c r="D723" i="1"/>
  <c r="E723" i="1"/>
  <c r="K723" i="1"/>
  <c r="D724" i="1"/>
  <c r="E724" i="1"/>
  <c r="K724" i="1"/>
  <c r="D725" i="1"/>
  <c r="E725" i="1"/>
  <c r="K725" i="1"/>
  <c r="D726" i="1"/>
  <c r="E726" i="1"/>
  <c r="K726" i="1"/>
  <c r="D727" i="1"/>
  <c r="E727" i="1"/>
  <c r="K727" i="1"/>
  <c r="D728" i="1"/>
  <c r="E728" i="1"/>
  <c r="K728" i="1"/>
  <c r="D729" i="1"/>
  <c r="E729" i="1"/>
  <c r="K729" i="1"/>
  <c r="D730" i="1"/>
  <c r="E730" i="1"/>
  <c r="K730" i="1"/>
  <c r="D731" i="1"/>
  <c r="E731" i="1"/>
  <c r="D732" i="1"/>
  <c r="E732" i="1"/>
  <c r="D733" i="1"/>
  <c r="E733" i="1"/>
  <c r="K733" i="1"/>
  <c r="D734" i="1"/>
  <c r="E734" i="1"/>
  <c r="K734" i="1"/>
  <c r="D735" i="1"/>
  <c r="E735" i="1"/>
  <c r="K735" i="1"/>
  <c r="D736" i="1"/>
  <c r="E736" i="1"/>
  <c r="K736" i="1"/>
  <c r="D737" i="1"/>
  <c r="E737" i="1"/>
  <c r="K737" i="1"/>
  <c r="D738" i="1"/>
  <c r="E738" i="1"/>
  <c r="K738" i="1"/>
  <c r="D739" i="1"/>
  <c r="E739" i="1"/>
  <c r="K739" i="1"/>
  <c r="D740" i="1"/>
  <c r="E740" i="1"/>
  <c r="K740" i="1"/>
  <c r="D741" i="1"/>
  <c r="E741" i="1"/>
  <c r="K741" i="1"/>
  <c r="D742" i="1"/>
  <c r="E742" i="1"/>
  <c r="K742" i="1"/>
  <c r="D743" i="1"/>
  <c r="E743" i="1"/>
  <c r="K743" i="1"/>
  <c r="D744" i="1"/>
  <c r="E744" i="1"/>
  <c r="K744" i="1"/>
  <c r="D745" i="1"/>
  <c r="E745" i="1"/>
  <c r="K745" i="1"/>
  <c r="D746" i="1"/>
  <c r="E746" i="1"/>
  <c r="K746" i="1"/>
  <c r="D747" i="1"/>
  <c r="E747" i="1"/>
  <c r="K747" i="1"/>
  <c r="D748" i="1"/>
  <c r="E748" i="1"/>
  <c r="K748" i="1"/>
  <c r="D749" i="1"/>
  <c r="E749" i="1"/>
  <c r="K749" i="1"/>
  <c r="D750" i="1"/>
  <c r="E750" i="1"/>
  <c r="K750" i="1"/>
  <c r="D751" i="1"/>
  <c r="E751" i="1"/>
  <c r="K751" i="1"/>
  <c r="D752" i="1"/>
  <c r="E752" i="1"/>
  <c r="K752" i="1"/>
  <c r="D753" i="1"/>
  <c r="E753" i="1"/>
  <c r="K753" i="1"/>
  <c r="D754" i="1"/>
  <c r="E754" i="1"/>
  <c r="K754" i="1"/>
  <c r="D755" i="1"/>
  <c r="E755" i="1"/>
  <c r="K755" i="1"/>
  <c r="D756" i="1"/>
  <c r="E756" i="1"/>
  <c r="K756" i="1"/>
  <c r="D757" i="1"/>
  <c r="E757" i="1"/>
  <c r="K757" i="1"/>
  <c r="D758" i="1"/>
  <c r="E758" i="1"/>
  <c r="K758" i="1"/>
  <c r="D759" i="1"/>
  <c r="E759" i="1"/>
  <c r="K759" i="1"/>
  <c r="D760" i="1"/>
  <c r="E760" i="1"/>
  <c r="K760" i="1"/>
  <c r="D761" i="1"/>
  <c r="E761" i="1"/>
  <c r="K761" i="1"/>
  <c r="D762" i="1"/>
  <c r="K762" i="1"/>
  <c r="D763" i="1"/>
  <c r="E763" i="1"/>
  <c r="K763" i="1"/>
  <c r="D764" i="1"/>
  <c r="E764" i="1"/>
  <c r="K764" i="1"/>
  <c r="D765" i="1"/>
  <c r="E765" i="1"/>
  <c r="K765" i="1"/>
  <c r="D766" i="1"/>
  <c r="E766" i="1"/>
  <c r="K766" i="1"/>
  <c r="D767" i="1"/>
  <c r="E767" i="1"/>
  <c r="K767" i="1"/>
  <c r="D768" i="1"/>
  <c r="E768" i="1"/>
  <c r="K768" i="1"/>
  <c r="D769" i="1"/>
  <c r="E769" i="1"/>
  <c r="K769" i="1"/>
  <c r="D770" i="1"/>
  <c r="E770" i="1"/>
  <c r="K770" i="1"/>
  <c r="D771" i="1"/>
  <c r="E771" i="1"/>
  <c r="K771" i="1"/>
  <c r="D772" i="1"/>
  <c r="E772" i="1"/>
  <c r="K772" i="1"/>
  <c r="D773" i="1"/>
  <c r="E773" i="1"/>
  <c r="K773" i="1"/>
  <c r="D774" i="1"/>
  <c r="E774" i="1"/>
  <c r="K774" i="1"/>
  <c r="D775" i="1"/>
  <c r="E775" i="1"/>
  <c r="K775" i="1"/>
  <c r="D776" i="1"/>
  <c r="E776" i="1"/>
  <c r="K776" i="1"/>
  <c r="D777" i="1"/>
  <c r="E777" i="1"/>
  <c r="K777" i="1"/>
  <c r="D778" i="1"/>
  <c r="E778" i="1"/>
  <c r="K778" i="1"/>
  <c r="D779" i="1"/>
  <c r="E779" i="1"/>
  <c r="K779" i="1"/>
  <c r="D780" i="1"/>
  <c r="E780" i="1"/>
  <c r="K780" i="1"/>
  <c r="D782" i="1"/>
  <c r="E782" i="1"/>
  <c r="K782" i="1"/>
  <c r="D783" i="1"/>
  <c r="E783" i="1"/>
  <c r="K783" i="1"/>
  <c r="D784" i="1"/>
  <c r="E784" i="1"/>
  <c r="K784" i="1"/>
  <c r="D785" i="1"/>
  <c r="E785" i="1"/>
  <c r="K785" i="1"/>
  <c r="D786" i="1"/>
  <c r="E786" i="1"/>
  <c r="K786" i="1"/>
  <c r="D787" i="1"/>
  <c r="E787" i="1"/>
  <c r="K787" i="1"/>
  <c r="D788" i="1"/>
  <c r="E788" i="1"/>
  <c r="K788" i="1"/>
  <c r="D789" i="1"/>
  <c r="E789" i="1"/>
  <c r="K789" i="1"/>
  <c r="D790" i="1"/>
  <c r="E790" i="1"/>
  <c r="K790" i="1"/>
  <c r="D791" i="1"/>
  <c r="E791" i="1"/>
  <c r="K791" i="1"/>
  <c r="D792" i="1"/>
  <c r="E792" i="1"/>
  <c r="K792" i="1"/>
  <c r="D793" i="1"/>
  <c r="E793" i="1"/>
  <c r="K793" i="1"/>
  <c r="D794" i="1"/>
  <c r="E794" i="1"/>
  <c r="K794" i="1"/>
  <c r="D795" i="1"/>
  <c r="E795" i="1"/>
  <c r="K795" i="1"/>
  <c r="D796" i="1"/>
  <c r="E796" i="1"/>
  <c r="K796" i="1"/>
  <c r="D797" i="1"/>
  <c r="E797" i="1"/>
  <c r="K797" i="1"/>
  <c r="D798" i="1"/>
  <c r="E798" i="1"/>
  <c r="K798" i="1"/>
  <c r="D799" i="1"/>
  <c r="E799" i="1"/>
  <c r="K799" i="1"/>
  <c r="D800" i="1"/>
  <c r="E800" i="1"/>
  <c r="K800" i="1"/>
  <c r="D801" i="1"/>
  <c r="E801" i="1"/>
  <c r="K801" i="1"/>
  <c r="D802" i="1"/>
  <c r="E802" i="1"/>
  <c r="K802" i="1"/>
  <c r="D803" i="1"/>
  <c r="E803" i="1"/>
  <c r="K803" i="1"/>
  <c r="D804" i="1"/>
  <c r="E804" i="1"/>
  <c r="K804" i="1"/>
  <c r="D805" i="1"/>
  <c r="E805" i="1"/>
  <c r="K805" i="1"/>
  <c r="D806" i="1"/>
  <c r="E806" i="1"/>
  <c r="K806" i="1"/>
  <c r="D807" i="1"/>
  <c r="E807" i="1"/>
  <c r="K807" i="1"/>
  <c r="D808" i="1"/>
  <c r="E808" i="1"/>
  <c r="K808" i="1"/>
  <c r="D809" i="1"/>
  <c r="E809" i="1"/>
  <c r="K809" i="1"/>
  <c r="D810" i="1"/>
  <c r="E810" i="1"/>
  <c r="K810" i="1"/>
  <c r="D811" i="1"/>
  <c r="E811" i="1"/>
  <c r="K811" i="1"/>
  <c r="D812" i="1"/>
  <c r="E812" i="1"/>
  <c r="K812" i="1"/>
  <c r="D813" i="1"/>
  <c r="E813" i="1"/>
  <c r="K813" i="1"/>
  <c r="D814" i="1"/>
  <c r="E814" i="1"/>
  <c r="K814" i="1"/>
  <c r="D815" i="1"/>
  <c r="E815" i="1"/>
  <c r="K815" i="1"/>
  <c r="D816" i="1"/>
  <c r="E816" i="1"/>
  <c r="K816" i="1"/>
  <c r="D817" i="1"/>
  <c r="E817" i="1"/>
  <c r="K817" i="1"/>
  <c r="D818" i="1"/>
  <c r="E818" i="1"/>
  <c r="K818" i="1"/>
  <c r="D819" i="1"/>
  <c r="E819" i="1"/>
  <c r="K819" i="1"/>
  <c r="D820" i="1"/>
  <c r="E820" i="1"/>
  <c r="K820" i="1"/>
  <c r="D821" i="1"/>
  <c r="E821" i="1"/>
  <c r="K821" i="1"/>
  <c r="D822" i="1"/>
  <c r="E822" i="1"/>
  <c r="K822" i="1"/>
  <c r="D823" i="1"/>
  <c r="E823" i="1"/>
  <c r="K823" i="1"/>
  <c r="D824" i="1"/>
  <c r="E824" i="1"/>
  <c r="K824" i="1"/>
  <c r="D825" i="1"/>
  <c r="E825" i="1"/>
  <c r="K825" i="1"/>
  <c r="D826" i="1"/>
  <c r="E826" i="1"/>
  <c r="K826" i="1"/>
  <c r="D827" i="1"/>
  <c r="E827" i="1"/>
  <c r="K827" i="1"/>
  <c r="D828" i="1"/>
  <c r="E828" i="1"/>
  <c r="K828" i="1"/>
  <c r="D829" i="1"/>
  <c r="E829" i="1"/>
  <c r="K829" i="1"/>
  <c r="D830" i="1"/>
  <c r="E830" i="1"/>
  <c r="K830" i="1"/>
  <c r="D831" i="1"/>
  <c r="E831" i="1"/>
  <c r="K831" i="1"/>
  <c r="D832" i="1"/>
  <c r="E832" i="1"/>
  <c r="K832" i="1"/>
  <c r="D833" i="1"/>
  <c r="E833" i="1"/>
  <c r="K833" i="1"/>
  <c r="D834" i="1"/>
  <c r="E834" i="1"/>
  <c r="K834" i="1"/>
  <c r="D835" i="1"/>
  <c r="E835" i="1"/>
  <c r="K835" i="1"/>
  <c r="D836" i="1"/>
  <c r="E836" i="1"/>
  <c r="K836" i="1"/>
  <c r="D837" i="1"/>
  <c r="E837" i="1"/>
  <c r="K837" i="1"/>
  <c r="D838" i="1"/>
  <c r="E838" i="1"/>
  <c r="K838" i="1"/>
  <c r="D839" i="1"/>
  <c r="E839" i="1"/>
  <c r="K839" i="1"/>
  <c r="D840" i="1"/>
  <c r="E840" i="1"/>
  <c r="K840" i="1"/>
  <c r="D841" i="1"/>
  <c r="E841" i="1"/>
  <c r="K841" i="1"/>
  <c r="D842" i="1"/>
  <c r="E842" i="1"/>
  <c r="K842" i="1"/>
  <c r="D843" i="1"/>
  <c r="E843" i="1"/>
  <c r="K843" i="1"/>
  <c r="D844" i="1"/>
  <c r="E844" i="1"/>
  <c r="K844" i="1"/>
  <c r="D845" i="1"/>
  <c r="E845" i="1"/>
  <c r="K845" i="1"/>
  <c r="D846" i="1"/>
  <c r="E846" i="1"/>
  <c r="K846" i="1"/>
  <c r="D847" i="1"/>
  <c r="E847" i="1"/>
  <c r="K847" i="1"/>
  <c r="D848" i="1"/>
  <c r="E848" i="1"/>
  <c r="K848" i="1"/>
  <c r="D849" i="1"/>
  <c r="E849" i="1"/>
  <c r="K849" i="1"/>
  <c r="D850" i="1"/>
  <c r="E850" i="1"/>
  <c r="K850" i="1"/>
  <c r="D851" i="1"/>
  <c r="E851" i="1"/>
  <c r="K851" i="1"/>
  <c r="D852" i="1"/>
  <c r="E852" i="1"/>
  <c r="K852" i="1"/>
  <c r="D853" i="1"/>
  <c r="E853" i="1"/>
  <c r="K853" i="1"/>
  <c r="D854" i="1"/>
  <c r="E854" i="1"/>
  <c r="K854" i="1"/>
  <c r="D855" i="1"/>
  <c r="E855" i="1"/>
  <c r="K855" i="1"/>
  <c r="D856" i="1"/>
  <c r="E856" i="1"/>
  <c r="K856" i="1"/>
  <c r="D857" i="1"/>
  <c r="E857" i="1"/>
  <c r="K857" i="1"/>
  <c r="D858" i="1"/>
  <c r="E858" i="1"/>
  <c r="K858" i="1"/>
  <c r="D859" i="1"/>
  <c r="E859" i="1"/>
  <c r="K859" i="1"/>
  <c r="D860" i="1"/>
  <c r="E860" i="1"/>
  <c r="K860" i="1"/>
  <c r="D861" i="1"/>
  <c r="E861" i="1"/>
  <c r="K861" i="1"/>
  <c r="D862" i="1"/>
  <c r="E862" i="1"/>
  <c r="K862" i="1"/>
  <c r="D863" i="1"/>
  <c r="E863" i="1"/>
  <c r="K863" i="1"/>
  <c r="D864" i="1"/>
  <c r="E864" i="1"/>
  <c r="K864" i="1"/>
  <c r="D865" i="1"/>
  <c r="E865" i="1"/>
  <c r="K865" i="1"/>
  <c r="D866" i="1"/>
  <c r="E866" i="1"/>
  <c r="K866" i="1"/>
  <c r="D867" i="1"/>
  <c r="E867" i="1"/>
  <c r="K867" i="1"/>
  <c r="D868" i="1"/>
  <c r="E868" i="1"/>
  <c r="K868" i="1"/>
  <c r="D869" i="1"/>
  <c r="E869" i="1"/>
  <c r="K869" i="1"/>
  <c r="D870" i="1"/>
  <c r="E870" i="1"/>
  <c r="K870" i="1"/>
  <c r="D871" i="1"/>
  <c r="E871" i="1"/>
  <c r="K871" i="1"/>
  <c r="D872" i="1"/>
  <c r="E872" i="1"/>
  <c r="K872" i="1"/>
  <c r="D873" i="1"/>
  <c r="E873" i="1"/>
  <c r="K873" i="1"/>
  <c r="D874" i="1"/>
  <c r="E874" i="1"/>
  <c r="K874" i="1"/>
  <c r="D875" i="1"/>
  <c r="E875" i="1"/>
  <c r="K875" i="1"/>
  <c r="D876" i="1"/>
  <c r="E876" i="1"/>
  <c r="K876" i="1"/>
  <c r="D877" i="1"/>
  <c r="E877" i="1"/>
  <c r="K877" i="1"/>
  <c r="D878" i="1"/>
  <c r="E878" i="1"/>
  <c r="K878" i="1"/>
  <c r="D879" i="1"/>
  <c r="E879" i="1"/>
  <c r="K879" i="1"/>
  <c r="D880" i="1"/>
  <c r="E880" i="1"/>
  <c r="K880" i="1"/>
  <c r="D881" i="1"/>
  <c r="E881" i="1"/>
  <c r="K881" i="1"/>
  <c r="D882" i="1"/>
  <c r="E882" i="1"/>
  <c r="K882" i="1"/>
  <c r="D883" i="1"/>
  <c r="E883" i="1"/>
  <c r="K883" i="1"/>
  <c r="D884" i="1"/>
  <c r="E884" i="1"/>
  <c r="K884" i="1"/>
  <c r="D885" i="1"/>
  <c r="E885" i="1"/>
  <c r="K885" i="1"/>
  <c r="D886" i="1"/>
  <c r="E886" i="1"/>
  <c r="K886" i="1"/>
  <c r="D887" i="1"/>
  <c r="E887" i="1"/>
  <c r="K887" i="1"/>
  <c r="D888" i="1"/>
  <c r="E888" i="1"/>
  <c r="K888" i="1"/>
  <c r="D889" i="1"/>
  <c r="E889" i="1"/>
  <c r="K889" i="1"/>
  <c r="D890" i="1"/>
  <c r="E890" i="1"/>
  <c r="K890" i="1"/>
  <c r="D891" i="1"/>
  <c r="E891" i="1"/>
  <c r="K891" i="1"/>
  <c r="D892" i="1"/>
  <c r="E892" i="1"/>
  <c r="K892" i="1"/>
  <c r="D893" i="1"/>
  <c r="E893" i="1"/>
  <c r="K893" i="1"/>
  <c r="D894" i="1"/>
  <c r="E894" i="1"/>
  <c r="K894" i="1"/>
  <c r="D895" i="1"/>
  <c r="E895" i="1"/>
  <c r="K895" i="1"/>
  <c r="D896" i="1"/>
  <c r="E896" i="1"/>
  <c r="K896" i="1"/>
  <c r="D897" i="1"/>
  <c r="E897" i="1"/>
  <c r="K897" i="1"/>
  <c r="D898" i="1"/>
  <c r="E898" i="1"/>
  <c r="K898" i="1"/>
  <c r="D899" i="1"/>
  <c r="E899" i="1"/>
  <c r="K899" i="1"/>
  <c r="D900" i="1"/>
  <c r="E900" i="1"/>
  <c r="K900" i="1"/>
  <c r="D901" i="1"/>
  <c r="E901" i="1"/>
  <c r="K901" i="1"/>
  <c r="D902" i="1"/>
  <c r="E902" i="1"/>
  <c r="K902" i="1"/>
  <c r="D903" i="1"/>
  <c r="E903" i="1"/>
  <c r="K903" i="1"/>
  <c r="D904" i="1"/>
  <c r="E904" i="1"/>
  <c r="K904" i="1"/>
  <c r="D905" i="1"/>
  <c r="E905" i="1"/>
  <c r="K905" i="1"/>
  <c r="D906" i="1"/>
  <c r="E906" i="1"/>
  <c r="K906" i="1"/>
  <c r="D907" i="1"/>
  <c r="E907" i="1"/>
  <c r="K907" i="1"/>
  <c r="D908" i="1"/>
  <c r="E908" i="1"/>
  <c r="K908" i="1"/>
  <c r="D909" i="1"/>
  <c r="E909" i="1"/>
  <c r="K909" i="1"/>
  <c r="D910" i="1"/>
  <c r="E910" i="1"/>
  <c r="K910" i="1"/>
  <c r="D911" i="1"/>
  <c r="E911" i="1"/>
  <c r="K911" i="1"/>
  <c r="D912" i="1"/>
  <c r="E912" i="1"/>
  <c r="K912" i="1"/>
  <c r="D913" i="1"/>
  <c r="E913" i="1"/>
  <c r="K913" i="1"/>
  <c r="D914" i="1"/>
  <c r="E914" i="1"/>
  <c r="K914" i="1"/>
  <c r="D915" i="1"/>
  <c r="E915" i="1"/>
  <c r="K915" i="1"/>
  <c r="D916" i="1"/>
  <c r="E916" i="1"/>
  <c r="K916" i="1"/>
  <c r="D917" i="1"/>
  <c r="E917" i="1"/>
  <c r="K917" i="1"/>
  <c r="D918" i="1"/>
  <c r="E918" i="1"/>
  <c r="K918" i="1"/>
  <c r="D919" i="1"/>
  <c r="E919" i="1"/>
  <c r="K919" i="1"/>
  <c r="D920" i="1"/>
  <c r="E920" i="1"/>
  <c r="K920" i="1"/>
  <c r="D921" i="1"/>
  <c r="E921" i="1"/>
  <c r="K921" i="1"/>
  <c r="D922" i="1"/>
  <c r="E922" i="1"/>
  <c r="K922" i="1"/>
  <c r="D923" i="1"/>
  <c r="E923" i="1"/>
  <c r="K923" i="1"/>
  <c r="D924" i="1"/>
  <c r="E924" i="1"/>
  <c r="K924" i="1"/>
  <c r="D925" i="1"/>
  <c r="E925" i="1"/>
  <c r="K925" i="1"/>
  <c r="D926" i="1"/>
  <c r="E926" i="1"/>
  <c r="K926" i="1"/>
  <c r="D927" i="1"/>
  <c r="E927" i="1"/>
  <c r="K927" i="1"/>
  <c r="D928" i="1"/>
  <c r="E928" i="1"/>
  <c r="K928" i="1"/>
  <c r="D929" i="1"/>
  <c r="K929" i="1"/>
  <c r="D930" i="1"/>
  <c r="E930" i="1"/>
  <c r="K930" i="1"/>
  <c r="D931" i="1"/>
  <c r="E931" i="1"/>
  <c r="K931" i="1"/>
  <c r="D932" i="1"/>
  <c r="K932" i="1"/>
  <c r="D933" i="1"/>
  <c r="E933" i="1"/>
  <c r="K933" i="1"/>
  <c r="D934" i="1"/>
  <c r="E934" i="1"/>
  <c r="K934" i="1"/>
  <c r="D935" i="1"/>
  <c r="E935" i="1"/>
  <c r="K935" i="1"/>
  <c r="D936" i="1"/>
  <c r="E936" i="1"/>
  <c r="K936" i="1"/>
  <c r="D937" i="1"/>
  <c r="E937" i="1"/>
  <c r="K937" i="1"/>
  <c r="D938" i="1"/>
  <c r="E938" i="1"/>
  <c r="K938" i="1"/>
  <c r="D939" i="1"/>
  <c r="E939" i="1"/>
  <c r="K939" i="1"/>
  <c r="D940" i="1"/>
  <c r="E940" i="1"/>
  <c r="K940" i="1"/>
  <c r="D941" i="1"/>
  <c r="E941" i="1"/>
  <c r="K941" i="1"/>
  <c r="D942" i="1"/>
  <c r="E942" i="1"/>
  <c r="K942" i="1"/>
  <c r="D943" i="1"/>
  <c r="E943" i="1"/>
  <c r="K943" i="1"/>
  <c r="D944" i="1"/>
  <c r="E944" i="1"/>
  <c r="K944" i="1"/>
  <c r="D945" i="1"/>
  <c r="E945" i="1"/>
  <c r="K945" i="1"/>
  <c r="D946" i="1"/>
  <c r="E946" i="1"/>
  <c r="K946" i="1"/>
  <c r="D947" i="1"/>
  <c r="E947" i="1"/>
  <c r="K947" i="1"/>
  <c r="D948" i="1"/>
  <c r="E948" i="1"/>
  <c r="K948" i="1"/>
  <c r="D949" i="1"/>
  <c r="E949" i="1"/>
  <c r="K949" i="1"/>
  <c r="D950" i="1"/>
  <c r="E950" i="1"/>
  <c r="K950" i="1"/>
  <c r="D951" i="1"/>
  <c r="E951" i="1"/>
  <c r="K951" i="1"/>
  <c r="D952" i="1"/>
  <c r="E952" i="1"/>
  <c r="K952" i="1"/>
  <c r="D953" i="1"/>
  <c r="E953" i="1"/>
  <c r="K953" i="1"/>
  <c r="D954" i="1"/>
  <c r="E954" i="1"/>
  <c r="K954" i="1"/>
  <c r="D955" i="1"/>
  <c r="E955" i="1"/>
  <c r="K955" i="1"/>
  <c r="D956" i="1"/>
  <c r="E956" i="1"/>
  <c r="K956" i="1"/>
  <c r="D957" i="1"/>
  <c r="E957" i="1"/>
  <c r="K957" i="1"/>
  <c r="D958" i="1"/>
  <c r="E958" i="1"/>
  <c r="K958" i="1"/>
  <c r="D959" i="1"/>
  <c r="E959" i="1"/>
  <c r="K959" i="1"/>
  <c r="D960" i="1"/>
  <c r="E960" i="1"/>
  <c r="K960" i="1"/>
  <c r="D961" i="1"/>
  <c r="E961" i="1"/>
  <c r="K961" i="1"/>
  <c r="D962" i="1"/>
  <c r="E962" i="1"/>
  <c r="K962" i="1"/>
  <c r="D963" i="1"/>
  <c r="E963" i="1"/>
  <c r="K963" i="1"/>
  <c r="D964" i="1"/>
  <c r="E964" i="1"/>
  <c r="K964" i="1"/>
  <c r="D965" i="1"/>
  <c r="E965" i="1"/>
  <c r="K965" i="1"/>
  <c r="D966" i="1"/>
  <c r="E966" i="1"/>
  <c r="K966" i="1"/>
  <c r="D967" i="1"/>
  <c r="E967" i="1"/>
  <c r="K967" i="1"/>
  <c r="D968" i="1"/>
  <c r="E968" i="1"/>
  <c r="K968" i="1"/>
  <c r="D969" i="1"/>
  <c r="E969" i="1"/>
  <c r="K969" i="1"/>
  <c r="D970" i="1"/>
  <c r="E970" i="1"/>
  <c r="K970" i="1"/>
  <c r="D972" i="1"/>
  <c r="E972" i="1"/>
  <c r="K972" i="1"/>
  <c r="D973" i="1"/>
  <c r="E973" i="1"/>
  <c r="K973" i="1"/>
  <c r="D974" i="1"/>
  <c r="E974" i="1"/>
  <c r="K974" i="1"/>
  <c r="D975" i="1"/>
  <c r="E975" i="1"/>
  <c r="K975" i="1"/>
  <c r="D976" i="1"/>
  <c r="E976" i="1"/>
  <c r="K976" i="1"/>
  <c r="D977" i="1"/>
  <c r="E977" i="1"/>
  <c r="K977" i="1"/>
  <c r="D978" i="1"/>
  <c r="E978" i="1"/>
  <c r="K978" i="1"/>
  <c r="D979" i="1"/>
  <c r="E979" i="1"/>
  <c r="K979" i="1"/>
  <c r="D980" i="1"/>
  <c r="E980" i="1"/>
  <c r="K980" i="1"/>
  <c r="D981" i="1"/>
  <c r="E981" i="1"/>
  <c r="K981" i="1"/>
  <c r="D982" i="1"/>
  <c r="E982" i="1"/>
  <c r="K982" i="1"/>
  <c r="D983" i="1"/>
  <c r="E983" i="1"/>
  <c r="K983" i="1"/>
  <c r="D984" i="1"/>
  <c r="E984" i="1"/>
  <c r="K984" i="1"/>
  <c r="D985" i="1"/>
  <c r="E985" i="1"/>
  <c r="K985" i="1"/>
  <c r="D986" i="1"/>
  <c r="E986" i="1"/>
  <c r="K986" i="1"/>
  <c r="D987" i="1"/>
  <c r="E987" i="1"/>
  <c r="K987" i="1"/>
  <c r="D988" i="1"/>
  <c r="E988" i="1"/>
  <c r="K988" i="1"/>
  <c r="D989" i="1"/>
  <c r="E989" i="1"/>
  <c r="K989" i="1"/>
  <c r="D990" i="1"/>
  <c r="E990" i="1"/>
  <c r="K990" i="1"/>
  <c r="D991" i="1"/>
  <c r="E991" i="1"/>
  <c r="K991" i="1"/>
  <c r="D992" i="1"/>
  <c r="E992" i="1"/>
  <c r="K992" i="1"/>
  <c r="D993" i="1"/>
  <c r="E993" i="1"/>
  <c r="K993" i="1"/>
  <c r="D994" i="1"/>
  <c r="E994" i="1"/>
  <c r="K994" i="1"/>
  <c r="D995" i="1"/>
  <c r="E995" i="1"/>
  <c r="K995" i="1"/>
  <c r="D996" i="1"/>
  <c r="E996" i="1"/>
  <c r="K996" i="1"/>
  <c r="D997" i="1"/>
  <c r="E997" i="1"/>
  <c r="K997" i="1"/>
  <c r="D998" i="1"/>
  <c r="E998" i="1"/>
  <c r="K998" i="1"/>
  <c r="D999" i="1"/>
  <c r="E999" i="1"/>
  <c r="K999" i="1"/>
  <c r="K529" i="1"/>
  <c r="E529" i="1"/>
  <c r="D529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10" i="1"/>
  <c r="E511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2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51" i="1"/>
  <c r="E449" i="1"/>
  <c r="E450" i="1"/>
  <c r="D505" i="1"/>
  <c r="K505" i="1"/>
  <c r="D506" i="1"/>
  <c r="K506" i="1"/>
  <c r="D507" i="1"/>
  <c r="K507" i="1"/>
  <c r="D508" i="1"/>
  <c r="K508" i="1"/>
  <c r="D509" i="1"/>
  <c r="K509" i="1"/>
  <c r="D510" i="1"/>
  <c r="K510" i="1"/>
  <c r="D511" i="1"/>
  <c r="K511" i="1"/>
  <c r="D512" i="1"/>
  <c r="K512" i="1"/>
  <c r="D513" i="1"/>
  <c r="K513" i="1"/>
  <c r="D514" i="1"/>
  <c r="K514" i="1"/>
  <c r="D515" i="1"/>
  <c r="K515" i="1"/>
  <c r="D516" i="1"/>
  <c r="K516" i="1"/>
  <c r="D517" i="1"/>
  <c r="K517" i="1"/>
  <c r="D518" i="1"/>
  <c r="K518" i="1"/>
  <c r="D519" i="1"/>
  <c r="K519" i="1"/>
  <c r="D520" i="1"/>
  <c r="K520" i="1"/>
  <c r="D521" i="1"/>
  <c r="K521" i="1"/>
  <c r="D522" i="1"/>
  <c r="K522" i="1"/>
  <c r="D523" i="1"/>
  <c r="K523" i="1"/>
  <c r="D524" i="1"/>
  <c r="K524" i="1"/>
  <c r="D525" i="1"/>
  <c r="K525" i="1"/>
  <c r="D526" i="1"/>
  <c r="K526" i="1"/>
  <c r="D527" i="1"/>
  <c r="K527" i="1"/>
  <c r="D528" i="1"/>
  <c r="K528" i="1"/>
  <c r="K367" i="1"/>
  <c r="K368" i="1"/>
  <c r="K369" i="1"/>
  <c r="K370" i="1"/>
  <c r="K371" i="1"/>
  <c r="K274" i="1"/>
  <c r="K275" i="1"/>
  <c r="K276" i="1"/>
  <c r="K277" i="1"/>
  <c r="K278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123" i="1"/>
  <c r="K122" i="1"/>
  <c r="K121" i="1"/>
  <c r="K120" i="1"/>
  <c r="K119" i="1"/>
  <c r="K118" i="1"/>
  <c r="K117" i="1"/>
  <c r="K115" i="1"/>
  <c r="K116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9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2" i="1"/>
  <c r="F8" i="4"/>
  <c r="F9" i="4"/>
  <c r="F41" i="4"/>
  <c r="F42" i="4"/>
  <c r="F43" i="4"/>
  <c r="F10" i="4"/>
</calcChain>
</file>

<file path=xl/sharedStrings.xml><?xml version="1.0" encoding="utf-8"?>
<sst xmlns="http://schemas.openxmlformats.org/spreadsheetml/2006/main" count="13934" uniqueCount="1368">
  <si>
    <t>Datum</t>
  </si>
  <si>
    <t>Schirm</t>
  </si>
  <si>
    <t>Start</t>
  </si>
  <si>
    <t>Landung</t>
  </si>
  <si>
    <t>Bemerkung</t>
  </si>
  <si>
    <t>Kurs</t>
  </si>
  <si>
    <t>HP11</t>
  </si>
  <si>
    <t>First</t>
  </si>
  <si>
    <t>Schulung</t>
  </si>
  <si>
    <t>1x8, 1x360, LVR</t>
  </si>
  <si>
    <t>2x360, LVR</t>
  </si>
  <si>
    <t>Sandien Boden</t>
  </si>
  <si>
    <t>1x360, LVL</t>
  </si>
  <si>
    <t>LVL</t>
  </si>
  <si>
    <t>Almenalp</t>
  </si>
  <si>
    <t>Kandersteg</t>
  </si>
  <si>
    <t>1x8, LVL</t>
  </si>
  <si>
    <t>Hilite 25</t>
  </si>
  <si>
    <t>1x8, 2x360, LVR</t>
  </si>
  <si>
    <t>Schwarzigen</t>
  </si>
  <si>
    <t>2x8, 5x360, LVR</t>
  </si>
  <si>
    <t>Start mit starkem Wind, Landung mit Aufkreuzen</t>
  </si>
  <si>
    <t>Gletschertal</t>
  </si>
  <si>
    <t>2x8, 8x360, LVL</t>
  </si>
  <si>
    <t>Startplatzüberhöhung, LVR</t>
  </si>
  <si>
    <t>Versuch Stallpunkt, LVL</t>
  </si>
  <si>
    <t>Egg</t>
  </si>
  <si>
    <t>Hanglandung</t>
  </si>
  <si>
    <t>Steilspirale, LVR</t>
  </si>
  <si>
    <t>LVR</t>
  </si>
  <si>
    <t>Leinengnosch, Landung mit Wind</t>
  </si>
  <si>
    <t>Stallpunkt</t>
  </si>
  <si>
    <t>LVR, zu kurz</t>
  </si>
  <si>
    <t>hh:mm</t>
  </si>
  <si>
    <t>Std</t>
  </si>
  <si>
    <t>Min</t>
  </si>
  <si>
    <t>1. Thermikflug</t>
  </si>
  <si>
    <t>Wingover</t>
  </si>
  <si>
    <t>Wetterhornrundflug</t>
  </si>
  <si>
    <t>Start mit eingeklappter Seite</t>
  </si>
  <si>
    <t>Prüfung</t>
  </si>
  <si>
    <t>1. Prüfungsflug ¬</t>
  </si>
  <si>
    <t>2. Prüfungsflug</t>
  </si>
  <si>
    <t>3. Prüfungsflug, bestanden :)</t>
  </si>
  <si>
    <t>First, Röti, Schwarzhorn, Gleckstein</t>
  </si>
  <si>
    <t>Vario+</t>
  </si>
  <si>
    <t>Vario-</t>
  </si>
  <si>
    <t>max Höhe</t>
  </si>
  <si>
    <t>erster Flug mit Vario</t>
  </si>
  <si>
    <t>First, Faulhorn</t>
  </si>
  <si>
    <t>Soaren</t>
  </si>
  <si>
    <t>Lauberhorn</t>
  </si>
  <si>
    <t>Waldspitz</t>
  </si>
  <si>
    <t>Teufi</t>
  </si>
  <si>
    <t>Wengen</t>
  </si>
  <si>
    <t>Grund</t>
  </si>
  <si>
    <t>Bort</t>
  </si>
  <si>
    <t>Grit</t>
  </si>
  <si>
    <t>Griwa Cup</t>
  </si>
  <si>
    <t>Ebenalp</t>
  </si>
  <si>
    <t>Hoher Kasten</t>
  </si>
  <si>
    <t>Wasserauen</t>
  </si>
  <si>
    <t>Brülisau</t>
  </si>
  <si>
    <t>Böig</t>
  </si>
  <si>
    <t>leichte Thermik</t>
  </si>
  <si>
    <t>fast Zusammenstoss</t>
  </si>
  <si>
    <t>Sackflug!</t>
  </si>
  <si>
    <t>Abgesoffen</t>
  </si>
  <si>
    <t>letzte Fahrt mit der Firstbahn</t>
  </si>
  <si>
    <t>Hämikon</t>
  </si>
  <si>
    <t>Windenstart</t>
  </si>
  <si>
    <t>Stanserhorn</t>
  </si>
  <si>
    <t>Stans</t>
  </si>
  <si>
    <t>Dallenwil</t>
  </si>
  <si>
    <t>Aussenlandung, 1.5 Std Marsch</t>
  </si>
  <si>
    <t>3 Dänen mit Matrazen wollten auch starten</t>
  </si>
  <si>
    <t>Jahr</t>
  </si>
  <si>
    <t>Werte</t>
  </si>
  <si>
    <t>Zeilenbeschriftungen</t>
  </si>
  <si>
    <t>Gesamtergebnis</t>
  </si>
  <si>
    <t>AnzahlTage</t>
  </si>
  <si>
    <t>Flüge</t>
  </si>
  <si>
    <t>Stunden</t>
  </si>
  <si>
    <t>Schnitt</t>
  </si>
  <si>
    <t>Tage</t>
  </si>
  <si>
    <t>UP Vision</t>
  </si>
  <si>
    <t>Crusair 32</t>
  </si>
  <si>
    <t>Rigi Staffelhöhe</t>
  </si>
  <si>
    <t>Brändlen</t>
  </si>
  <si>
    <t>Eggberge</t>
  </si>
  <si>
    <t>Haldi</t>
  </si>
  <si>
    <t>Niederbauen</t>
  </si>
  <si>
    <t>Musenalp</t>
  </si>
  <si>
    <t>Eichholzern</t>
  </si>
  <si>
    <t>Wolfenschiessen</t>
  </si>
  <si>
    <t>Altdorf/Fluelen</t>
  </si>
  <si>
    <t>Schattdorf</t>
  </si>
  <si>
    <t>Bodmi</t>
  </si>
  <si>
    <t>Emetten</t>
  </si>
  <si>
    <t>Deltastartplatz</t>
  </si>
  <si>
    <t>Eingeflogen --&gt; Vrille</t>
  </si>
  <si>
    <t>Heimat</t>
  </si>
  <si>
    <t>Flugsafari Wallis</t>
  </si>
  <si>
    <t>Hansi, Charlotte, Emilio, Chregu, Carlo, Peter</t>
  </si>
  <si>
    <t>Tournelle</t>
  </si>
  <si>
    <t>Verbier</t>
  </si>
  <si>
    <t>Les Ruinettes</t>
  </si>
  <si>
    <t>Chable Kapelle</t>
  </si>
  <si>
    <t>Reckingen</t>
  </si>
  <si>
    <t>1. Streckenflug</t>
  </si>
  <si>
    <t>Grand Montana/Belaloi</t>
  </si>
  <si>
    <t>Susten</t>
  </si>
  <si>
    <t>Siedelhorn retour</t>
  </si>
  <si>
    <t>Zusammenstoss mit Kuh</t>
  </si>
  <si>
    <t>Akroflug mit Hansi</t>
  </si>
  <si>
    <t>Grindel</t>
  </si>
  <si>
    <t>Ossiachersee West</t>
  </si>
  <si>
    <t>Gerlizen A</t>
  </si>
  <si>
    <t>Röthi, Simmeli, Mettenberg</t>
  </si>
  <si>
    <t>Röthi, Simmeli, Faulhorn, Schwarzhorn</t>
  </si>
  <si>
    <t>Gr. Scheidegg, Pfingsegg</t>
  </si>
  <si>
    <t>Roque brunnes</t>
  </si>
  <si>
    <t>Alex Zusammenstoss</t>
  </si>
  <si>
    <t>Uli Unfall</t>
  </si>
  <si>
    <t>Gemsstock</t>
  </si>
  <si>
    <t>Andermatt</t>
  </si>
  <si>
    <t>Männlichen</t>
  </si>
  <si>
    <t>Lauterbrunnen</t>
  </si>
  <si>
    <t>Kleewenalp</t>
  </si>
  <si>
    <t>Beckenried</t>
  </si>
  <si>
    <t>Sicherheitstraining</t>
  </si>
  <si>
    <t>Ute und Werner</t>
  </si>
  <si>
    <t>Irene/Yvonne</t>
  </si>
  <si>
    <t>Aussenlandung</t>
  </si>
  <si>
    <t>Fallschirm Triengen Freifall 35"</t>
  </si>
  <si>
    <t>Forelle gekauft</t>
  </si>
  <si>
    <t>Fallschirm</t>
  </si>
  <si>
    <t>Triengen</t>
  </si>
  <si>
    <t>Pilatus Porter</t>
  </si>
  <si>
    <t>Col del Pupolo</t>
  </si>
  <si>
    <t>Basano</t>
  </si>
  <si>
    <t>Costalunga</t>
  </si>
  <si>
    <t>3x &gt;4000</t>
  </si>
  <si>
    <t>Puncho</t>
  </si>
  <si>
    <t>Millau</t>
  </si>
  <si>
    <t>Hansi, Chregu, Ives, Paul, Heinz, Jochen, Andreas, Kurt</t>
  </si>
  <si>
    <t>Pic d'Anden</t>
  </si>
  <si>
    <t>Brunas</t>
  </si>
  <si>
    <t>Sehr viele Piloten</t>
  </si>
  <si>
    <t>Arcus 29</t>
  </si>
  <si>
    <t>Brunni</t>
  </si>
  <si>
    <t>Arcus XL</t>
  </si>
  <si>
    <t>Thermikkurs</t>
  </si>
  <si>
    <t>Baschi</t>
  </si>
  <si>
    <t>Mutti</t>
  </si>
  <si>
    <t>Irene, Alexandra, Stefan</t>
  </si>
  <si>
    <t>Fürenalp</t>
  </si>
  <si>
    <t>Engelberg</t>
  </si>
  <si>
    <t>Büelen</t>
  </si>
  <si>
    <t>Niesen</t>
  </si>
  <si>
    <t>Bad Heustrich</t>
  </si>
  <si>
    <t>Wirzwelli</t>
  </si>
  <si>
    <t>Dädi, Irene, Stefan, Alexandra</t>
  </si>
  <si>
    <t>St. Niklausen, Stans</t>
  </si>
  <si>
    <t>Mit Schulpflege Taxi</t>
  </si>
  <si>
    <t>Corvatsch</t>
  </si>
  <si>
    <t>Cimetta</t>
  </si>
  <si>
    <t>Mte Lema</t>
  </si>
  <si>
    <t>Maggio</t>
  </si>
  <si>
    <t>Arvigeno</t>
  </si>
  <si>
    <t>Sessa</t>
  </si>
  <si>
    <t>Talstation</t>
  </si>
  <si>
    <t>ab Mittelstation mit Ski</t>
  </si>
  <si>
    <t>Südsafari</t>
  </si>
  <si>
    <t>UP Summit L</t>
  </si>
  <si>
    <t>Venet</t>
  </si>
  <si>
    <t>Zams</t>
  </si>
  <si>
    <t>Kerns</t>
  </si>
  <si>
    <t>Mami und Alexandra</t>
  </si>
  <si>
    <t>Pfingstsonntag, Velofahren mit Alexandra und Stefan</t>
  </si>
  <si>
    <t>3/4-Klapper, Sturz in Schirm</t>
  </si>
  <si>
    <t>Demoschirm von Blätz</t>
  </si>
  <si>
    <t>Wasserski fahren</t>
  </si>
  <si>
    <t>Renaz</t>
  </si>
  <si>
    <t>Capt</t>
  </si>
  <si>
    <t>St. Geniez</t>
  </si>
  <si>
    <t>Laragne</t>
  </si>
  <si>
    <t>Notlandeplatz</t>
  </si>
  <si>
    <t>Rahet de Beau Mont</t>
  </si>
  <si>
    <t>Tesclaux</t>
  </si>
  <si>
    <t>Plan fait</t>
  </si>
  <si>
    <t>Tolloir</t>
  </si>
  <si>
    <t>Alp du Sud</t>
  </si>
  <si>
    <t>Housi Bolliger, Pedro, beat, Dominic, Chregu</t>
  </si>
  <si>
    <t>Starthilfe Housi</t>
  </si>
  <si>
    <t>Hochgelaufen</t>
  </si>
  <si>
    <t>Mte Generoso</t>
  </si>
  <si>
    <t>Carrago</t>
  </si>
  <si>
    <t>Capolago</t>
  </si>
  <si>
    <t>Fpz Ascona</t>
  </si>
  <si>
    <t>Sachseln</t>
  </si>
  <si>
    <t>Kaiserstuhl</t>
  </si>
  <si>
    <t>Ennetmoos</t>
  </si>
  <si>
    <t>Hansi, Netti, Dagi, Rolf, Rainer, Walburga, Jochen</t>
  </si>
  <si>
    <t>am 3. Grat abgesoffen, aufgebaut</t>
  </si>
  <si>
    <t>2x Eggishorn/Bellwald</t>
  </si>
  <si>
    <t>1. Flug mit GPS</t>
  </si>
  <si>
    <t>mit Chregu</t>
  </si>
  <si>
    <t>Mettenberg Eiger</t>
  </si>
  <si>
    <t>UP Gr M</t>
  </si>
  <si>
    <t>Edi's Schirm</t>
  </si>
  <si>
    <t>Grafenort</t>
  </si>
  <si>
    <t>Buochserhorn/Musenalp mit Chregu</t>
  </si>
  <si>
    <t>Brändlen, Wirzweli, Arvigrat mit Chregu</t>
  </si>
  <si>
    <t>Horren, Rigidalstock, Haldi, Brisen, Buochserhorn mit Chregu</t>
  </si>
  <si>
    <t>Mona hat mich zurück gefahren</t>
  </si>
  <si>
    <t>Kärnten</t>
  </si>
  <si>
    <t>Lazid</t>
  </si>
  <si>
    <t>Niederrickenbach</t>
  </si>
  <si>
    <t>Komperdell</t>
  </si>
  <si>
    <t>Ferien in A (Serfaus)</t>
  </si>
  <si>
    <t>Chregu Notschirm oberhalb Oberrickenbach</t>
  </si>
  <si>
    <t>Alexandras 1. Flug mit Edi 30 Min</t>
  </si>
  <si>
    <t>Frontklapper über Waldspitz--&gt; Schwarzhorn</t>
  </si>
  <si>
    <t>Fast auf Wetterhorn</t>
  </si>
  <si>
    <t>Notschirmpackkurs Engelberg</t>
  </si>
  <si>
    <t>Notschirmpackkurs</t>
  </si>
  <si>
    <t>Wetterhorn, Mettenberg, Eiger</t>
  </si>
  <si>
    <t>Notschirm selbst gepackt</t>
  </si>
  <si>
    <t>Mistral 3</t>
  </si>
  <si>
    <t>Mistral 4</t>
  </si>
  <si>
    <t>Kühboden</t>
  </si>
  <si>
    <t>Urs, Rolf Thomas, Ursi, Hermann</t>
  </si>
  <si>
    <t>neuer Notschirm</t>
  </si>
  <si>
    <t>Neuer Schirm</t>
  </si>
  <si>
    <t>Mettenberg :)</t>
  </si>
  <si>
    <t>Wetterhorn :)</t>
  </si>
  <si>
    <t>Rodella</t>
  </si>
  <si>
    <t>Campitello</t>
  </si>
  <si>
    <t>Dolomiten</t>
  </si>
  <si>
    <t>Belvedere</t>
  </si>
  <si>
    <t>Canazei</t>
  </si>
  <si>
    <t>mit Adi Hunziker</t>
  </si>
  <si>
    <t>Bella Vista</t>
  </si>
  <si>
    <t>Fiesch</t>
  </si>
  <si>
    <t>Klassenzusammenkunft</t>
  </si>
  <si>
    <t>Ferien Fieschertal</t>
  </si>
  <si>
    <t>Axalp</t>
  </si>
  <si>
    <t>Pecol</t>
  </si>
  <si>
    <t>Rosengarten</t>
  </si>
  <si>
    <t>Brienzersee</t>
  </si>
  <si>
    <t>Wahlis</t>
  </si>
  <si>
    <t>San Giovanni</t>
  </si>
  <si>
    <t>Karrerpass</t>
  </si>
  <si>
    <t>Hansi</t>
  </si>
  <si>
    <t>Marmolada</t>
  </si>
  <si>
    <t>Marmolada--&gt;Richtung Rosengarten</t>
  </si>
  <si>
    <t>Soaren am Belvedere</t>
  </si>
  <si>
    <t>Herrliche Lichtverhältnisse</t>
  </si>
  <si>
    <t>Neuer Sitz eingeflogen</t>
  </si>
  <si>
    <t>Notschirmöffnung</t>
  </si>
  <si>
    <t>Grindelwaldumrundung</t>
  </si>
  <si>
    <t>Nudo</t>
  </si>
  <si>
    <t>Mte Mim /Annecy</t>
  </si>
  <si>
    <t>Mt Gros</t>
  </si>
  <si>
    <t>nano 14</t>
  </si>
  <si>
    <t>Laveno</t>
  </si>
  <si>
    <t>Camping Paradiso</t>
  </si>
  <si>
    <t>Röthi ohne Vario</t>
  </si>
  <si>
    <t>Seeüberquerung</t>
  </si>
  <si>
    <t>zum Mte Tamaro</t>
  </si>
  <si>
    <t>schönes Hotel in Sessa, Essen im Rebberg</t>
  </si>
  <si>
    <t>Grotto Vino di Vino</t>
  </si>
  <si>
    <t>Fieschertal</t>
  </si>
  <si>
    <t>Hansi, Christian, Markus, Trix, Nico, Lorenzo, Werner, Dieter, Susanne, Andrea</t>
  </si>
  <si>
    <t>Doussard</t>
  </si>
  <si>
    <t>St. André</t>
  </si>
  <si>
    <t>Les Vallettes/Bar sur loup</t>
  </si>
  <si>
    <t>savage13</t>
  </si>
  <si>
    <t>Rush2/M</t>
  </si>
  <si>
    <t>Astral 5 / 28</t>
  </si>
  <si>
    <t>Ozone 7 / L</t>
  </si>
  <si>
    <t>Eggishorn</t>
  </si>
  <si>
    <t>Eggishorn/Steiberkreuz</t>
  </si>
  <si>
    <t>Prüfung :)</t>
  </si>
  <si>
    <t>Münster und zurück</t>
  </si>
  <si>
    <t>obere Wengi</t>
  </si>
  <si>
    <t>Matzendorf</t>
  </si>
  <si>
    <t>Sonnenberg</t>
  </si>
  <si>
    <t>Testival</t>
  </si>
  <si>
    <t>Mte Rosso</t>
  </si>
  <si>
    <t>Diezimo</t>
  </si>
  <si>
    <t>Prato Fiori</t>
  </si>
  <si>
    <t>Mte Rosso Meer</t>
  </si>
  <si>
    <t>Matria / Lucca</t>
  </si>
  <si>
    <t>Toscana</t>
  </si>
  <si>
    <t>Stefan Eberle, Rüedu Schauner, Ernesto Gattlen, Markus, Usr Skudnigg, Andrea, Dieter, Susanne, Walburga, Mariette</t>
  </si>
  <si>
    <t>Sigma 7</t>
  </si>
  <si>
    <t>Astral 5</t>
  </si>
  <si>
    <t>BiBeta 4</t>
  </si>
  <si>
    <t>Gummen</t>
  </si>
  <si>
    <t>Grieläger</t>
  </si>
  <si>
    <t>Galvera</t>
  </si>
  <si>
    <t>Breithorn</t>
  </si>
  <si>
    <t>Rodella Süd</t>
  </si>
  <si>
    <t>Flumserberg</t>
  </si>
  <si>
    <t>Gotschnagrat</t>
  </si>
  <si>
    <t>Brämenbühl/Jakobshorn</t>
  </si>
  <si>
    <t>Höhenweg Parsenn</t>
  </si>
  <si>
    <t>Sont Gant</t>
  </si>
  <si>
    <t>Naraus</t>
  </si>
  <si>
    <t>Notschirm</t>
  </si>
  <si>
    <t>Raron</t>
  </si>
  <si>
    <t>Flugtag in Raron, mit Wandern</t>
  </si>
  <si>
    <t>Mit Andrea</t>
  </si>
  <si>
    <t>2x Siedelhorn mit Dieter</t>
  </si>
  <si>
    <t>Siedelhorn mit Dieter</t>
  </si>
  <si>
    <t>Andrea hat alpha4 gekauft, ich habe Sigma 7 gekauft, von Andrea Kombi bekommen :)</t>
  </si>
  <si>
    <t>ohne Vario Baschi retour</t>
  </si>
  <si>
    <t>Realp</t>
  </si>
  <si>
    <t>Kapelle</t>
  </si>
  <si>
    <t>Andrea zur Kapelle Ritzingen :)</t>
  </si>
  <si>
    <t>Eggishorn, Steiberkreuz, Wasenhorn, Galmihorn, Wasenhorn, Märjelensee, Richtung Wannenhorn</t>
  </si>
  <si>
    <t>Bündner</t>
  </si>
  <si>
    <t>Otto, Birgit, Frank, Daniel, Albert, Christa, Claudio, Konstantin, Nico, Andrea, Guido, Walburga</t>
  </si>
  <si>
    <t>mit Andrea</t>
  </si>
  <si>
    <t>Wallenstadt</t>
  </si>
  <si>
    <t>Klosters</t>
  </si>
  <si>
    <t>Davos</t>
  </si>
  <si>
    <t>Davos /See</t>
  </si>
  <si>
    <t>Trix, Albert, Christa, Kurt, georg, Olivier, Markus, Dieter, Andrea, Jochen</t>
  </si>
  <si>
    <t>Walburga Fuss gebrochen</t>
  </si>
  <si>
    <t>Savognin</t>
  </si>
  <si>
    <t>Flims</t>
  </si>
  <si>
    <t>soaring, saukalt</t>
  </si>
  <si>
    <t>Saisonabschluss</t>
  </si>
  <si>
    <t>Einweisungsflug Hansi</t>
  </si>
  <si>
    <t>Jungfernflug mit Andrea ::))</t>
  </si>
  <si>
    <t>mit Christian</t>
  </si>
  <si>
    <t>(Mehrere Elemente)</t>
  </si>
  <si>
    <t>Typ</t>
  </si>
  <si>
    <t>GS</t>
  </si>
  <si>
    <t>Div</t>
  </si>
  <si>
    <t>SF</t>
  </si>
  <si>
    <t>BP</t>
  </si>
  <si>
    <t>(Alle)</t>
  </si>
  <si>
    <t>Torym</t>
  </si>
  <si>
    <t>Vionnaz</t>
  </si>
  <si>
    <t>erster Thermikflug mit Andrea:)</t>
  </si>
  <si>
    <t>Prüfungsflug</t>
  </si>
  <si>
    <t>Baschi retour</t>
  </si>
  <si>
    <t>Andrea kann keinen Druckausgleich machen</t>
  </si>
  <si>
    <t>Gornizzolo</t>
  </si>
  <si>
    <t>Suella I</t>
  </si>
  <si>
    <t>Soaren über Granitabbruch</t>
  </si>
  <si>
    <t>Ascona</t>
  </si>
  <si>
    <t xml:space="preserve">Spirale mit Andrea </t>
  </si>
  <si>
    <t>Spirale</t>
  </si>
  <si>
    <t>Riederalp</t>
  </si>
  <si>
    <t>mit Peter ins Goms</t>
  </si>
  <si>
    <t>Scuol</t>
  </si>
  <si>
    <t>Camping</t>
  </si>
  <si>
    <t>Sonchaux</t>
  </si>
  <si>
    <t>Villneuve</t>
  </si>
  <si>
    <t>VS/BE-Safari</t>
  </si>
  <si>
    <t>1. Flug mit Andrea muttersehlenaleine</t>
  </si>
  <si>
    <t>Armin, Penni, Birgitte, Frank</t>
  </si>
  <si>
    <t>Levandry</t>
  </si>
  <si>
    <t>Grandvillard</t>
  </si>
  <si>
    <t>Guri</t>
  </si>
  <si>
    <t>Plaffeien</t>
  </si>
  <si>
    <t>Mürren</t>
  </si>
  <si>
    <t>Stechelberg</t>
  </si>
  <si>
    <t>Muti</t>
  </si>
  <si>
    <t>Vounetz</t>
  </si>
  <si>
    <t>Charmey</t>
  </si>
  <si>
    <t>Neuer Sitz mit Wendegurtzeug</t>
  </si>
  <si>
    <t>Fiescheralp</t>
  </si>
  <si>
    <t>Chalet</t>
  </si>
  <si>
    <t>Mit Andrea pinkeln</t>
  </si>
  <si>
    <t>mit Andrea Gletscher gesehen</t>
  </si>
  <si>
    <t>2. Anlauf</t>
  </si>
  <si>
    <t>Siedelhorn</t>
  </si>
  <si>
    <t>Remy/Renate bei uns</t>
  </si>
  <si>
    <t>Gletscher gesehen</t>
  </si>
  <si>
    <t>7.9/-7.1</t>
  </si>
  <si>
    <t>Sigma 7/28</t>
  </si>
  <si>
    <t>Cuchi Corral</t>
  </si>
  <si>
    <t>Rio Pintos</t>
  </si>
  <si>
    <t>Andy Hediger / La Cumbre</t>
  </si>
  <si>
    <t>Strasse</t>
  </si>
  <si>
    <t>Andy Hediger / La Cumbre 9.9+, 9.5-</t>
  </si>
  <si>
    <t>Mung</t>
  </si>
  <si>
    <t>Pizzorne</t>
  </si>
  <si>
    <t>Frontklapper</t>
  </si>
  <si>
    <t>Hazienda</t>
  </si>
  <si>
    <t>Jungfrau Stafette</t>
  </si>
  <si>
    <t>Obern</t>
  </si>
  <si>
    <t>Turtmann</t>
  </si>
  <si>
    <t>Wispile</t>
  </si>
  <si>
    <t>Gstaad</t>
  </si>
  <si>
    <t>Spiez</t>
  </si>
  <si>
    <t>Schinige Platte</t>
  </si>
  <si>
    <t>Höhenmatte</t>
  </si>
  <si>
    <t>Jungfraujoch</t>
  </si>
  <si>
    <t>Wilderswil</t>
  </si>
  <si>
    <t>Galfera</t>
  </si>
  <si>
    <t>Röthi, Schwarzhorn, Gleckstein, Pfingstegg (Baum)</t>
  </si>
  <si>
    <t>Pascal</t>
  </si>
  <si>
    <t>Steibenkreuz</t>
  </si>
  <si>
    <t>Sicherheitskurs</t>
  </si>
  <si>
    <t>Omega 8</t>
  </si>
  <si>
    <t>Stefan&amp;Angi</t>
  </si>
  <si>
    <t>Neuer Sitz getestet</t>
  </si>
  <si>
    <t>beschleunigter Klapper--&gt; Notschirm</t>
  </si>
  <si>
    <t>Bassano</t>
  </si>
  <si>
    <t>Hansi, Dieter+Ilona, Penny+Armin, Albert+Crista, Claude, Stefan, Nico, Angi, Max, Andrea</t>
  </si>
  <si>
    <t>Nani auf Kühboden</t>
  </si>
  <si>
    <t>Chalvet W</t>
  </si>
  <si>
    <t>Monaco</t>
  </si>
  <si>
    <t>Baden im Mittelmeer</t>
  </si>
  <si>
    <t>Neuer Sitz Wendegurtzeug</t>
  </si>
  <si>
    <t>Gourdon/Site de l'ambarniere</t>
  </si>
  <si>
    <t>da Beppi</t>
  </si>
  <si>
    <t>Casette</t>
  </si>
  <si>
    <t>Sky Metis 2</t>
  </si>
  <si>
    <t>Neujahrsflug mit Andrea::))</t>
  </si>
  <si>
    <t>mit Pascal</t>
  </si>
  <si>
    <t>Sigma 8</t>
  </si>
  <si>
    <t>Andrea voraus zum Baschi :)</t>
  </si>
  <si>
    <t>Armin hat Sigma 8 am 1. und 3.4. geflogen</t>
  </si>
  <si>
    <t>Fehlstart, Zerrung</t>
  </si>
  <si>
    <t>Grenchenberg S</t>
  </si>
  <si>
    <t>Lengnau</t>
  </si>
  <si>
    <t>mit Stefan Ammeter</t>
  </si>
  <si>
    <t>Jllhorn</t>
  </si>
  <si>
    <t>Chalais</t>
  </si>
  <si>
    <t>Scex Rouge</t>
  </si>
  <si>
    <t>Les Diablerets</t>
  </si>
  <si>
    <t>Rochers de Naye mit Dieter</t>
  </si>
  <si>
    <t>Brienz</t>
  </si>
  <si>
    <t>Neuer Notschirm nötig</t>
  </si>
  <si>
    <t>Grimsel</t>
  </si>
  <si>
    <t>Eggerberg</t>
  </si>
  <si>
    <t>Sidelhorn mit Markus + Ernesto</t>
  </si>
  <si>
    <t>Saisonabschluss inkl. 4x Hybrid</t>
  </si>
  <si>
    <t>Crêt du Midi</t>
  </si>
  <si>
    <t>Vercorin</t>
  </si>
  <si>
    <t>Vissoie</t>
  </si>
  <si>
    <t>Chandolin, le Rotsé</t>
  </si>
  <si>
    <t>St. Jean</t>
  </si>
  <si>
    <t>Bei Mathieu und Carine</t>
  </si>
  <si>
    <t>via Roc d'Orzival</t>
  </si>
  <si>
    <t>Andrea 2x Top Landing :)</t>
  </si>
  <si>
    <t>mit Ernesto bis Reckingen--&gt;Bellwald--&gt;Eggerhorn</t>
  </si>
  <si>
    <t>Termikflug, 1x8 mit hinteren Traggurten, Landung mit hinteren Traggurten, Stacheldraht, LVR</t>
  </si>
  <si>
    <t>mit Ernesto bis Höhe Sidelhorn, zurück bis fast Bettmeralp auf 3000m, dann noch Eggerberg:)</t>
  </si>
  <si>
    <t>mit Andrea ~(</t>
  </si>
  <si>
    <t>mit Andrea :)</t>
  </si>
  <si>
    <t>Roncolla</t>
  </si>
  <si>
    <t>Palazzago</t>
  </si>
  <si>
    <t>Mte Cornizzolo</t>
  </si>
  <si>
    <t>Suello</t>
  </si>
  <si>
    <t>Cembroni</t>
  </si>
  <si>
    <t>mit Nico; Henselers, Zeiters, Nico, Hübi zum z'Nacht</t>
  </si>
  <si>
    <t>Henselers Kids Passagierflüge:)</t>
  </si>
  <si>
    <t>Dune du Pily</t>
  </si>
  <si>
    <t>Dune du Pila</t>
  </si>
  <si>
    <t>mit Mathieu, Carine, Jeanpiere, Lorella</t>
  </si>
  <si>
    <t>Dune du Pyla</t>
  </si>
  <si>
    <t>Oberwald</t>
  </si>
  <si>
    <t>Niederwald</t>
  </si>
  <si>
    <t>Mit Andrea --&gt; Baschi</t>
  </si>
  <si>
    <t>Mit Edi</t>
  </si>
  <si>
    <t>PI23</t>
  </si>
  <si>
    <t>Bassano Casetta</t>
  </si>
  <si>
    <t>Semonze del Grappa</t>
  </si>
  <si>
    <t>Elfer</t>
  </si>
  <si>
    <t>mit Ernesto</t>
  </si>
  <si>
    <t>Neustift</t>
  </si>
  <si>
    <t>ins Muti gelaufen</t>
  </si>
  <si>
    <t>mit Mathieu, Andrea Biplace</t>
  </si>
  <si>
    <t>Zinal</t>
  </si>
  <si>
    <t>Grimenz</t>
  </si>
  <si>
    <t>Corne de Sorebois</t>
  </si>
  <si>
    <t>Belalp</t>
  </si>
  <si>
    <t>Bitsch</t>
  </si>
  <si>
    <t>Andrea fliegt PI</t>
  </si>
  <si>
    <t>Mirage 3 Testflüge</t>
  </si>
  <si>
    <t>Teba</t>
  </si>
  <si>
    <t>Hostel la Curva, Adra</t>
  </si>
  <si>
    <t>mit Nico</t>
  </si>
  <si>
    <t>Valle de Abdalajis (nord)</t>
  </si>
  <si>
    <t>San Fermo</t>
  </si>
  <si>
    <t>Bassano Panettone</t>
  </si>
  <si>
    <t>Broccione</t>
  </si>
  <si>
    <t>Cornizolo</t>
  </si>
  <si>
    <t>Valcava</t>
  </si>
  <si>
    <t>Casazza</t>
  </si>
  <si>
    <t>3x Sidelhorn</t>
  </si>
  <si>
    <t>via Sidelhorn</t>
  </si>
  <si>
    <t>Clubmeisterschaft</t>
  </si>
  <si>
    <t>Bassano da Bepi</t>
  </si>
  <si>
    <t>Bassano Antenna</t>
  </si>
  <si>
    <t>Mte Generoso West</t>
  </si>
  <si>
    <t>Andrea, Nico, Patrizia, Philip, Ambros, Marco, Hansi, Mariette</t>
  </si>
  <si>
    <t>1. Hike and Fly</t>
  </si>
  <si>
    <t>Lendenwirbelbruch (18.3. Schulterprellung)</t>
  </si>
  <si>
    <t>Linhares</t>
  </si>
  <si>
    <t>FWA Portugal</t>
  </si>
  <si>
    <t>Michael, Vreni, Federico</t>
  </si>
  <si>
    <t>Mte Alegra N</t>
  </si>
  <si>
    <t>Mte Alegra Esp</t>
  </si>
  <si>
    <t>Chaves</t>
  </si>
  <si>
    <t>Porte Espada</t>
  </si>
  <si>
    <t>Sesimbra</t>
  </si>
  <si>
    <t>Sigma 9</t>
  </si>
  <si>
    <t>Chalet Ü50</t>
  </si>
  <si>
    <t>Watles Prämajur</t>
  </si>
  <si>
    <t>Clusio</t>
  </si>
  <si>
    <t>Watles Hotel</t>
  </si>
  <si>
    <t>Fontanazzo</t>
  </si>
  <si>
    <t>Philipp+Patrizia, Stefan+Jeaninne, Hansi+Mariette, Nico, Hans, Nicolle, Hübi, Andrea</t>
  </si>
  <si>
    <t>Sidelhorn</t>
  </si>
  <si>
    <t>Salzgäb</t>
  </si>
  <si>
    <t>Heixunalp</t>
  </si>
  <si>
    <t>dann hochgelaufen</t>
  </si>
  <si>
    <t>Ernergale</t>
  </si>
  <si>
    <t>Babadag</t>
  </si>
  <si>
    <t>Ölüdeniz</t>
  </si>
  <si>
    <t>Butterfly-Bucht</t>
  </si>
  <si>
    <t>Ölüdeniz mit Ikarus</t>
  </si>
  <si>
    <t>Engersch/Jeizinen</t>
  </si>
  <si>
    <t>Winterstart</t>
  </si>
  <si>
    <t>Geschinen</t>
  </si>
  <si>
    <t>Andrea Toplandung</t>
  </si>
  <si>
    <t>Mte Alegra E</t>
  </si>
  <si>
    <t>Antiga de Serraquinhos</t>
  </si>
  <si>
    <t>Baltar Esp</t>
  </si>
  <si>
    <t>Bier mit Ernesto und Ueli</t>
  </si>
  <si>
    <t>Azinha</t>
  </si>
  <si>
    <t>Mesquitela</t>
  </si>
  <si>
    <t>Ernesto zum Hotel</t>
  </si>
  <si>
    <t>Albert und Ernesto zum Hotel</t>
  </si>
  <si>
    <t>Wiese bei Kreuzung</t>
  </si>
  <si>
    <t>FWA Portugal Beach</t>
  </si>
  <si>
    <t>Michael, Vreni, Federico, Albert, Ernesto, Andrea</t>
  </si>
  <si>
    <t>Michael, Vreni, Federico, Ernesto</t>
  </si>
  <si>
    <t>mit Andrea:)</t>
  </si>
  <si>
    <t>Grand Bornand</t>
  </si>
  <si>
    <t>mit Karin</t>
  </si>
  <si>
    <t>Christa, Annemarie, Ernesto, Albert, Andrea</t>
  </si>
  <si>
    <t>Rufi</t>
  </si>
  <si>
    <t>Meduno</t>
  </si>
  <si>
    <t>meduno</t>
  </si>
  <si>
    <t>Tolmin</t>
  </si>
  <si>
    <t>Kobala</t>
  </si>
  <si>
    <t>Lijak</t>
  </si>
  <si>
    <t>Kobarid</t>
  </si>
  <si>
    <t>Stol</t>
  </si>
  <si>
    <t>Hansi, Mariette, Patrizia, Philipp, Martin, Tomi, Stafan, Claude, Nico, Pit, Ambros, Andrea</t>
  </si>
  <si>
    <t>Aspres sur Buech</t>
  </si>
  <si>
    <t>Chalves W</t>
  </si>
  <si>
    <t>Chalves S</t>
  </si>
  <si>
    <t>St Vincent Les Forts</t>
  </si>
  <si>
    <t>Digne de Bain - Mouiroués</t>
  </si>
  <si>
    <t>Montdenir - Moustiers-Sainte-Marie</t>
  </si>
  <si>
    <t>Lac du Sainte-Croix NO</t>
  </si>
  <si>
    <t>Montdenir - unten/Kante</t>
  </si>
  <si>
    <t>Moustiers-Sainte-Marie</t>
  </si>
  <si>
    <t>Montmin- Annecy</t>
  </si>
  <si>
    <t>Lac d'Annecy S</t>
  </si>
  <si>
    <t>Bruno, Ueli, Ueli, Lucien, Christoph, Vreni, Tini, MarieTherese, Sebastian, Armin, Renato, Iris, Martin, …</t>
  </si>
  <si>
    <t>Häppy, Claudia, Andrea, Anita, Philipp, Küsu, Stefan, Judith, Beat, Hang, Fränzu</t>
  </si>
  <si>
    <t>Pi23</t>
  </si>
  <si>
    <t>Mühle</t>
  </si>
  <si>
    <t>Käfer</t>
  </si>
  <si>
    <t>Leberli</t>
  </si>
  <si>
    <t>XTRALITE "L"</t>
  </si>
  <si>
    <t>Sepp</t>
  </si>
  <si>
    <t>SN</t>
  </si>
  <si>
    <t>1255-22-1033</t>
  </si>
  <si>
    <t>Fabrikation</t>
  </si>
  <si>
    <t>Hersteller</t>
  </si>
  <si>
    <t>Supair</t>
  </si>
  <si>
    <t>Hansi Zeiter</t>
  </si>
  <si>
    <t>Papillon</t>
  </si>
  <si>
    <t>Andrea</t>
  </si>
  <si>
    <t>Vonblon</t>
  </si>
  <si>
    <t>XTRLITE "M"</t>
  </si>
  <si>
    <t>1352-22-043</t>
  </si>
  <si>
    <t>Cote de Boef</t>
  </si>
  <si>
    <t>Chateau briand</t>
  </si>
  <si>
    <t>Kalbskotelette</t>
  </si>
  <si>
    <t>BaschiSteack Gastronome</t>
  </si>
  <si>
    <t>Richinen</t>
  </si>
  <si>
    <t>Angi und Stefan</t>
  </si>
  <si>
    <t>Piedechinche</t>
  </si>
  <si>
    <t>La Tortuga</t>
  </si>
  <si>
    <t>Buga</t>
  </si>
  <si>
    <t>Roldanillo</t>
  </si>
  <si>
    <t>La Victoria</t>
  </si>
  <si>
    <t>Mädchen getroffen</t>
  </si>
  <si>
    <t>Obando</t>
  </si>
  <si>
    <t>via Uribe</t>
  </si>
  <si>
    <t>Ansermanuevo</t>
  </si>
  <si>
    <t>Zarzal</t>
  </si>
  <si>
    <t>Viterbo</t>
  </si>
  <si>
    <t>Jerico</t>
  </si>
  <si>
    <t>Rio Cauca</t>
  </si>
  <si>
    <t>La Pintada</t>
  </si>
  <si>
    <t>FWA Kolumbien</t>
  </si>
  <si>
    <t xml:space="preserve">Vreni, Tini, Lucho, John, Roli, Thomas, Res, Kurt+ Sonja, Ives, Martin, Johannes, Dominic, Bernd, Roman </t>
  </si>
  <si>
    <t>Pi2 27</t>
  </si>
  <si>
    <t>Rossboden</t>
  </si>
  <si>
    <t>Advance</t>
  </si>
  <si>
    <t>im Eintausch gegen Pi und Bi Beta (1600) mit Aufpreis von 200</t>
  </si>
  <si>
    <t>FWA San Fermo</t>
  </si>
  <si>
    <t>Bauernhof</t>
  </si>
  <si>
    <t>Rundflug zum Lago d'Iseo</t>
  </si>
  <si>
    <t>vom Restaurant zurück</t>
  </si>
  <si>
    <t>Bellwald</t>
  </si>
  <si>
    <t>Polvoeira</t>
  </si>
  <si>
    <t>Vale Amoreira</t>
  </si>
  <si>
    <t>Vela</t>
  </si>
  <si>
    <t>Larouco</t>
  </si>
  <si>
    <t>Baltar Espania</t>
  </si>
  <si>
    <t>Mte Alegra W</t>
  </si>
  <si>
    <t>Vilar de Perdizes</t>
  </si>
  <si>
    <t>Salgado</t>
  </si>
  <si>
    <t xml:space="preserve">Michael, Vreni, Ramona, Federico, Daniel, Lucien, Paul, Florian, Patrizia, Philip, Ueli, Ruth, ... </t>
  </si>
  <si>
    <t>Westwindstart, mit Andrea</t>
  </si>
  <si>
    <t>Mölkerblatte/Lenk</t>
  </si>
  <si>
    <t>Siedlhor, Galmihorn 3950</t>
  </si>
  <si>
    <t>Chäserstatt</t>
  </si>
  <si>
    <t>Münster</t>
  </si>
  <si>
    <t>Falera</t>
  </si>
  <si>
    <t>Bier bei Wirths:) 106km</t>
  </si>
  <si>
    <t>Zwischenhalt in Chäserstatt - Aprikosenkuchen</t>
  </si>
  <si>
    <t>Sidelhorn,  Grosses Wannenhorn 4200MüM, Gross Grünhorn</t>
  </si>
  <si>
    <t>Gluringen</t>
  </si>
  <si>
    <t>mit Pascal bei Doris gelandet</t>
  </si>
  <si>
    <t>Col Rodella</t>
  </si>
  <si>
    <t>FWA Südfrankreich Tour</t>
  </si>
  <si>
    <t>Digne de Bain</t>
  </si>
  <si>
    <t>mit Ernesto, über die Krete:)</t>
  </si>
  <si>
    <t>Moriez</t>
  </si>
  <si>
    <t>Flyingcenter 30 Jahre</t>
  </si>
  <si>
    <t>Nova Phantom L</t>
  </si>
  <si>
    <t>mit Ambros :)</t>
  </si>
  <si>
    <t>Omega x-Alps 24</t>
  </si>
  <si>
    <t>Beamer 3 Light</t>
  </si>
  <si>
    <t>Beamer</t>
  </si>
  <si>
    <t>Leberli:)</t>
  </si>
  <si>
    <t>An Markus verschenkt</t>
  </si>
  <si>
    <t>Sigma8</t>
  </si>
  <si>
    <t>FWA Andalusien</t>
  </si>
  <si>
    <t>El Bosque</t>
  </si>
  <si>
    <t>Las Hazuelas</t>
  </si>
  <si>
    <t>Otivar</t>
  </si>
  <si>
    <t>Velilla Taramay</t>
  </si>
  <si>
    <t>Itrabo Ost</t>
  </si>
  <si>
    <t>Loma del Gato</t>
  </si>
  <si>
    <t>FWA 50 km XC Camp</t>
  </si>
  <si>
    <t>Sigma 10</t>
  </si>
  <si>
    <t>Sigma10</t>
  </si>
  <si>
    <t>Tenne</t>
  </si>
  <si>
    <t>mit Albert</t>
  </si>
  <si>
    <t>packen</t>
  </si>
  <si>
    <t>entsorgen</t>
  </si>
  <si>
    <t>1250-20% / Gutschein 100.- inkl Container</t>
  </si>
  <si>
    <t>neu</t>
  </si>
  <si>
    <t>Lightness2</t>
  </si>
  <si>
    <t>Sigma9</t>
  </si>
  <si>
    <t>mit Lukas Galmihornhütte</t>
  </si>
  <si>
    <t>Praia das Areias Branca</t>
  </si>
  <si>
    <t>Arrabida</t>
  </si>
  <si>
    <t>Praia das Bicas</t>
  </si>
  <si>
    <t>Praia do Meco</t>
  </si>
  <si>
    <t>Sao Pedro</t>
  </si>
  <si>
    <t>Strasse Richtung Meadas</t>
  </si>
  <si>
    <t>Strasse Richtung Meadas Kieswerk</t>
  </si>
  <si>
    <t>Melo</t>
  </si>
  <si>
    <t>Mesquitela Hotel</t>
  </si>
  <si>
    <t>Landeplatz</t>
  </si>
  <si>
    <t>Laroa (Spanien)</t>
  </si>
  <si>
    <t>Zum Hotel</t>
  </si>
  <si>
    <t>Risihorn</t>
  </si>
  <si>
    <t>ohne Vario</t>
  </si>
  <si>
    <t>Ulrichen</t>
  </si>
  <si>
    <t>Beinsackaufhängung bei Spirale gerissen</t>
  </si>
  <si>
    <t>Reparatur</t>
  </si>
  <si>
    <t>Lukas Roman</t>
  </si>
  <si>
    <t>Aircotec</t>
  </si>
  <si>
    <t>an Pit verschenkt</t>
  </si>
  <si>
    <t>Aircotec XC</t>
  </si>
  <si>
    <t>FWA Pyrenäen</t>
  </si>
  <si>
    <t>Col de Ares</t>
  </si>
  <si>
    <t>Ager</t>
  </si>
  <si>
    <t>Tremp</t>
  </si>
  <si>
    <t>Castejon de SOS</t>
  </si>
  <si>
    <t>Loarre</t>
  </si>
  <si>
    <t>Anies</t>
  </si>
  <si>
    <t>Lierta</t>
  </si>
  <si>
    <t>Lumbier</t>
  </si>
  <si>
    <t>Michael, Federico, Sabine+ Martina+Ernst, Dominik+Werner, Tedi+Zufi+Mack, Paul, Georg, …</t>
  </si>
  <si>
    <t>Arangoiti</t>
  </si>
  <si>
    <t>Castejon de SOS (Liri)</t>
  </si>
  <si>
    <t>Mit Andra :)</t>
  </si>
  <si>
    <t>Susi / Ueli</t>
  </si>
  <si>
    <t>See</t>
  </si>
  <si>
    <t>bis ins SkigebietMontclair und zurück</t>
  </si>
  <si>
    <t>mit Felix</t>
  </si>
  <si>
    <t>Paradise Ridge Rampe</t>
  </si>
  <si>
    <t>Sedgeview</t>
  </si>
  <si>
    <t>Sedgefield</t>
  </si>
  <si>
    <t>Buffels Bay</t>
  </si>
  <si>
    <t>Paradise Ridge Hollyday Inn</t>
  </si>
  <si>
    <t>Kleinkrantz</t>
  </si>
  <si>
    <t>Sedgefield Küste</t>
  </si>
  <si>
    <t>Bettys Bay</t>
  </si>
  <si>
    <t>Vredendal</t>
  </si>
  <si>
    <t>Hermanus</t>
  </si>
  <si>
    <t>Dasklip-Porterville</t>
  </si>
  <si>
    <t>Citrusdal Süd</t>
  </si>
  <si>
    <t>Citrusdal Golfplatz</t>
  </si>
  <si>
    <t>Ridge Westside</t>
  </si>
  <si>
    <t>Spritkopf Süd</t>
  </si>
  <si>
    <t>Spritkopf Nord</t>
  </si>
  <si>
    <t>Portervolle Nord</t>
  </si>
  <si>
    <t>Langebaan</t>
  </si>
  <si>
    <t>FWA Südafrika</t>
  </si>
  <si>
    <t>Florian&amp;Barbara, Ramona&amp;Marco, Dominik, Ernesto, Daniel, Dirk&amp;Stefanie, Sabine, Andrea, Lucien, Eike, Remy, Barry, Candis, Manfred</t>
  </si>
  <si>
    <t>Rosboden</t>
  </si>
  <si>
    <t>erster im 2018</t>
  </si>
  <si>
    <t>San Donato Val di Comino</t>
  </si>
  <si>
    <t>FWA Napoli</t>
  </si>
  <si>
    <t>Sabine, Martina, Ernst, Ernesto, Ramona, Michael, Rolf, Felix, David, Barbara, Karin, Ueli&amp; Ruth, Christian, Tom, Nick, Peter, Klemens, Sabrina, Anne</t>
  </si>
  <si>
    <t>Albert/Ernesto</t>
  </si>
  <si>
    <t>Zerleger</t>
  </si>
  <si>
    <t>Schütt</t>
  </si>
  <si>
    <t>Ritzinger Feld</t>
  </si>
  <si>
    <t>Progress3</t>
  </si>
  <si>
    <t>Alexandra</t>
  </si>
  <si>
    <t>Beamer 3 Light S</t>
  </si>
  <si>
    <t>Quickout usw</t>
  </si>
  <si>
    <t>Sitz</t>
  </si>
  <si>
    <t>Art</t>
  </si>
  <si>
    <t>Wer</t>
  </si>
  <si>
    <t>was</t>
  </si>
  <si>
    <t>wo</t>
  </si>
  <si>
    <t>Preis</t>
  </si>
  <si>
    <t>Rickenbach</t>
  </si>
  <si>
    <t>Mit Alexandra und Lukas</t>
  </si>
  <si>
    <t>Rotenfluh</t>
  </si>
  <si>
    <t>Sta Maria (Galanca)</t>
  </si>
  <si>
    <t>Leggia</t>
  </si>
  <si>
    <t>Cima di Medeglia</t>
  </si>
  <si>
    <t>Bironico</t>
  </si>
  <si>
    <t>Ikarus Tessin</t>
  </si>
  <si>
    <t>Mte Nudo</t>
  </si>
  <si>
    <t>Dovydiskai</t>
  </si>
  <si>
    <t>Klevenai</t>
  </si>
  <si>
    <t>FWA Litauen</t>
  </si>
  <si>
    <t>Distanz</t>
  </si>
  <si>
    <t>Jonuskai</t>
  </si>
  <si>
    <t>Labrags</t>
  </si>
  <si>
    <t>Cetri Veji, viesunams</t>
  </si>
  <si>
    <t>Start auf 0m! Lettland Küste</t>
  </si>
  <si>
    <t>Ukmerge</t>
  </si>
  <si>
    <t>Kalviai</t>
  </si>
  <si>
    <t>Tomiluvka</t>
  </si>
  <si>
    <t>Alanta</t>
  </si>
  <si>
    <t>Morkuniskis</t>
  </si>
  <si>
    <t>Alanta, Autostop zu Thomas</t>
  </si>
  <si>
    <t>Daugailia</t>
  </si>
  <si>
    <t>Antandraja</t>
  </si>
  <si>
    <t>Kalviai (Alanta)</t>
  </si>
  <si>
    <t>Daugailia, Bauer mit Milch, Fahrt, Bus, taxi nach Ukmerge</t>
  </si>
  <si>
    <t>Uzpaliai</t>
  </si>
  <si>
    <t>Libertava</t>
  </si>
  <si>
    <t>Plesiskes</t>
  </si>
  <si>
    <t>Compressbag Gr L</t>
  </si>
  <si>
    <t>Monat</t>
  </si>
  <si>
    <t>Spaltenbeschriftungen</t>
  </si>
  <si>
    <t>Anzahl von Typ</t>
  </si>
  <si>
    <t>mit Alexandra gelandet</t>
  </si>
  <si>
    <t>FWA Zentralspanien</t>
  </si>
  <si>
    <t>Ager, Camping</t>
  </si>
  <si>
    <t>Pedro Bernardo W</t>
  </si>
  <si>
    <t>Lanzahita</t>
  </si>
  <si>
    <t>Sopelana (Bilbao)</t>
  </si>
  <si>
    <t>Santa Maria de Guecho</t>
  </si>
  <si>
    <t>Sopelana 2 (Bilbao)</t>
  </si>
  <si>
    <t>Urduna</t>
  </si>
  <si>
    <t>Cuesta Labauri</t>
  </si>
  <si>
    <t>Barcia de los Montes</t>
  </si>
  <si>
    <t>Pancorbo</t>
  </si>
  <si>
    <t>Piedrahita</t>
  </si>
  <si>
    <t>Mengamunoz</t>
  </si>
  <si>
    <t>Santa Maria de los Caballeros</t>
  </si>
  <si>
    <t>San Miguel de Corneja</t>
  </si>
  <si>
    <t>El Barco de Avila</t>
  </si>
  <si>
    <t>Ramacastanas</t>
  </si>
  <si>
    <t>Andrea, Albert, Ernesto, Stephan, Claude, Dominik, Ilona, Dieter, …</t>
  </si>
  <si>
    <t>Ernesto</t>
  </si>
  <si>
    <t>Igrejinha-Morro Alto da Pedra</t>
  </si>
  <si>
    <t>Ninho das guias Sul (Nova Petropolis)</t>
  </si>
  <si>
    <t>Ninho das Aguias (Novo Petropolis)</t>
  </si>
  <si>
    <t>FWA Brasilien Rundreise</t>
  </si>
  <si>
    <t>mit Ernesto, Adrian, René, Martin, Martin, Klaus, Gerd, …</t>
  </si>
  <si>
    <t>Morro do Ferrabraz (Sapiranga)</t>
  </si>
  <si>
    <t>Parce Municipal del Deita (Rolante)</t>
  </si>
  <si>
    <t>Camping Tio Vico</t>
  </si>
  <si>
    <t>Eingeladen bei Brasilianerfamilie:)</t>
  </si>
  <si>
    <t>Encantado</t>
  </si>
  <si>
    <t>Morro sao Roque (am Fuss)</t>
  </si>
  <si>
    <t>Rocca Sales</t>
  </si>
  <si>
    <t>Vintre Oito de Setembro</t>
  </si>
  <si>
    <t>Agudo</t>
  </si>
  <si>
    <t>Reisfeld</t>
  </si>
  <si>
    <t>Salao Verde</t>
  </si>
  <si>
    <t>Igreja Picada do Rio</t>
  </si>
  <si>
    <t>Morro do Ferrabraz (Sapirianga)</t>
  </si>
  <si>
    <t>Fussballplatz</t>
  </si>
  <si>
    <t>Varzea Grande</t>
  </si>
  <si>
    <t>Gutschein von Hansi verrechnet</t>
  </si>
  <si>
    <t>Dominik, Albert, Andrea</t>
  </si>
  <si>
    <t>Monte Veneretta</t>
  </si>
  <si>
    <t>Letojanni</t>
  </si>
  <si>
    <t>Bagnara</t>
  </si>
  <si>
    <t>Ali</t>
  </si>
  <si>
    <t>Ali Terme</t>
  </si>
  <si>
    <t>Niscemi</t>
  </si>
  <si>
    <t>mit Vreni</t>
  </si>
  <si>
    <t>Assoro</t>
  </si>
  <si>
    <t>Outlet Store Sizilia</t>
  </si>
  <si>
    <t>Furci Siculo</t>
  </si>
  <si>
    <t>Balmberg</t>
  </si>
  <si>
    <t>Biel</t>
  </si>
  <si>
    <t>mit Roli</t>
  </si>
  <si>
    <t>FWA Sizilien</t>
  </si>
  <si>
    <t>Nazaré, Paredes da Vitoria</t>
  </si>
  <si>
    <t>Celorico bda Beira</t>
  </si>
  <si>
    <t>Alexandra, Lukas, Andrea, Roman, Gian, Nina, Ruth, Ueli, Stefan, Florian, Sämi, Anita, Michael, franziska</t>
  </si>
  <si>
    <t>Mike/Margret</t>
  </si>
  <si>
    <t>Lightness3</t>
  </si>
  <si>
    <t>L#1151421</t>
  </si>
  <si>
    <t>Pasamine</t>
  </si>
  <si>
    <t>Petronys</t>
  </si>
  <si>
    <t>Kernuves</t>
  </si>
  <si>
    <t>Moibeles</t>
  </si>
  <si>
    <t>Kaletnik PL</t>
  </si>
  <si>
    <t>Velbiskes</t>
  </si>
  <si>
    <t>Genetiniai</t>
  </si>
  <si>
    <t>Pakalnes</t>
  </si>
  <si>
    <t>Geschinen, Mühle</t>
  </si>
  <si>
    <t>Alexandra / Andrea</t>
  </si>
  <si>
    <t>Patara Lilo / Tbilisi</t>
  </si>
  <si>
    <t>Akhalsopeli unten</t>
  </si>
  <si>
    <t>Hotel Shakoshvili's Cellar</t>
  </si>
  <si>
    <t>Akhalsopeli oben</t>
  </si>
  <si>
    <t>Lalisguri</t>
  </si>
  <si>
    <t>Zaridzeebi</t>
  </si>
  <si>
    <t>Naoza</t>
  </si>
  <si>
    <t>Cloudbase Hut Mestia</t>
  </si>
  <si>
    <t>Mestia</t>
  </si>
  <si>
    <t>Andrea hat mich fotografiert:)</t>
  </si>
  <si>
    <t>Latpari Pass</t>
  </si>
  <si>
    <t>Liuji</t>
  </si>
  <si>
    <t>Seturni</t>
  </si>
  <si>
    <t>Ganisi</t>
  </si>
  <si>
    <t>FWA Georgien</t>
  </si>
  <si>
    <t>Meck, Zufi, Tedi, Ernesto, Dirk, Jarem, Markus, Markus, Anne/Simon, Denise/Roli, Ursi/Eric, Nicole, Andre</t>
  </si>
  <si>
    <t>Goudauri Khada Hut</t>
  </si>
  <si>
    <t>Goudauri Pass</t>
  </si>
  <si>
    <t>Goudauri Viewing Point</t>
  </si>
  <si>
    <t>Magnum 3</t>
  </si>
  <si>
    <t>Risihorn erkämpft</t>
  </si>
  <si>
    <t>Knopf in Bremsleine</t>
  </si>
  <si>
    <t>Andrea mit Xandis BiPlace Bettmerhorn, Eggishorn, Sidelhorn</t>
  </si>
  <si>
    <t>Blauherd</t>
  </si>
  <si>
    <t>Zermatt</t>
  </si>
  <si>
    <t>mit Albert in Zermat</t>
  </si>
  <si>
    <t>Riffelberg</t>
  </si>
  <si>
    <t>Formosa /Argeintinien</t>
  </si>
  <si>
    <t>Parana/Argentinien</t>
  </si>
  <si>
    <t>Maria Grande/Argentinien</t>
  </si>
  <si>
    <t>San Benito/Argentinien</t>
  </si>
  <si>
    <t>Sauce de Luna/Argentinien</t>
  </si>
  <si>
    <t>Club le Planeadores Parana/Argentinien</t>
  </si>
  <si>
    <t>Casilda</t>
  </si>
  <si>
    <t>Vagues</t>
  </si>
  <si>
    <t>Capitan Sarmiento</t>
  </si>
  <si>
    <t>Solis</t>
  </si>
  <si>
    <t>Suipacha</t>
  </si>
  <si>
    <t>San Antonio</t>
  </si>
  <si>
    <t>Chapicuy</t>
  </si>
  <si>
    <t>La Rosadita</t>
  </si>
  <si>
    <t>Uruguay</t>
  </si>
  <si>
    <t>FWA Pampa</t>
  </si>
  <si>
    <t>Santa Elena</t>
  </si>
  <si>
    <t>Ginebra</t>
  </si>
  <si>
    <t>El Overo</t>
  </si>
  <si>
    <t>La Union</t>
  </si>
  <si>
    <t>El Aguila</t>
  </si>
  <si>
    <t>Valle del Caica</t>
  </si>
  <si>
    <t>Los Chancos</t>
  </si>
  <si>
    <t>Skytraxx 3.0</t>
  </si>
  <si>
    <t>Skytraxx</t>
  </si>
  <si>
    <t>reparatur Bildschirm</t>
  </si>
  <si>
    <t>Fly Over</t>
  </si>
  <si>
    <t>Obergestlen</t>
  </si>
  <si>
    <t>Atkociai</t>
  </si>
  <si>
    <t>Zeimeliai</t>
  </si>
  <si>
    <t>Valkininku aerodromas</t>
  </si>
  <si>
    <t>Ausra</t>
  </si>
  <si>
    <t>Gelezine</t>
  </si>
  <si>
    <t>Kurklintisiai</t>
  </si>
  <si>
    <t>Ariogala</t>
  </si>
  <si>
    <t>Antaksciai</t>
  </si>
  <si>
    <t>Pasvalio</t>
  </si>
  <si>
    <t>Anyksciai</t>
  </si>
  <si>
    <t>Naujieji</t>
  </si>
  <si>
    <t>Mit Alexandra</t>
  </si>
  <si>
    <t>Mit Alexandra (Gletscher)</t>
  </si>
  <si>
    <t>Mit Ernesto</t>
  </si>
  <si>
    <t>Christoph, Christina, Andrea</t>
  </si>
  <si>
    <t>über Breithorn</t>
  </si>
  <si>
    <t>Supair Savage ML</t>
  </si>
  <si>
    <t>Ruth Ueli</t>
  </si>
  <si>
    <t>Rith Ueli</t>
  </si>
  <si>
    <t>Andrea Pi</t>
  </si>
  <si>
    <t>Edi mit Töff, Andrea Baschi Nachtessen</t>
  </si>
  <si>
    <t>Mit Andrea zur Chue gelaufen</t>
  </si>
  <si>
    <t>Santa Elisabetta</t>
  </si>
  <si>
    <t>Sant'Anna di Campore</t>
  </si>
  <si>
    <t>FWA Frankreich (Piemont)</t>
  </si>
  <si>
    <t>San Germano</t>
  </si>
  <si>
    <t>San Giacomo</t>
  </si>
  <si>
    <t>Monte Tovo</t>
  </si>
  <si>
    <t>Quarona</t>
  </si>
  <si>
    <t>Cima Cavallaria</t>
  </si>
  <si>
    <t>Jahrescheck</t>
  </si>
  <si>
    <t>Hansi / Advance</t>
  </si>
  <si>
    <t>Lema</t>
  </si>
  <si>
    <t>FWA XC-Camp</t>
  </si>
  <si>
    <t>Dominik Rohner, Michael Sigel, Ernesto, …</t>
  </si>
  <si>
    <t>Sigma 11</t>
  </si>
  <si>
    <t>Nummer</t>
  </si>
  <si>
    <t>Pi 2</t>
  </si>
  <si>
    <t>Speedflyer</t>
  </si>
  <si>
    <t>verkauft</t>
  </si>
  <si>
    <t>Gaia</t>
  </si>
  <si>
    <t>Sapata Rota</t>
  </si>
  <si>
    <t>Soutelo</t>
  </si>
  <si>
    <t>Chaves Casino</t>
  </si>
  <si>
    <t>Lavandeira</t>
  </si>
  <si>
    <t>Bornes</t>
  </si>
  <si>
    <t>Grijo de vale Benfeito</t>
  </si>
  <si>
    <t>Macedo de Cavaleiros</t>
  </si>
  <si>
    <t>SumSum, Jenny, Marcel, Andy, Christa, Ueli, Walti, Guido, Lucien, Andreas, Chantal, Claudio</t>
  </si>
  <si>
    <t>Alpha5</t>
  </si>
  <si>
    <t>Check</t>
  </si>
  <si>
    <t>Hansi/Advance</t>
  </si>
  <si>
    <t>Gebraucht, guter Zustand</t>
  </si>
  <si>
    <t>Orange ST XL</t>
  </si>
  <si>
    <t>Team 5</t>
  </si>
  <si>
    <t>Vlora</t>
  </si>
  <si>
    <t>FWA Litauen (Albanien)Mazedonien)</t>
  </si>
  <si>
    <t>Korce</t>
  </si>
  <si>
    <t>Drenove</t>
  </si>
  <si>
    <t>Qatrom</t>
  </si>
  <si>
    <t>Galichica</t>
  </si>
  <si>
    <t>Ljubanishta</t>
  </si>
  <si>
    <t>Prilep</t>
  </si>
  <si>
    <t>Krusevo</t>
  </si>
  <si>
    <t>Norovo</t>
  </si>
  <si>
    <t>cret-du-midi</t>
  </si>
  <si>
    <t>Andrea mit Mathieu, Vario Akku leer, Unfall</t>
  </si>
  <si>
    <t>St. Laurent</t>
  </si>
  <si>
    <t>Illhorn</t>
  </si>
  <si>
    <t>Corvatsch 3300</t>
  </si>
  <si>
    <t>Surlej</t>
  </si>
  <si>
    <t>Quickouts</t>
  </si>
  <si>
    <t>ParaLock</t>
  </si>
  <si>
    <t>Finsterwalder</t>
  </si>
  <si>
    <t>internet</t>
  </si>
  <si>
    <t>mit Skytraxx 4</t>
  </si>
  <si>
    <t>Skytraxx 4.0</t>
  </si>
  <si>
    <t>skytraxx</t>
  </si>
  <si>
    <t>Xandi</t>
  </si>
  <si>
    <t>Zermatt Rothorn</t>
  </si>
  <si>
    <t>Mit Albert und Ernesto</t>
  </si>
  <si>
    <t>Ernen</t>
  </si>
  <si>
    <t>Wurstsalat bei Peter/Regina</t>
  </si>
  <si>
    <t>Letzter Tag mit alter Bahn</t>
  </si>
  <si>
    <t>Gallodoro</t>
  </si>
  <si>
    <t>Lucien gestorben</t>
  </si>
  <si>
    <t>Ätna</t>
  </si>
  <si>
    <t>Mascali</t>
  </si>
  <si>
    <t>Monte Scala</t>
  </si>
  <si>
    <t xml:space="preserve">Skytraxx 3.0 </t>
  </si>
  <si>
    <t>occasion</t>
  </si>
  <si>
    <t>an Ernesto verkauft</t>
  </si>
  <si>
    <t>Ervededo</t>
  </si>
  <si>
    <t>Mit Edi auf den Furka</t>
  </si>
  <si>
    <t>Edi hat Obst gebracht</t>
  </si>
  <si>
    <t>Motta Naluns</t>
  </si>
  <si>
    <t>Ager Raudoral</t>
  </si>
  <si>
    <t>Ager Montsec</t>
  </si>
  <si>
    <t>Castejon</t>
  </si>
  <si>
    <t>Muhana</t>
  </si>
  <si>
    <t>Letzter Flug Ernesto</t>
  </si>
  <si>
    <t>Summe von hh:mm</t>
  </si>
  <si>
    <t>Tubebag</t>
  </si>
  <si>
    <t>Digne de Bains</t>
  </si>
  <si>
    <t>mit Markus</t>
  </si>
  <si>
    <t>St Croix du Verdon</t>
  </si>
  <si>
    <t>Thorenc_Col de Blein</t>
  </si>
  <si>
    <t>La Foux</t>
  </si>
  <si>
    <t>Digne de Bains (Sportplatz)</t>
  </si>
  <si>
    <t>Beamer 3 Light 130kg</t>
  </si>
  <si>
    <t>B3-light-130-2217</t>
  </si>
  <si>
    <t>High Adventure</t>
  </si>
  <si>
    <t>neu/ersatz</t>
  </si>
  <si>
    <t>Sigma11</t>
  </si>
  <si>
    <t>Sand</t>
  </si>
  <si>
    <t>Ahornach</t>
  </si>
  <si>
    <t>St Georgen</t>
  </si>
  <si>
    <t>Spikboden</t>
  </si>
  <si>
    <t>Spitzbühel</t>
  </si>
  <si>
    <t>Kastelruth</t>
  </si>
  <si>
    <t>FWA Pustertal</t>
  </si>
  <si>
    <t>Artik R</t>
  </si>
  <si>
    <t>Allmend</t>
  </si>
  <si>
    <t>Aufziehübungen</t>
  </si>
  <si>
    <t>Hohwald</t>
  </si>
  <si>
    <t>Lehn</t>
  </si>
  <si>
    <t>Niviuk</t>
  </si>
  <si>
    <t>fly ikarus</t>
  </si>
  <si>
    <t>Rovasenda I</t>
  </si>
  <si>
    <t>Augsburg DE</t>
  </si>
  <si>
    <t>Gasballon HB-QKF</t>
  </si>
  <si>
    <t xml:space="preserve">Ballonfahrt mit Stefan Zeberli, 1000m3 Wasserstoff (800€), 0450-1350 (9 Std), 16.9 m/s Steigen beim Start, 4500MüM, 60km/h, -13°C, 380 km, 6500 CHF, 1.25x1.25m2 </t>
  </si>
  <si>
    <t>Mit Andrea/Peter</t>
  </si>
  <si>
    <t>Stierenberg</t>
  </si>
  <si>
    <t>Farnern</t>
  </si>
  <si>
    <t>Castelo de Vide</t>
  </si>
  <si>
    <t>Klabiniai</t>
  </si>
  <si>
    <t>Medeisiai</t>
  </si>
  <si>
    <t>Kalbutiskes</t>
  </si>
  <si>
    <t>Daugavpils</t>
  </si>
  <si>
    <t>Gulbene</t>
  </si>
  <si>
    <t>Pociems</t>
  </si>
  <si>
    <t>Burtnieki</t>
  </si>
  <si>
    <t>Dreverna</t>
  </si>
  <si>
    <t>Bootschlepp durch die Wolken</t>
  </si>
  <si>
    <t>Miegenai</t>
  </si>
  <si>
    <t>Leliunai</t>
  </si>
  <si>
    <t>Andrea Gletscher, Samantha</t>
  </si>
  <si>
    <t>Disentis</t>
  </si>
  <si>
    <t>Andrea, mit Mathieu, Karin</t>
  </si>
  <si>
    <t>Interlaken</t>
  </si>
  <si>
    <t>Samantha, Bruno</t>
  </si>
  <si>
    <t>Ernesto/Anne Marie Essen</t>
  </si>
  <si>
    <t>Cret du Midi</t>
  </si>
  <si>
    <t>Becs de Bosson</t>
  </si>
  <si>
    <t>FG Aletsch Fondue</t>
  </si>
  <si>
    <t>Airolo</t>
  </si>
  <si>
    <t>Berga Primera Mari</t>
  </si>
  <si>
    <t>Berga</t>
  </si>
  <si>
    <t>Berga Serrat de la Figuera</t>
  </si>
  <si>
    <t>Espunyola</t>
  </si>
  <si>
    <t>Ager Monsec d'Ares</t>
  </si>
  <si>
    <t>Castejon de sos</t>
  </si>
  <si>
    <t>Murillo</t>
  </si>
  <si>
    <t>Barcina de los Mon</t>
  </si>
  <si>
    <t>Navas</t>
  </si>
  <si>
    <t>La Parte de Bureba</t>
  </si>
  <si>
    <t>Piedrehita Pena Negra</t>
  </si>
  <si>
    <t>Horcajo Medianero</t>
  </si>
  <si>
    <t>Pedro Bernardo East</t>
  </si>
  <si>
    <t>Tejeda de Tietar</t>
  </si>
  <si>
    <t>Cebreros Avila</t>
  </si>
  <si>
    <t>Cebreros</t>
  </si>
  <si>
    <t>Messersee</t>
  </si>
  <si>
    <t>Binn</t>
  </si>
  <si>
    <t>Geisspass</t>
  </si>
  <si>
    <t>Courtet</t>
  </si>
  <si>
    <t>Les Richards</t>
  </si>
  <si>
    <t>Puy Aillaud</t>
  </si>
  <si>
    <t>Valiouise</t>
  </si>
  <si>
    <t>Startplatz räumen</t>
  </si>
  <si>
    <t>Helm</t>
  </si>
  <si>
    <t>Skibrille</t>
  </si>
  <si>
    <t>UVEX</t>
  </si>
  <si>
    <t>Volken</t>
  </si>
  <si>
    <t>Helm/Skibrille</t>
  </si>
  <si>
    <t>MG Andalusien</t>
  </si>
  <si>
    <t>Cenes de la Vega 2</t>
  </si>
  <si>
    <t>Granada</t>
  </si>
  <si>
    <t>Cerro de Irtabo</t>
  </si>
  <si>
    <t>Almunecar</t>
  </si>
  <si>
    <t>Orgiva</t>
  </si>
  <si>
    <t>Alfamar</t>
  </si>
  <si>
    <t>La Herradu</t>
  </si>
  <si>
    <t>Castala</t>
  </si>
  <si>
    <t>WW-Rucksack 105L</t>
  </si>
  <si>
    <t>WoodyWally</t>
  </si>
  <si>
    <t>HighAdventure</t>
  </si>
  <si>
    <t>S1560289</t>
  </si>
  <si>
    <t>companion SQR Light 120</t>
  </si>
  <si>
    <t>M00419</t>
  </si>
  <si>
    <t>TrimCheck</t>
  </si>
  <si>
    <t>Gleitflug</t>
  </si>
  <si>
    <t>Certosa di Padula</t>
  </si>
  <si>
    <t>Padula</t>
  </si>
  <si>
    <t>Monte Coccovello</t>
  </si>
  <si>
    <t>Villammare</t>
  </si>
  <si>
    <t>Sapri</t>
  </si>
  <si>
    <t>Atrigna</t>
  </si>
  <si>
    <t>Monte di Capaccio Vecchio</t>
  </si>
  <si>
    <t>Capo di Fiume</t>
  </si>
  <si>
    <t>Alvito</t>
  </si>
  <si>
    <t>Campitello Matese</t>
  </si>
  <si>
    <t>Alife</t>
  </si>
  <si>
    <t>Cassino 1</t>
  </si>
  <si>
    <t>Cassino</t>
  </si>
  <si>
    <t>Norma</t>
  </si>
  <si>
    <t>Monte Capanne 1</t>
  </si>
  <si>
    <t>Orzignano</t>
  </si>
  <si>
    <t>Monte Capanne 2</t>
  </si>
  <si>
    <t>Zocca</t>
  </si>
  <si>
    <t>FWA Sizilien Napoli</t>
  </si>
  <si>
    <t>FWA Napoli-Rom</t>
  </si>
  <si>
    <t>Col de la Forclaz</t>
  </si>
  <si>
    <t>Nicken, Spirale, Wingover</t>
  </si>
  <si>
    <t>Glidezeit SIV</t>
  </si>
  <si>
    <t>Flyback Nicken, Wingover</t>
  </si>
  <si>
    <t>Flyback, Wingover, Nicken</t>
  </si>
  <si>
    <t>Flyback, Spirale mit Ohr, Wingover</t>
  </si>
  <si>
    <t>Flyback, Verhänger, Wingover</t>
  </si>
  <si>
    <t>Flyback , Spirale mit Ohr, Spirale mit "schiessen"</t>
  </si>
  <si>
    <t>Riederalp Mitte</t>
  </si>
  <si>
    <t>Sierra de Lijar W</t>
  </si>
  <si>
    <t>FWA Malaga-Lisabon</t>
  </si>
  <si>
    <t>Landeplatz West</t>
  </si>
  <si>
    <t>Landeplatz Süd</t>
  </si>
  <si>
    <t>Olvera Hotel</t>
  </si>
  <si>
    <t>Montecorto</t>
  </si>
  <si>
    <t>Sierra de Lijar SW</t>
  </si>
  <si>
    <t>Matalascanas</t>
  </si>
  <si>
    <t>Strand</t>
  </si>
  <si>
    <t>7km laufen</t>
  </si>
  <si>
    <t>Praia da Gralha</t>
  </si>
  <si>
    <t>Praia de Gralha</t>
  </si>
  <si>
    <t>Vidisklai</t>
  </si>
  <si>
    <t>Kartanai</t>
  </si>
  <si>
    <t>Silagalys</t>
  </si>
  <si>
    <t>Veizelis</t>
  </si>
  <si>
    <t>Katerial</t>
  </si>
  <si>
    <t>Azuozerial</t>
  </si>
  <si>
    <t>Saugos</t>
  </si>
  <si>
    <t>Bruzai</t>
  </si>
  <si>
    <t>Deverna</t>
  </si>
  <si>
    <t>Bootschlepp</t>
  </si>
  <si>
    <t>Zagatpurviai</t>
  </si>
  <si>
    <t>Razmai</t>
  </si>
  <si>
    <t>MacPara Verve 27</t>
  </si>
  <si>
    <t>Karkie</t>
  </si>
  <si>
    <t>Heli-Impact</t>
  </si>
  <si>
    <t>Pernarava</t>
  </si>
  <si>
    <t>Roli</t>
  </si>
  <si>
    <t>#1185624</t>
  </si>
  <si>
    <t>Lightness4 L</t>
  </si>
  <si>
    <t>mit Alexandra</t>
  </si>
  <si>
    <t>Stefan und Steffi mit Peter und Ädu</t>
  </si>
  <si>
    <t>TrimCheck 132 Std /103 Flüge</t>
  </si>
  <si>
    <t>mit Thomas Kalbermatten</t>
  </si>
  <si>
    <t>TrimCheck 96 Std/97 Flüge</t>
  </si>
  <si>
    <t>Finsteraarhorn östlich</t>
  </si>
  <si>
    <t>Roli, Claude</t>
  </si>
  <si>
    <t>Clubfliegen 3.</t>
  </si>
  <si>
    <t>200ster Besuch Baschi - Gutschein chf 200.00</t>
  </si>
  <si>
    <t>Barbara, Claude, Drehen mit Samantha</t>
  </si>
  <si>
    <t>Flatbag DLS M</t>
  </si>
  <si>
    <t>Quicky Hülsen</t>
  </si>
  <si>
    <t>Sigma 12 DLS 26</t>
  </si>
  <si>
    <t>Moselglider</t>
  </si>
  <si>
    <t>an Roli verkauft</t>
  </si>
  <si>
    <t>Flow Fusion</t>
  </si>
  <si>
    <t>Santa Maria West</t>
  </si>
  <si>
    <t>Santa Maria</t>
  </si>
  <si>
    <t>Santa Maria Süd</t>
  </si>
  <si>
    <t>Clubausflug</t>
  </si>
  <si>
    <t>Sigma 12 DLS</t>
  </si>
  <si>
    <t>Ancelle</t>
  </si>
  <si>
    <t>St. Croix du Verdon</t>
  </si>
  <si>
    <t>Chalwes S</t>
  </si>
  <si>
    <t>St. Jean de Montclar</t>
  </si>
  <si>
    <t>Col St. Jean</t>
  </si>
  <si>
    <t>Tartonne</t>
  </si>
  <si>
    <t>FWA Südfrankreich</t>
  </si>
  <si>
    <t>Montelano</t>
  </si>
  <si>
    <t>Victor Algodonales</t>
  </si>
  <si>
    <t>Torrent</t>
  </si>
  <si>
    <t>Gedenkfliegen</t>
  </si>
  <si>
    <t>Fehlstart Arm angeschlagen</t>
  </si>
  <si>
    <t>Eggebiel</t>
  </si>
  <si>
    <t>Bremsleine ersetzt</t>
  </si>
  <si>
    <t>alles</t>
  </si>
  <si>
    <t>Diebstahl Buenos Aires</t>
  </si>
  <si>
    <t>Skytraxx 5.0</t>
  </si>
  <si>
    <t>Digitec</t>
  </si>
  <si>
    <t>inreach mini 2</t>
  </si>
  <si>
    <t>11:5785</t>
  </si>
  <si>
    <t>78V059767</t>
  </si>
  <si>
    <t>#11886061</t>
  </si>
  <si>
    <t>#2680</t>
  </si>
  <si>
    <t>Paralock 3</t>
  </si>
  <si>
    <t>Gutschein verfressen</t>
  </si>
  <si>
    <t>2000ster Flug</t>
  </si>
  <si>
    <t>Villongo</t>
  </si>
  <si>
    <t>Caltrano Monte Forao</t>
  </si>
  <si>
    <t>Glavenale</t>
  </si>
  <si>
    <t>Colleretto Giacosa</t>
  </si>
  <si>
    <t>Salto</t>
  </si>
  <si>
    <t>Doganella di Ninfa</t>
  </si>
  <si>
    <t>Poggio Bustone</t>
  </si>
  <si>
    <t>Poggio Bustone alto</t>
  </si>
  <si>
    <t>Terelle Cassino Monte</t>
  </si>
  <si>
    <t>Terelle Casino</t>
  </si>
  <si>
    <t>Calvisi</t>
  </si>
  <si>
    <t>Telese terme Hotel</t>
  </si>
  <si>
    <t>FWA Bologna-Rom</t>
  </si>
  <si>
    <t>FWA Rom-Napoli</t>
  </si>
  <si>
    <t>Canete la Real</t>
  </si>
  <si>
    <t>El Bosque Top</t>
  </si>
  <si>
    <t>Ronda</t>
  </si>
  <si>
    <t>Montalvao</t>
  </si>
  <si>
    <t>Carrapichana</t>
  </si>
  <si>
    <t>Bieligerbärg</t>
  </si>
  <si>
    <t>Wallibachhütte</t>
  </si>
  <si>
    <t>Gabrje</t>
  </si>
  <si>
    <t>Brestovica</t>
  </si>
  <si>
    <t>Kovk</t>
  </si>
  <si>
    <t>Dolga</t>
  </si>
  <si>
    <t>Burnair Slowenien</t>
  </si>
  <si>
    <t>Slowenien</t>
  </si>
  <si>
    <t>Loare</t>
  </si>
  <si>
    <t>Ayerbe</t>
  </si>
  <si>
    <t>Urduna (Orduna)</t>
  </si>
  <si>
    <t>Santa Olaja</t>
  </si>
  <si>
    <t>Eulate</t>
  </si>
  <si>
    <t>Baio</t>
  </si>
  <si>
    <t>La Torre</t>
  </si>
  <si>
    <t>Mironcillo</t>
  </si>
  <si>
    <t>Prados del Maron</t>
  </si>
  <si>
    <t>El Pradejon</t>
  </si>
  <si>
    <t>FWA Abruzzen</t>
  </si>
  <si>
    <t>Saint Antonio d'Adda</t>
  </si>
  <si>
    <t>Tre Pizzi</t>
  </si>
  <si>
    <t>Bresciano</t>
  </si>
  <si>
    <t>Sarnano Sibilini</t>
  </si>
  <si>
    <t>San Gassiano</t>
  </si>
  <si>
    <t>Talegga</t>
  </si>
  <si>
    <t>Grindelwald</t>
  </si>
  <si>
    <t>mit Thomas</t>
  </si>
  <si>
    <t>Sierra de Loja 1</t>
  </si>
  <si>
    <t>Venta del Rayo</t>
  </si>
  <si>
    <t>FWA Malaga-Alecante</t>
  </si>
  <si>
    <t>Castala 2</t>
  </si>
  <si>
    <t>Carachuna</t>
  </si>
  <si>
    <t>Vcenes de la Vega</t>
  </si>
  <si>
    <t>Orgiva 1</t>
  </si>
  <si>
    <t>Los Tablones</t>
  </si>
  <si>
    <t>Alhama</t>
  </si>
  <si>
    <t>Toix 1</t>
  </si>
  <si>
    <t>Toix 2</t>
  </si>
  <si>
    <t>Mit Thomas</t>
  </si>
  <si>
    <t>Monte Farno</t>
  </si>
  <si>
    <t>Cazzano</t>
  </si>
  <si>
    <t>Bassano Bepi</t>
  </si>
  <si>
    <t>Garden Relais</t>
  </si>
  <si>
    <t>Monte Maddalena</t>
  </si>
  <si>
    <t>Collebeato</t>
  </si>
  <si>
    <t>FWA Südalpen</t>
  </si>
  <si>
    <t>Artik R2</t>
  </si>
  <si>
    <t>UGAR225N00475</t>
  </si>
  <si>
    <t>Rampa Clementino Izota</t>
  </si>
  <si>
    <t>Pancas</t>
  </si>
  <si>
    <t>FWA Espirito Santos</t>
  </si>
  <si>
    <t>Lajinha</t>
  </si>
  <si>
    <t>Pedra do Vidal</t>
  </si>
  <si>
    <t>Rampa Monjolo Baixo</t>
  </si>
  <si>
    <t>Baixo Guandu</t>
  </si>
  <si>
    <t>Governador Valadares</t>
  </si>
  <si>
    <t>Vila Nova</t>
  </si>
  <si>
    <t>Engenheiro Caldas</t>
  </si>
  <si>
    <t>Sobreiro</t>
  </si>
  <si>
    <t>Falesias de Mare</t>
  </si>
  <si>
    <t>Rampa do Mirante Alto</t>
  </si>
  <si>
    <t>Gironda</t>
  </si>
  <si>
    <t>Vargem Grande do Soturno</t>
  </si>
  <si>
    <t>Rampa de Cachoeira</t>
  </si>
  <si>
    <t>Cachoeira</t>
  </si>
  <si>
    <t>Artik R 2</t>
  </si>
  <si>
    <t>Enea</t>
  </si>
  <si>
    <t>mit Samantha</t>
  </si>
  <si>
    <t>Pizzo Calabro</t>
  </si>
  <si>
    <t>Pizzo Calabro 1</t>
  </si>
  <si>
    <t>FWA Sizilien-Rom</t>
  </si>
  <si>
    <t>Capaccio</t>
  </si>
  <si>
    <t>Pogio Bustone</t>
  </si>
  <si>
    <t>Borgo Polli</t>
  </si>
  <si>
    <t>Monte Scalambra</t>
  </si>
  <si>
    <t>San Donato</t>
  </si>
  <si>
    <t>Calvanella di Sestola</t>
  </si>
  <si>
    <t>Sestola</t>
  </si>
  <si>
    <t>Monfestino</t>
  </si>
  <si>
    <t>Montardon</t>
  </si>
  <si>
    <t>FWA Rom-Mailand</t>
  </si>
  <si>
    <t>mit Claude</t>
  </si>
  <si>
    <t>Relais</t>
  </si>
  <si>
    <t>Gemona</t>
  </si>
  <si>
    <t>Gemon</t>
  </si>
  <si>
    <t>FWA Dreiländer Tour</t>
  </si>
  <si>
    <t>Bernadia</t>
  </si>
  <si>
    <t>Torlano</t>
  </si>
  <si>
    <t>Ajdovscina</t>
  </si>
  <si>
    <t>Tribalj</t>
  </si>
  <si>
    <t>Robci</t>
  </si>
  <si>
    <t>Emberger Alm</t>
  </si>
  <si>
    <t>Berg</t>
  </si>
  <si>
    <t>Greifenburg</t>
  </si>
  <si>
    <t>Monte Avena</t>
  </si>
  <si>
    <t>Meano</t>
  </si>
  <si>
    <t>Cima Grappa</t>
  </si>
  <si>
    <t>Raguva</t>
  </si>
  <si>
    <t>Deltuva</t>
  </si>
  <si>
    <t>Juodausiai</t>
  </si>
  <si>
    <t>Zaki</t>
  </si>
  <si>
    <t>Jaugika</t>
  </si>
  <si>
    <t>Ramygala</t>
  </si>
  <si>
    <t>Skatikai</t>
  </si>
  <si>
    <t>Bebrünai</t>
  </si>
  <si>
    <t>Land</t>
  </si>
  <si>
    <t>Schweiz</t>
  </si>
  <si>
    <t>Italien</t>
  </si>
  <si>
    <t>Deutschland</t>
  </si>
  <si>
    <t>Frankreich</t>
  </si>
  <si>
    <t>Östereich</t>
  </si>
  <si>
    <t>Argentinien</t>
  </si>
  <si>
    <t>Spanien</t>
  </si>
  <si>
    <t>Portugal</t>
  </si>
  <si>
    <t>Türkei</t>
  </si>
  <si>
    <t>Kolumbien</t>
  </si>
  <si>
    <t>Südafrika</t>
  </si>
  <si>
    <t>Litauen</t>
  </si>
  <si>
    <t>Brasilien</t>
  </si>
  <si>
    <t>Georgien</t>
  </si>
  <si>
    <t>Albanien</t>
  </si>
  <si>
    <t>Mazedonien</t>
  </si>
  <si>
    <t>Lettland</t>
  </si>
  <si>
    <t>Kroatien</t>
  </si>
  <si>
    <t>Training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</si>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</sst>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quotePrefix="1"/>
    <xf numFmtId="43" fontId="0" fillId="0" borderId="0" xfId="1" applyFont="1"/>
    <xf numFmtId="43" fontId="0" fillId="0" borderId="0" xfId="1" applyFont="1" applyAlignment="1">
      <alignment horizontal="right"/>
    </xf>
    <xf numFmtId="1" fontId="0" fillId="0" borderId="0" xfId="0" applyNumberFormat="1"/>
    <xf numFmtId="0" fontId="0" fillId="0" borderId="0" xfId="0" quotePrefix="1" applyAlignment="1">
      <alignment horizontal="left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p Bucher" refreshedDate="46246.630048379629" createdVersion="3" refreshedVersion="8" minRefreshableVersion="3" recordCount="2500" xr:uid="{00000000-000A-0000-FFFF-FFFF07000000}">
  <cacheSource type="worksheet">
    <worksheetSource ref="A1:P9998" sheet="Flüge"/>
  </cacheSource>
  <cacheFields count="18">
    <cacheField name="Typ" numFmtId="0">
      <sharedItems containsBlank="1" count="7">
        <s v="GS"/>
        <s v="GST"/>
        <s v="Div"/>
        <s v="SF"/>
        <s v="BP"/>
        <s v="BPT"/>
        <m/>
      </sharedItems>
    </cacheField>
    <cacheField name="Datum" numFmtId="164">
      <sharedItems containsNonDate="0" containsDate="1" containsString="0" containsBlank="1" minDate="1990-05-26T00:00:00" maxDate="2026-08-13T00:00:00"/>
    </cacheField>
    <cacheField name="Monat" numFmtId="1">
      <sharedItems containsString="0" containsBlank="1" containsNumber="1" containsInteger="1" minValue="1" maxValue="12"/>
    </cacheField>
    <cacheField name="Jahr" numFmtId="0">
      <sharedItems containsDate="1" containsString="0" containsBlank="1" containsMixedTypes="1" minDate="1900-01-07T10:38:04" maxDate="2008-06-25T00:00:00" count="82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1900"/>
        <m/>
        <d v="1990-07-02T00:00:00" u="1"/>
        <d v="1992-06-13T00:00:00" u="1"/>
        <d v="1993-09-07T00:00:00" u="1"/>
        <d v="1990-08-18T00:00:00" u="1"/>
        <d v="1991-08-18T00:00:00" u="1"/>
        <d v="1990-07-29T00:00:00" u="1"/>
        <d v="1993-07-29T00:00:00" u="1"/>
        <d v="1990-07-21T00:00:00" u="1"/>
        <d v="1990-08-02T00:00:00" u="1"/>
        <n v="2029" u="1"/>
        <d v="1990-07-13T00:00:00" u="1"/>
        <d v="1990-09-30T00:00:00" u="1"/>
        <d v="1990-06-24T00:00:00" u="1"/>
        <d v="1990-09-22T00:00:00" u="1"/>
        <d v="2008-06-24T00:00:00" u="1"/>
        <d v="1993-08-29T00:00:00" u="1"/>
        <d v="1993-09-02T00:00:00" u="1"/>
        <d v="1990-07-28T00:00:00" u="1"/>
        <d v="1991-07-28T00:00:00" u="1"/>
        <d v="1993-07-28T00:00:00" u="1"/>
        <d v="1991-08-05T00:00:00" u="1"/>
        <d v="1990-10-14T00:00:00" u="1"/>
        <d v="1990-09-29T00:00:00" u="1"/>
        <d v="1990-07-04T00:00:00" u="1"/>
        <d v="1993-09-21T00:00:00" u="1"/>
        <d v="1990-06-15T00:00:00" u="1"/>
        <d v="1991-06-15T00:00:00" u="1"/>
        <d v="1990-05-26T00:00:00" u="1"/>
        <d v="1990-06-03T00:00:00" u="1"/>
        <d v="1990-08-12T00:00:00" u="1"/>
        <d v="1990-07-23T00:00:00" u="1"/>
        <d v="1990-07-15T00:00:00" u="1"/>
        <d v="1990-06-30T00:00:00" u="1"/>
        <d v="1991-06-30T00:00:00" u="1"/>
        <d v="1991-06-26T00:00:00" u="1"/>
        <d v="1991-07-07T00:00:00" u="1"/>
        <d v="1990-08-19T00:00:00" u="1"/>
        <d v="1993-08-15T00:00:00" u="1"/>
        <d v="1993-07-30T00:00:00" u="1"/>
        <d v="1990-08-11T00:00:00" u="1"/>
        <d v="1990-07-22T00:00:00" u="1"/>
        <d v="1990-08-03T00:00:00" u="1"/>
        <d v="1990-07-14T00:00:00" u="1"/>
      </sharedItems>
    </cacheField>
    <cacheField name="AnzahlTage" numFmtId="0">
      <sharedItems containsString="0" containsBlank="1" containsNumber="1" containsInteger="1" minValue="0" maxValue="1"/>
    </cacheField>
    <cacheField name="Schirm" numFmtId="0">
      <sharedItems containsBlank="1" count="46">
        <s v="HP11"/>
        <s v="Hilite 25"/>
        <s v="Crusair 32"/>
        <s v="UP Vision"/>
        <m/>
        <s v="Fallschirm"/>
        <s v="Arcus 29"/>
        <s v="Arcus XL"/>
        <s v="UP Summit L"/>
        <s v="UP Gr M"/>
        <s v="Mistral 3"/>
        <s v="Mistral 4"/>
        <s v="nano 14"/>
        <s v="savage13"/>
        <s v="Rush2/M"/>
        <s v="Astral 5 / 28"/>
        <s v="Ozone 7 / L"/>
        <s v="Sigma 7"/>
        <s v="Astral 5"/>
        <s v="BiBeta 4"/>
        <s v="Sky Metis 2"/>
        <s v="Sigma 7/28"/>
        <s v="Omega 8"/>
        <s v="Sigma 8"/>
        <s v="PI23"/>
        <s v="Sigma 9"/>
        <s v="Pi2 27"/>
        <s v="Nova Phantom L"/>
        <s v="Omega x-Alps 24"/>
        <s v="Sigma 10"/>
        <s v="Magnum 3"/>
        <s v="Supair Savage ML"/>
        <s v="Sigma 11"/>
        <s v="Artik R"/>
        <s v="Gasballon HB-QKF"/>
        <s v="MacPara Verve 27"/>
        <s v="Flow Fusion"/>
        <s v="Sigma 12 DLS"/>
        <s v="Artik R2"/>
        <s v="Ski Metis 2" u="1"/>
        <s v="Sigma 15" u="1"/>
        <s v="Sigma 14" u="1"/>
        <s v="Gasballon" u="1"/>
        <s v="Sigma 13" u="1"/>
        <s v="Sigma 12" u="1"/>
        <s v="Sigma8" u="1"/>
      </sharedItems>
    </cacheField>
    <cacheField name="Start" numFmtId="0">
      <sharedItems containsBlank="1"/>
    </cacheField>
    <cacheField name="Landung" numFmtId="0">
      <sharedItems containsBlank="1" count="496">
        <s v="Schwarzigen"/>
        <s v="Sandien Boden"/>
        <s v="Kandersteg"/>
        <s v="Gletschertal"/>
        <s v="Wengen"/>
        <s v="Grund"/>
        <s v="Bort"/>
        <s v="Grit"/>
        <s v="Wasserauen"/>
        <s v="Brülisau"/>
        <s v="Hämikon"/>
        <s v="Stans"/>
        <s v="Dallenwil"/>
        <s v="Eichholzern"/>
        <s v="Wolfenschiessen"/>
        <s v="Altdorf/Fluelen"/>
        <s v="Schattdorf"/>
        <s v="Bodmi"/>
        <s v="Emetten"/>
        <s v="Fieschertal"/>
        <s v="Verbier"/>
        <s v="Chable Kapelle"/>
        <s v="Reckingen"/>
        <s v="Susten"/>
        <m/>
        <s v="Ossiachersee West"/>
        <s v="Roque brunnes"/>
        <s v="Andermatt"/>
        <s v="Lauterbrunnen"/>
        <s v="Beckenried"/>
        <s v="Aussenlandung"/>
        <s v="Triengen"/>
        <s v="Bassano"/>
        <s v="Millau"/>
        <s v="Pic d'Anden"/>
        <s v="Baschi"/>
        <s v="Engelberg"/>
        <s v="Grafenort"/>
        <s v="Bad Heustrich"/>
        <s v="Maggio"/>
        <s v="Arvigeno"/>
        <s v="Sessa"/>
        <s v="Talstation"/>
        <s v="Kerns"/>
        <s v="Zams"/>
        <s v="Capt"/>
        <s v="St. Geniez"/>
        <s v="Notlandeplatz"/>
        <s v="Tesclaux"/>
        <s v="Tolloir"/>
        <s v="Carrago"/>
        <s v="Capolago"/>
        <s v="Fpz Ascona"/>
        <s v="Sachseln"/>
        <s v="Kaiserstuhl"/>
        <s v="Ennetmoos"/>
        <s v="Niederrickenbach"/>
        <s v="Komperdell"/>
        <s v="Kühboden"/>
        <s v="Heimat"/>
        <s v="Campitello"/>
        <s v="Canazei"/>
        <s v="Bella Vista"/>
        <s v="Fiesch"/>
        <s v="Brienzersee"/>
        <s v="Wahlis"/>
        <s v="San Giovanni"/>
        <s v="Karrerpass"/>
        <s v="Laveno"/>
        <s v="Camping Paradiso"/>
        <s v="Doussard"/>
        <s v="St. André"/>
        <s v="Les Vallettes/Bar sur loup"/>
        <s v="Matzendorf"/>
        <s v="Mte Rosso Meer"/>
        <s v="Matria / Lucca"/>
        <s v="Diezimo"/>
        <s v="Prato Fiori"/>
        <s v="Raron"/>
        <s v="Realp"/>
        <s v="Kapelle"/>
        <s v="Belvedere"/>
        <s v="Wallenstadt"/>
        <s v="Klosters"/>
        <s v="Davos"/>
        <s v="Davos /See"/>
        <s v="Savognin"/>
        <s v="Flims"/>
        <s v="Mutti"/>
        <s v="Vionnaz"/>
        <s v="Suella I"/>
        <s v="Ascona"/>
        <s v="Scuol"/>
        <s v="Camping"/>
        <s v="Villneuve"/>
        <s v="Grandvillard"/>
        <s v="Plaffeien"/>
        <s v="Stechelberg"/>
        <s v="Charmey"/>
        <s v="Rio Pintos"/>
        <s v="Strasse"/>
        <s v="Mung"/>
        <s v="Hazienda"/>
        <s v="Turtmann"/>
        <s v="Gstaad"/>
        <s v="Spiez"/>
        <s v="Höhenmatte"/>
        <s v="Wilderswil"/>
        <s v="Lengnau"/>
        <s v="Chalais"/>
        <s v="Les Diablerets"/>
        <s v="Brienz"/>
        <s v="Vercorin"/>
        <s v="Vissoie"/>
        <s v="St. Jean"/>
        <s v="Fiescheralp"/>
        <s v="Palazzago"/>
        <s v="Suello"/>
        <s v="Cembroni"/>
        <s v="Dune du Pila"/>
        <s v="Oberwald"/>
        <s v="Niederwald"/>
        <s v="Semonze del Grappa"/>
        <s v="Neustift"/>
        <s v="Grimenz"/>
        <s v="Zinal"/>
        <s v="Belalp"/>
        <s v="Bitsch"/>
        <s v="Castala"/>
        <s v="Valle de Abdalajis (nord)"/>
        <s v="Teba"/>
        <s v="Montecorto"/>
        <s v="Landeplatz West"/>
        <s v="San Fermo"/>
        <s v="Broccione"/>
        <s v="Casazza"/>
        <s v="Linhares"/>
        <s v="Wiese bei Kreuzung"/>
        <s v="Mte Alegra Esp"/>
        <s v="Mte Alegra E"/>
        <s v="Chaves"/>
        <s v="Sesimbra"/>
        <s v="Clusio"/>
        <s v="Fontanazzo"/>
        <s v="Heixunalp"/>
        <s v="Ölüdeniz"/>
        <s v="Butterfly-Bucht"/>
        <s v="Chalet"/>
        <s v="Geschinen"/>
        <s v="Antiga de Serraquinhos"/>
        <s v="Baltar Esp"/>
        <s v="Mesquitela"/>
        <s v="Azinha"/>
        <s v="Grand Bornand"/>
        <s v="Rufi"/>
        <s v="meduno"/>
        <s v="Tolmin"/>
        <s v="Lijak"/>
        <s v="Kobarid"/>
        <s v="Aspres sur Buech"/>
        <s v="St Vincent Les Forts"/>
        <s v="Digne de Bain - Mouiroués"/>
        <s v="Lac du Sainte-Croix NO"/>
        <s v="Montdenir - Moustiers-Sainte-Marie"/>
        <s v="Moustiers-Sainte-Marie"/>
        <s v="Lac d'Annecy S"/>
        <s v="Mühle"/>
        <s v="Käfer"/>
        <s v="La Tortuga"/>
        <s v="Piedechinche"/>
        <s v="Buga"/>
        <s v="La Victoria"/>
        <s v="Obando"/>
        <s v="Ansermanuevo"/>
        <s v="Zarzal"/>
        <s v="Viterbo"/>
        <s v="Rio Cauca"/>
        <s v="La Pintada"/>
        <s v="Bauernhof"/>
        <s v="Polvoeira"/>
        <s v="Vela"/>
        <s v="Larouco"/>
        <s v="Baltar Espania"/>
        <s v="Vilar de Perdizes"/>
        <s v="Salgado"/>
        <s v="Münster"/>
        <s v="Falera"/>
        <s v="Gluringen"/>
        <s v="Watles Hotel"/>
        <s v="Digne de Bain"/>
        <s v="Moriez"/>
        <s v="Las Hazuelas"/>
        <s v="Otivar"/>
        <s v="Velilla Taramay"/>
        <s v="Tenne"/>
        <s v="Praia das Areias Branca"/>
        <s v="Arrabida"/>
        <s v="Praia do Meco"/>
        <s v="Sao Pedro"/>
        <s v="Strasse Richtung Meadas Kieswerk"/>
        <s v="Strasse Richtung Meadas"/>
        <s v="Melo"/>
        <s v="Mesquitela Hotel"/>
        <s v="Landeplatz"/>
        <s v="Laroa (Spanien)"/>
        <s v="Ulrichen"/>
        <s v="Ager"/>
        <s v="Tremp"/>
        <s v="Castejon de SOS (Liri)"/>
        <s v="Castejon de SOS"/>
        <s v="Anies"/>
        <s v="Lierta"/>
        <s v="Lumbier"/>
        <s v="See"/>
        <s v="Kleinkrantz"/>
        <s v="Sedgefield"/>
        <s v="Buffels Bay"/>
        <s v="Sedgeview"/>
        <s v="Sedgefield Küste"/>
        <s v="Vredendal"/>
        <s v="Hermanus"/>
        <s v="Citrusdal Süd"/>
        <s v="Citrusdal Golfplatz"/>
        <s v="Ridge Westside"/>
        <s v="Portervolle Nord"/>
        <s v="Langebaan"/>
        <s v="San Donato Val di Comino"/>
        <s v="Ritzinger Feld"/>
        <s v="Rickenbach"/>
        <s v="Leggia"/>
        <s v="Bironico"/>
        <s v="Mte Lema"/>
        <s v="Klevenai"/>
        <s v="Dovydiskai"/>
        <s v="Jonuskai"/>
        <s v="Cetri Veji, viesunams"/>
        <s v="Tomiluvka"/>
        <s v="Morkuniskis"/>
        <s v="Kalviai (Alanta)"/>
        <s v="Uzpaliai"/>
        <s v="Libertava"/>
        <s v="Plesiskes"/>
        <s v="Ager, Camping"/>
        <s v="Col de Ares"/>
        <s v="Lanzahita"/>
        <s v="Sopelana (Bilbao)"/>
        <s v="Santa Maria de Guecho"/>
        <s v="Sopelana 2 (Bilbao)"/>
        <s v="Cuesta Labauri"/>
        <s v="Pancorbo"/>
        <s v="Mengamunoz"/>
        <s v="Santa Maria de los Caballeros"/>
        <s v="San Miguel de Corneja"/>
        <s v="El Barco de Avila"/>
        <s v="Ramacastanas"/>
        <s v="Ninho das Aguias (Novo Petropolis)"/>
        <s v="Morro do Ferrabraz (Sapiranga)"/>
        <s v="Camping Tio Vico"/>
        <s v="Morro sao Roque (am Fuss)"/>
        <s v="Rocca Sales"/>
        <s v="Vintre Oito de Setembro"/>
        <s v="Reisfeld"/>
        <s v="Salao Verde"/>
        <s v="Igreja Picada do Rio"/>
        <s v="Varzea Grande"/>
        <s v="Letojanni"/>
        <s v="Bagnara"/>
        <s v="Ali Terme"/>
        <s v="Niscemi"/>
        <s v="Assoro"/>
        <s v="Outlet Store Sizilia"/>
        <s v="Furci Siculo"/>
        <s v="Biel"/>
        <s v="Nazaré, Paredes da Vitoria"/>
        <s v="Celorico bda Beira"/>
        <s v="Praia de Gralha"/>
        <s v="Pasamine"/>
        <s v="Petronys"/>
        <s v="Moibeles"/>
        <s v="Kaletnik PL"/>
        <s v="Velbiskes"/>
        <s v="Pakalnes"/>
        <s v="Geschinen, Mühle"/>
        <s v="Patara Lilo / Tbilisi"/>
        <s v="Hotel Shakoshvili's Cellar"/>
        <s v="Lalisguri"/>
        <s v="Naoza"/>
        <s v="Mestia"/>
        <s v="Liuji"/>
        <s v="Goudauri Viewing Point"/>
        <s v="Seturni"/>
        <s v="Ganisi"/>
        <s v="Zermatt"/>
        <s v="Formosa /Argeintinien"/>
        <s v="Parana/Argentinien"/>
        <s v="San Benito/Argentinien"/>
        <s v="Sauce de Luna/Argentinien"/>
        <s v="Club le Planeadores Parana/Argentinien"/>
        <s v="Casilda"/>
        <s v="Vagues"/>
        <s v="Capitan Sarmiento"/>
        <s v="Suipacha"/>
        <s v="San Antonio"/>
        <s v="Chapicuy"/>
        <s v="La Rosadita"/>
        <s v="Ginebra"/>
        <s v="Santa Elena"/>
        <s v="El Overo"/>
        <s v="La Union"/>
        <s v="Valle del Caica"/>
        <s v="Los Chancos"/>
        <s v="Obergestlen"/>
        <s v="Atkociai"/>
        <s v="Zeimeliai"/>
        <s v="Valkininku aerodromas"/>
        <s v="Ausra"/>
        <s v="Gelezine"/>
        <s v="Kurklintisiai"/>
        <s v="Ariogala"/>
        <s v="Antaksciai"/>
        <s v="Pasvalio"/>
        <s v="Anyksciai"/>
        <s v="Naujieji"/>
        <s v="Sant'Anna di Campore"/>
        <s v="San Germano"/>
        <s v="Quarona"/>
        <s v="Cima Cavallaria"/>
        <s v="Gaia"/>
        <s v="Sapata Rota"/>
        <s v="Chaves Casino"/>
        <s v="Lavandeira"/>
        <s v="Grijo de vale Benfeito"/>
        <s v="Macedo de Cavaleiros"/>
        <s v="Vlora"/>
        <s v="Drenove"/>
        <s v="Korce"/>
        <s v="Qatrom"/>
        <s v="Ljubanishta"/>
        <s v="Prilep"/>
        <s v="Norovo"/>
        <s v="St. Laurent"/>
        <s v="Surlej"/>
        <s v="Ernen"/>
        <s v="Mascali"/>
        <s v="Ervededo"/>
        <s v="Castejon"/>
        <s v="Muhana"/>
        <s v="Digne de Bains"/>
        <s v="St Croix du Verdon"/>
        <s v="La Foux"/>
        <s v="Digne de Bains (Sportplatz)"/>
        <s v="Sand"/>
        <s v="St Georgen"/>
        <s v="Kastelruth"/>
        <s v="Lehn"/>
        <s v="Allmend"/>
        <s v="Rovasenda I"/>
        <s v="Farnern"/>
        <s v="Matalascanas"/>
        <s v="Castelo de Vide"/>
        <s v="Klabiniai"/>
        <s v="Kalbutiskes"/>
        <s v="Daugavpils"/>
        <s v="Pociems"/>
        <s v="Burtnieki"/>
        <s v="Dreverna"/>
        <s v="Leliunai"/>
        <s v="Disentis"/>
        <s v="Interlaken"/>
        <s v="Becs de Bosson"/>
        <s v="Airolo"/>
        <s v="Berga"/>
        <s v="Espunyola"/>
        <s v="Loarre"/>
        <s v="Murillo"/>
        <s v="Navas"/>
        <s v="La Parte de Bureba"/>
        <s v="Horcajo Medianero"/>
        <s v="Tejeda de Tietar"/>
        <s v="Cebreros"/>
        <s v="Binn"/>
        <s v="Courtet"/>
        <s v="Les Richards"/>
        <s v="Valiouise"/>
        <s v="Granada"/>
        <s v="Almunecar"/>
        <s v="Orgiva"/>
        <s v="La Herradu"/>
        <s v="Pizzo Calabro 1"/>
        <s v="Pizzo Calabro"/>
        <s v="Padula"/>
        <s v="Villammare"/>
        <s v="Sapri"/>
        <s v="Atrigna"/>
        <s v="Capo di Fiume"/>
        <s v="Alvito"/>
        <s v="Alife"/>
        <s v="Cassino"/>
        <s v="Norma"/>
        <s v="Orzignano"/>
        <s v="Zocca"/>
        <s v="Landeplatz Süd"/>
        <s v="Olvera Hotel"/>
        <s v="Strand"/>
        <s v="Praia da Gralha"/>
        <s v="Vidisklai"/>
        <s v="Genetiniai"/>
        <s v="Kartanai"/>
        <s v="Silagalys"/>
        <s v="Veizelis"/>
        <s v="Katerial"/>
        <s v="Azuozerial"/>
        <s v="Bruzai"/>
        <s v="Zagatpurviai"/>
        <s v="Razmai"/>
        <s v="Deverna"/>
        <s v="Karkie"/>
        <s v="Pernarava"/>
        <s v="Santa Maria"/>
        <s v="Ancelle"/>
        <s v="St. Croix du Verdon"/>
        <s v="Col St. Jean"/>
        <s v="Tartonne"/>
        <s v="Montelano"/>
        <s v="Villongo"/>
        <s v="Glavenale"/>
        <s v="Colleretto Giacosa"/>
        <s v="Salto"/>
        <s v="Doganella di Ninfa"/>
        <s v="Poggio Bustone"/>
        <s v="Terelle Casino"/>
        <s v="Telese terme Hotel"/>
        <s v="Canete la Real"/>
        <s v="El Bosque"/>
        <s v="Ronda"/>
        <s v="Montalvao"/>
        <s v="Carrapichana"/>
        <s v="Gabrje"/>
        <s v="Brestovica"/>
        <s v="Dolga"/>
        <s v="Ayerbe"/>
        <s v="Santa Olaja"/>
        <s v="Eulate"/>
        <s v="Baio"/>
        <s v="La Torre"/>
        <s v="Mironcillo"/>
        <s v="Prados del Maron"/>
        <s v="El Pradejon"/>
        <s v="Saint Antonio d'Adda"/>
        <s v="Bresciano"/>
        <s v="Sarnano Sibilini"/>
        <s v="San Gassiano"/>
        <s v="Grindelwald"/>
        <s v="Venta del Rayo"/>
        <s v="Carachuna"/>
        <s v="Vcenes de la Vega"/>
        <s v="Los Tablones"/>
        <s v="Alhama"/>
        <s v="Toix 2"/>
        <s v="Cazzano"/>
        <s v="Garden Relais"/>
        <s v="Collebeato"/>
        <s v="Pancas"/>
        <s v="Lajinha"/>
        <s v="Baixo Guandu"/>
        <s v="Vila Nova"/>
        <s v="Engenheiro Caldas"/>
        <s v="Governador Valadares"/>
        <s v="Sobreiro"/>
        <s v="Falesias de Mare"/>
        <s v="Gironda"/>
        <s v="Vargem Grande do Soturno"/>
        <s v="Cachoeira"/>
        <s v="Capaccio"/>
        <s v="Borgo Polli"/>
        <s v="San Donato"/>
        <s v="Sestola"/>
        <s v="Montardon"/>
        <s v="Relais"/>
        <s v="Gemon"/>
        <s v="Torlano"/>
        <s v="Ajdovscina"/>
        <s v="Robci"/>
        <s v="Berg"/>
        <s v="Greifenburg"/>
        <s v="Meano"/>
        <s v="Raguva"/>
        <s v="Deltuva"/>
        <s v="Juodausiai"/>
        <s v="Labrags"/>
        <s v="Ramygala"/>
        <s v="Skatikai"/>
        <s v="Bebrünai"/>
        <s v="Pizzo Start" u="1"/>
        <s v="Pizzo Strand" u="1"/>
        <s v="Mont Denier" u="1"/>
      </sharedItems>
    </cacheField>
    <cacheField name="Std" numFmtId="0">
      <sharedItems containsString="0" containsBlank="1" containsNumber="1" containsInteger="1" minValue="1" maxValue="9"/>
    </cacheField>
    <cacheField name="Min" numFmtId="0">
      <sharedItems containsString="0" containsBlank="1" containsNumber="1" minValue="0" maxValue="59"/>
    </cacheField>
    <cacheField name="hh:mm" numFmtId="0">
      <sharedItems containsString="0" containsBlank="1" containsNumber="1" minValue="0" maxValue="540"/>
    </cacheField>
    <cacheField name="Kurs" numFmtId="0">
      <sharedItems containsBlank="1" count="74">
        <s v="Schulung"/>
        <s v="Prüfung"/>
        <m/>
        <s v="Sicherheitstraining"/>
        <s v="Flugsafari Wallis"/>
        <s v="Monaco"/>
        <s v="Basano"/>
        <s v="Millau"/>
        <s v="Thermikkurs"/>
        <s v="Südsafari"/>
        <s v="Alp du Sud"/>
        <s v="Kärnten"/>
        <s v="Notschirmpackkurs"/>
        <s v="Dolomiten"/>
        <s v="Notschirm"/>
        <s v="Toscana"/>
        <s v="Bündner"/>
        <s v="Saisonabschluss"/>
        <s v="VS/BE-Safari"/>
        <s v="Sicherheitskurs"/>
        <s v="Dune du Pyla"/>
        <s v="FWA Andalusien"/>
        <s v="FWA 50 km XC Camp"/>
        <s v="FWA Portugal"/>
        <s v="Ölüdeniz mit Ikarus"/>
        <s v="Winterstart"/>
        <s v="FWA Portugal Beach"/>
        <s v="Slowenien"/>
        <s v="FWA Südfrankreich"/>
        <s v="FWA Kolumbien"/>
        <s v="FWA San Fermo"/>
        <s v="Flyingcenter 30 Jahre"/>
        <s v="FWA Pyrenäen"/>
        <s v="FWA Südafrika"/>
        <s v="FWA Napoli"/>
        <s v="Ikarus Tessin"/>
        <s v="FWA Litauen"/>
        <s v="FWA Zentralspanien"/>
        <s v="FWA Brasilien Rundreise"/>
        <s v="FWA Sizilien"/>
        <s v="FWA Georgien"/>
        <s v="FWA Pampa"/>
        <s v="FWA Frankreich (Piemont)"/>
        <s v="FWA XC-Camp"/>
        <s v="FWA Litauen (Albanien)Mazedonien)"/>
        <s v="FWA Pustertal"/>
        <s v="Aufziehübungen"/>
        <s v="mit Andrea"/>
        <s v="FWA Südfrankreich Tour"/>
        <s v="MG Andalusien"/>
        <s v="FWA Sizilien Napoli"/>
        <s v="FWA Napoli-Rom"/>
        <s v="Glidezeit SIV"/>
        <s v="FWA Malaga-Lisabon"/>
        <s v="Clubausflug"/>
        <s v="Victor Algodonales"/>
        <s v="FWA Bologna-Rom"/>
        <s v="FWA Rom-Napoli"/>
        <s v="Burnair Slowenien"/>
        <s v="FWA Abruzzen"/>
        <s v="FWA Malaga-Alecante"/>
        <s v="FWA Südalpen"/>
        <s v="FWA Espirito Santos"/>
        <s v="FWA Sizilien-Rom"/>
        <s v="FWA Rom-Mailand"/>
        <s v="FWA Dreiländer Tour"/>
        <s v="mit Samantha" u="1"/>
        <s v="FWA Nordspanien" u="1"/>
        <s v="Slovenien" u="1"/>
        <s v="Kolumbien" u="1"/>
        <s v="Südfrankreich Tour" u="1"/>
        <s v="Andalusien" u="1"/>
        <s v="50 km XC Camp" u="1"/>
        <s v="Ballonfahrt mit Stefan Zeberli 16.9 m/s Steigen beim Start" u="1"/>
      </sharedItems>
    </cacheField>
    <cacheField name="Bemerkung" numFmtId="0">
      <sharedItems containsBlank="1"/>
    </cacheField>
    <cacheField name="Vario+" numFmtId="0">
      <sharedItems containsString="0" containsBlank="1" containsNumber="1" minValue="3.3" maxValue="10"/>
    </cacheField>
    <cacheField name="Vario-" numFmtId="0">
      <sharedItems containsString="0" containsBlank="1" containsNumber="1" minValue="-20" maxValue="18.899999999999999"/>
    </cacheField>
    <cacheField name="max Höhe" numFmtId="0">
      <sharedItems containsString="0" containsBlank="1" containsNumber="1" containsInteger="1" minValue="2701" maxValue="4000"/>
    </cacheField>
    <cacheField name="StdMin" numFmtId="0" formula=" ABS('hh:mm'/60)" databaseField="0"/>
    <cacheField name="Dauer" numFmtId="0" formula="'hh:mm'/#NAME?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p Bucher" refreshedDate="46246.630165856484" createdVersion="6" refreshedVersion="8" minRefreshableVersion="3" recordCount="2500" xr:uid="{00000000-000A-0000-FFFF-FFFF00000000}">
  <cacheSource type="worksheet">
    <worksheetSource ref="A1:L1048576" sheet="Flüge"/>
  </cacheSource>
  <cacheFields count="12">
    <cacheField name="Typ" numFmtId="0">
      <sharedItems containsBlank="1" count="7">
        <s v="GS"/>
        <s v="GST"/>
        <s v="Div"/>
        <s v="SF"/>
        <s v="BP"/>
        <s v="BPT"/>
        <m/>
      </sharedItems>
    </cacheField>
    <cacheField name="Datum" numFmtId="164">
      <sharedItems containsNonDate="0" containsDate="1" containsString="0" containsBlank="1" minDate="1990-05-26T00:00:00" maxDate="2026-08-13T00:00:00"/>
    </cacheField>
    <cacheField name="Monat" numFmtId="1">
      <sharedItems containsString="0" containsBlank="1" containsNumber="1" containsInteger="1" minValue="1" maxValue="12" count="13">
        <n v="5"/>
        <n v="6"/>
        <n v="7"/>
        <n v="8"/>
        <n v="9"/>
        <n v="10"/>
        <n v="11"/>
        <n v="2"/>
        <n v="3"/>
        <n v="4"/>
        <n v="12"/>
        <n v="1"/>
        <m/>
      </sharedItems>
    </cacheField>
    <cacheField name="Jahr" numFmtId="0">
      <sharedItems containsString="0" containsBlank="1" containsNumber="1" containsInteger="1" minValue="1900" maxValue="2026" count="39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1900"/>
        <m/>
      </sharedItems>
    </cacheField>
    <cacheField name="AnzahlTage" numFmtId="0">
      <sharedItems containsString="0" containsBlank="1" containsNumber="1" containsInteger="1" minValue="0" maxValue="1"/>
    </cacheField>
    <cacheField name="Schirm" numFmtId="0">
      <sharedItems containsBlank="1"/>
    </cacheField>
    <cacheField name="Start" numFmtId="0">
      <sharedItems containsBlank="1"/>
    </cacheField>
    <cacheField name="Landung" numFmtId="0">
      <sharedItems containsBlank="1"/>
    </cacheField>
    <cacheField name="Std" numFmtId="0">
      <sharedItems containsString="0" containsBlank="1" containsNumber="1" containsInteger="1" minValue="1" maxValue="9"/>
    </cacheField>
    <cacheField name="Min" numFmtId="0">
      <sharedItems containsString="0" containsBlank="1" containsNumber="1" minValue="0" maxValue="59"/>
    </cacheField>
    <cacheField name="hh:mm" numFmtId="0">
      <sharedItems containsString="0" containsBlank="1" containsNumber="1" minValue="0" maxValue="540" count="219">
        <n v="6"/>
        <n v="7"/>
        <n v="5"/>
        <n v="8"/>
        <n v="10"/>
        <n v="20"/>
        <n v="12"/>
        <n v="4"/>
        <n v="30"/>
        <n v="90"/>
        <n v="120"/>
        <n v="14"/>
        <n v="144"/>
        <n v="94"/>
        <n v="11"/>
        <n v="15"/>
        <n v="2"/>
        <n v="38"/>
        <n v="13"/>
        <n v="16"/>
        <n v="19"/>
        <n v="51"/>
        <n v="9"/>
        <n v="32"/>
        <n v="91"/>
        <n v="63"/>
        <n v="17"/>
        <n v="45"/>
        <n v="54"/>
        <n v="154"/>
        <n v="0"/>
        <n v="61"/>
        <n v="92"/>
        <n v="40"/>
        <n v="27"/>
        <n v="108"/>
        <n v="110"/>
        <n v="52"/>
        <n v="64"/>
        <n v="36"/>
        <n v="50"/>
        <n v="105"/>
        <n v="22"/>
        <n v="95"/>
        <n v="66"/>
        <n v="65"/>
        <n v="80"/>
        <n v="60"/>
        <n v="100"/>
        <n v="57"/>
        <n v="34"/>
        <n v="37"/>
        <n v="25"/>
        <n v="79"/>
        <n v="68"/>
        <n v="96"/>
        <n v="75"/>
        <n v="18"/>
        <n v="116"/>
        <n v="33"/>
        <n v="71"/>
        <n v="24"/>
        <n v="121"/>
        <n v="28"/>
        <n v="86"/>
        <n v="125"/>
        <n v="42"/>
        <n v="165"/>
        <n v="56"/>
        <n v="104"/>
        <n v="137"/>
        <n v="117"/>
        <n v="2.4"/>
        <n v="77"/>
        <n v="241"/>
        <n v="190"/>
        <n v="101"/>
        <n v="150"/>
        <n v="128"/>
        <n v="49"/>
        <n v="88"/>
        <n v="135"/>
        <n v="158"/>
        <n v="145"/>
        <n v="55"/>
        <n v="29"/>
        <n v="160"/>
        <n v="78"/>
        <n v="72"/>
        <n v="212"/>
        <n v="163"/>
        <n v="82"/>
        <n v="23"/>
        <n v="149"/>
        <n v="73"/>
        <n v="58"/>
        <n v="114"/>
        <n v="21"/>
        <n v="113"/>
        <n v="44"/>
        <n v="76"/>
        <n v="188"/>
        <n v="83"/>
        <n v="31"/>
        <n v="118"/>
        <n v="112"/>
        <n v="103"/>
        <n v="133"/>
        <n v="155"/>
        <n v="141"/>
        <n v="62"/>
        <n v="111"/>
        <n v="164"/>
        <n v="85"/>
        <n v="127"/>
        <n v="41"/>
        <n v="69"/>
        <n v="124"/>
        <n v="43"/>
        <n v="35"/>
        <n v="59"/>
        <n v="143"/>
        <n v="129"/>
        <n v="186"/>
        <n v="153"/>
        <n v="168"/>
        <n v="109"/>
        <n v="161"/>
        <n v="98"/>
        <n v="87"/>
        <n v="140"/>
        <n v="39"/>
        <n v="47"/>
        <n v="172"/>
        <n v="26"/>
        <n v="48"/>
        <n v="67"/>
        <n v="53"/>
        <n v="156"/>
        <n v="138"/>
        <n v="81"/>
        <n v="46"/>
        <n v="70"/>
        <n v="97"/>
        <n v="123"/>
        <n v="102"/>
        <n v="134"/>
        <n v="198"/>
        <n v="115"/>
        <n v="74"/>
        <n v="248"/>
        <n v="84"/>
        <n v="122"/>
        <n v="219"/>
        <n v="139"/>
        <n v="89"/>
        <n v="180"/>
        <n v="192"/>
        <n v="130"/>
        <n v="93"/>
        <n v="119"/>
        <n v="142"/>
        <n v="266"/>
        <n v="252"/>
        <n v="148"/>
        <n v="310"/>
        <n v="99"/>
        <n v="208"/>
        <n v="131"/>
        <n v="170"/>
        <n v="106"/>
        <n v="184"/>
        <n v="132"/>
        <n v="169"/>
        <n v="147"/>
        <n v="107"/>
        <n v="152"/>
        <n v="287"/>
        <n v="199"/>
        <n v="273"/>
        <n v="203"/>
        <n v="177"/>
        <n v="209"/>
        <n v="175"/>
        <n v="151"/>
        <n v="237"/>
        <n v="253"/>
        <n v="337"/>
        <n v="232"/>
        <n v="307"/>
        <n v="304"/>
        <n v="325"/>
        <n v="350"/>
        <n v="189"/>
        <n v="218"/>
        <n v="205"/>
        <n v="136"/>
        <n v="126"/>
        <n v="157"/>
        <n v="540"/>
        <n v="342"/>
        <n v="269"/>
        <n v="210"/>
        <n v="206"/>
        <n v="296"/>
        <n v="182"/>
        <n v="193"/>
        <n v="255"/>
        <n v="258"/>
        <n v="292"/>
        <n v="1"/>
        <n v="159"/>
        <n v="179"/>
        <n v="227"/>
        <n v="262"/>
        <n v="146"/>
        <n v="202"/>
        <m/>
        <n v="3" u="1"/>
      </sharedItems>
    </cacheField>
    <cacheField name="Kurs" numFmtId="0">
      <sharedItems containsBlank="1" count="69">
        <s v="Schulung"/>
        <s v="Prüfung"/>
        <m/>
        <s v="Sicherheitstraining"/>
        <s v="Flugsafari Wallis"/>
        <s v="Monaco"/>
        <s v="Basano"/>
        <s v="Millau"/>
        <s v="Thermikkurs"/>
        <s v="Südsafari"/>
        <s v="Alp du Sud"/>
        <s v="Kärnten"/>
        <s v="Notschirmpackkurs"/>
        <s v="Dolomiten"/>
        <s v="Notschirm"/>
        <s v="Toscana"/>
        <s v="Bündner"/>
        <s v="Saisonabschluss"/>
        <s v="VS/BE-Safari"/>
        <s v="Sicherheitskurs"/>
        <s v="Dune du Pyla"/>
        <s v="FWA Andalusien"/>
        <s v="FWA 50 km XC Camp"/>
        <s v="FWA Portugal"/>
        <s v="Ölüdeniz mit Ikarus"/>
        <s v="Winterstart"/>
        <s v="FWA Portugal Beach"/>
        <s v="Slowenien"/>
        <s v="FWA Südfrankreich"/>
        <s v="FWA Kolumbien"/>
        <s v="FWA San Fermo"/>
        <s v="Flyingcenter 30 Jahre"/>
        <s v="FWA Pyrenäen"/>
        <s v="FWA Südafrika"/>
        <s v="FWA Napoli"/>
        <s v="Ikarus Tessin"/>
        <s v="FWA Litauen"/>
        <s v="FWA Zentralspanien"/>
        <s v="FWA Brasilien Rundreise"/>
        <s v="FWA Sizilien"/>
        <s v="FWA Georgien"/>
        <s v="FWA Pampa"/>
        <s v="FWA Frankreich (Piemont)"/>
        <s v="FWA XC-Camp"/>
        <s v="FWA Litauen (Albanien)Mazedonien)"/>
        <s v="FWA Pustertal"/>
        <s v="Aufziehübungen"/>
        <s v="mit Andrea"/>
        <s v="FWA Südfrankreich Tour"/>
        <s v="MG Andalusien"/>
        <s v="FWA Sizilien Napoli"/>
        <s v="FWA Napoli-Rom"/>
        <s v="Glidezeit SIV"/>
        <s v="FWA Malaga-Lisabon"/>
        <s v="Clubausflug"/>
        <s v="Victor Algodonales"/>
        <s v="FWA Bologna-Rom"/>
        <s v="FWA Rom-Napoli"/>
        <s v="Burnair Slowenien"/>
        <s v="FWA Abruzzen"/>
        <s v="FWA Malaga-Alecante"/>
        <s v="FWA Südalpen"/>
        <s v="FWA Espirito Santos"/>
        <s v="FWA Sizilien-Rom"/>
        <s v="FWA Rom-Mailand"/>
        <s v="FWA Dreiländer Tour"/>
        <s v="mit Samantha" u="1"/>
        <s v="FWA Nordspanien" u="1"/>
        <s v="Slovenie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d v="1990-05-26T00:00:00"/>
    <n v="5"/>
    <x v="0"/>
    <n v="1"/>
    <x v="0"/>
    <s v="First"/>
    <x v="0"/>
    <m/>
    <n v="6"/>
    <n v="6"/>
    <x v="0"/>
    <s v="1x8, 1x360, LVR"/>
    <m/>
    <m/>
    <m/>
  </r>
  <r>
    <x v="0"/>
    <d v="1990-05-26T00:00:00"/>
    <n v="5"/>
    <x v="0"/>
    <n v="0"/>
    <x v="0"/>
    <s v="First"/>
    <x v="0"/>
    <m/>
    <n v="6"/>
    <n v="6"/>
    <x v="0"/>
    <s v="2x360, LVR"/>
    <m/>
    <m/>
    <m/>
  </r>
  <r>
    <x v="0"/>
    <d v="1990-05-26T00:00:00"/>
    <n v="5"/>
    <x v="0"/>
    <n v="0"/>
    <x v="0"/>
    <s v="First"/>
    <x v="0"/>
    <m/>
    <n v="7"/>
    <n v="7"/>
    <x v="0"/>
    <s v="2x360, LVR"/>
    <m/>
    <m/>
    <m/>
  </r>
  <r>
    <x v="0"/>
    <d v="1990-06-03T00:00:00"/>
    <n v="6"/>
    <x v="0"/>
    <n v="1"/>
    <x v="0"/>
    <s v="First"/>
    <x v="1"/>
    <m/>
    <n v="6"/>
    <n v="6"/>
    <x v="0"/>
    <s v="1x360, LVL"/>
    <m/>
    <m/>
    <m/>
  </r>
  <r>
    <x v="0"/>
    <d v="1990-06-03T00:00:00"/>
    <n v="6"/>
    <x v="0"/>
    <n v="0"/>
    <x v="0"/>
    <s v="First"/>
    <x v="1"/>
    <m/>
    <n v="7"/>
    <n v="7"/>
    <x v="0"/>
    <s v="1x360, LVL"/>
    <m/>
    <m/>
    <m/>
  </r>
  <r>
    <x v="0"/>
    <d v="1990-06-03T00:00:00"/>
    <n v="6"/>
    <x v="0"/>
    <n v="0"/>
    <x v="0"/>
    <s v="First"/>
    <x v="1"/>
    <m/>
    <n v="7"/>
    <n v="7"/>
    <x v="0"/>
    <s v="1x360, LVL"/>
    <m/>
    <m/>
    <m/>
  </r>
  <r>
    <x v="0"/>
    <d v="1990-06-03T00:00:00"/>
    <n v="6"/>
    <x v="0"/>
    <n v="0"/>
    <x v="0"/>
    <s v="First"/>
    <x v="1"/>
    <m/>
    <n v="5"/>
    <n v="5"/>
    <x v="0"/>
    <s v="LVL"/>
    <m/>
    <m/>
    <m/>
  </r>
  <r>
    <x v="0"/>
    <d v="1990-06-03T00:00:00"/>
    <n v="6"/>
    <x v="0"/>
    <n v="0"/>
    <x v="0"/>
    <s v="First"/>
    <x v="1"/>
    <m/>
    <n v="7"/>
    <n v="7"/>
    <x v="0"/>
    <s v="1x360, LVL"/>
    <m/>
    <m/>
    <m/>
  </r>
  <r>
    <x v="0"/>
    <d v="1990-06-15T00:00:00"/>
    <n v="6"/>
    <x v="0"/>
    <n v="1"/>
    <x v="0"/>
    <s v="Almenalp"/>
    <x v="2"/>
    <m/>
    <n v="5"/>
    <n v="5"/>
    <x v="0"/>
    <s v="1x8, LVL"/>
    <m/>
    <m/>
    <m/>
  </r>
  <r>
    <x v="0"/>
    <d v="1990-06-15T00:00:00"/>
    <n v="6"/>
    <x v="0"/>
    <n v="0"/>
    <x v="1"/>
    <s v="Almenalp"/>
    <x v="2"/>
    <m/>
    <n v="8"/>
    <n v="8"/>
    <x v="0"/>
    <s v="1x8, 2x360, LVR"/>
    <m/>
    <m/>
    <m/>
  </r>
  <r>
    <x v="0"/>
    <d v="1990-06-24T00:00:00"/>
    <n v="6"/>
    <x v="0"/>
    <n v="1"/>
    <x v="1"/>
    <s v="First"/>
    <x v="0"/>
    <m/>
    <n v="10"/>
    <n v="10"/>
    <x v="0"/>
    <s v="2x8, 5x360, LVR"/>
    <m/>
    <m/>
    <m/>
  </r>
  <r>
    <x v="0"/>
    <d v="1990-06-24T00:00:00"/>
    <n v="6"/>
    <x v="0"/>
    <n v="0"/>
    <x v="1"/>
    <s v="First"/>
    <x v="0"/>
    <m/>
    <n v="20"/>
    <n v="20"/>
    <x v="0"/>
    <s v="Termikflug, 1x8 mit hinteren Traggurten, Landung mit hinteren Traggurten, Stacheldraht, LVR"/>
    <m/>
    <m/>
    <m/>
  </r>
  <r>
    <x v="0"/>
    <d v="1990-06-24T00:00:00"/>
    <n v="6"/>
    <x v="0"/>
    <n v="0"/>
    <x v="1"/>
    <s v="First"/>
    <x v="0"/>
    <m/>
    <n v="10"/>
    <n v="10"/>
    <x v="0"/>
    <s v="Start mit starkem Wind, Landung mit Aufkreuzen"/>
    <m/>
    <m/>
    <m/>
  </r>
  <r>
    <x v="0"/>
    <d v="1990-06-30T00:00:00"/>
    <n v="6"/>
    <x v="0"/>
    <n v="1"/>
    <x v="1"/>
    <s v="First"/>
    <x v="3"/>
    <m/>
    <n v="8"/>
    <n v="8"/>
    <x v="0"/>
    <s v="2x8, 8x360, LVL"/>
    <m/>
    <m/>
    <m/>
  </r>
  <r>
    <x v="0"/>
    <d v="1990-06-30T00:00:00"/>
    <n v="6"/>
    <x v="0"/>
    <n v="0"/>
    <x v="1"/>
    <s v="First"/>
    <x v="3"/>
    <m/>
    <n v="12"/>
    <n v="12"/>
    <x v="0"/>
    <s v="Startplatzüberhöhung, LVR"/>
    <m/>
    <m/>
    <m/>
  </r>
  <r>
    <x v="0"/>
    <d v="1990-07-02T00:00:00"/>
    <n v="7"/>
    <x v="0"/>
    <n v="1"/>
    <x v="1"/>
    <s v="First"/>
    <x v="0"/>
    <m/>
    <n v="6"/>
    <n v="6"/>
    <x v="0"/>
    <s v="Versuch Stallpunkt, LVL"/>
    <m/>
    <m/>
    <m/>
  </r>
  <r>
    <x v="0"/>
    <d v="1990-07-02T00:00:00"/>
    <n v="7"/>
    <x v="0"/>
    <n v="0"/>
    <x v="1"/>
    <s v="Egg"/>
    <x v="0"/>
    <m/>
    <n v="6"/>
    <n v="6"/>
    <x v="0"/>
    <s v="Hanglandung"/>
    <m/>
    <m/>
    <m/>
  </r>
  <r>
    <x v="0"/>
    <d v="1990-07-02T00:00:00"/>
    <n v="7"/>
    <x v="0"/>
    <n v="0"/>
    <x v="1"/>
    <s v="First"/>
    <x v="0"/>
    <m/>
    <n v="6"/>
    <n v="6"/>
    <x v="0"/>
    <s v="Steilspirale, LVR"/>
    <m/>
    <m/>
    <m/>
  </r>
  <r>
    <x v="0"/>
    <d v="1990-07-04T00:00:00"/>
    <n v="7"/>
    <x v="0"/>
    <n v="1"/>
    <x v="1"/>
    <s v="Egg"/>
    <x v="0"/>
    <m/>
    <n v="4"/>
    <n v="4"/>
    <x v="0"/>
    <s v="LVR"/>
    <m/>
    <m/>
    <m/>
  </r>
  <r>
    <x v="0"/>
    <d v="1990-07-04T00:00:00"/>
    <n v="7"/>
    <x v="0"/>
    <n v="0"/>
    <x v="1"/>
    <s v="Egg"/>
    <x v="0"/>
    <m/>
    <n v="4"/>
    <n v="4"/>
    <x v="0"/>
    <s v="Leinengnosch, Landung mit Wind"/>
    <m/>
    <m/>
    <m/>
  </r>
  <r>
    <x v="0"/>
    <d v="1990-07-04T00:00:00"/>
    <n v="7"/>
    <x v="0"/>
    <n v="0"/>
    <x v="1"/>
    <s v="Egg"/>
    <x v="0"/>
    <m/>
    <n v="4"/>
    <n v="4"/>
    <x v="0"/>
    <s v="LVR"/>
    <m/>
    <m/>
    <m/>
  </r>
  <r>
    <x v="0"/>
    <d v="1990-07-04T00:00:00"/>
    <n v="7"/>
    <x v="0"/>
    <n v="0"/>
    <x v="1"/>
    <s v="First"/>
    <x v="3"/>
    <m/>
    <n v="10"/>
    <n v="10"/>
    <x v="0"/>
    <s v="LVR"/>
    <m/>
    <m/>
    <m/>
  </r>
  <r>
    <x v="0"/>
    <d v="1990-07-04T00:00:00"/>
    <n v="7"/>
    <x v="0"/>
    <n v="0"/>
    <x v="1"/>
    <s v="First"/>
    <x v="3"/>
    <m/>
    <n v="10"/>
    <n v="10"/>
    <x v="0"/>
    <s v="LVL"/>
    <m/>
    <m/>
    <m/>
  </r>
  <r>
    <x v="0"/>
    <d v="1990-07-13T00:00:00"/>
    <n v="7"/>
    <x v="0"/>
    <n v="1"/>
    <x v="1"/>
    <s v="First"/>
    <x v="0"/>
    <m/>
    <n v="5"/>
    <n v="5"/>
    <x v="0"/>
    <s v="Stallpunkt"/>
    <m/>
    <m/>
    <m/>
  </r>
  <r>
    <x v="0"/>
    <d v="1990-07-13T00:00:00"/>
    <n v="7"/>
    <x v="0"/>
    <n v="0"/>
    <x v="1"/>
    <s v="First"/>
    <x v="0"/>
    <m/>
    <n v="5"/>
    <n v="5"/>
    <x v="0"/>
    <s v="LVR, zu kurz"/>
    <m/>
    <m/>
    <m/>
  </r>
  <r>
    <x v="0"/>
    <d v="1990-07-13T00:00:00"/>
    <n v="7"/>
    <x v="0"/>
    <n v="0"/>
    <x v="1"/>
    <s v="First"/>
    <x v="3"/>
    <m/>
    <n v="8"/>
    <n v="8"/>
    <x v="0"/>
    <s v="LVR"/>
    <m/>
    <m/>
    <m/>
  </r>
  <r>
    <x v="0"/>
    <d v="1990-07-13T00:00:00"/>
    <n v="7"/>
    <x v="0"/>
    <n v="0"/>
    <x v="1"/>
    <s v="First"/>
    <x v="3"/>
    <m/>
    <n v="8"/>
    <n v="8"/>
    <x v="0"/>
    <m/>
    <m/>
    <m/>
    <m/>
  </r>
  <r>
    <x v="0"/>
    <d v="1990-07-13T00:00:00"/>
    <n v="7"/>
    <x v="0"/>
    <n v="0"/>
    <x v="1"/>
    <s v="First"/>
    <x v="3"/>
    <m/>
    <n v="8"/>
    <n v="8"/>
    <x v="0"/>
    <m/>
    <m/>
    <m/>
    <m/>
  </r>
  <r>
    <x v="0"/>
    <d v="1990-07-14T00:00:00"/>
    <n v="7"/>
    <x v="0"/>
    <n v="1"/>
    <x v="1"/>
    <s v="First"/>
    <x v="3"/>
    <m/>
    <n v="8"/>
    <n v="8"/>
    <x v="0"/>
    <m/>
    <m/>
    <m/>
    <m/>
  </r>
  <r>
    <x v="0"/>
    <d v="1990-07-14T00:00:00"/>
    <n v="7"/>
    <x v="0"/>
    <n v="0"/>
    <x v="1"/>
    <s v="First"/>
    <x v="3"/>
    <m/>
    <n v="30"/>
    <n v="30"/>
    <x v="0"/>
    <s v="1. Thermikflug"/>
    <m/>
    <m/>
    <m/>
  </r>
  <r>
    <x v="0"/>
    <d v="1990-07-14T00:00:00"/>
    <n v="7"/>
    <x v="0"/>
    <n v="0"/>
    <x v="1"/>
    <s v="First"/>
    <x v="0"/>
    <m/>
    <n v="8"/>
    <n v="8"/>
    <x v="0"/>
    <m/>
    <m/>
    <m/>
    <m/>
  </r>
  <r>
    <x v="0"/>
    <d v="1990-07-15T00:00:00"/>
    <n v="7"/>
    <x v="0"/>
    <n v="1"/>
    <x v="1"/>
    <s v="First"/>
    <x v="3"/>
    <m/>
    <n v="6"/>
    <n v="6"/>
    <x v="0"/>
    <m/>
    <m/>
    <m/>
    <m/>
  </r>
  <r>
    <x v="0"/>
    <d v="1990-07-15T00:00:00"/>
    <n v="7"/>
    <x v="0"/>
    <n v="0"/>
    <x v="1"/>
    <s v="First"/>
    <x v="0"/>
    <m/>
    <n v="20"/>
    <n v="20"/>
    <x v="0"/>
    <m/>
    <m/>
    <m/>
    <m/>
  </r>
  <r>
    <x v="0"/>
    <d v="1990-07-21T00:00:00"/>
    <n v="7"/>
    <x v="0"/>
    <n v="1"/>
    <x v="1"/>
    <s v="First"/>
    <x v="3"/>
    <m/>
    <n v="6"/>
    <n v="6"/>
    <x v="0"/>
    <s v="Wingover"/>
    <m/>
    <m/>
    <m/>
  </r>
  <r>
    <x v="0"/>
    <d v="1990-07-21T00:00:00"/>
    <n v="7"/>
    <x v="0"/>
    <n v="0"/>
    <x v="1"/>
    <s v="First"/>
    <x v="3"/>
    <m/>
    <n v="8"/>
    <n v="8"/>
    <x v="0"/>
    <m/>
    <m/>
    <m/>
    <m/>
  </r>
  <r>
    <x v="0"/>
    <d v="1990-07-21T00:00:00"/>
    <n v="7"/>
    <x v="0"/>
    <n v="0"/>
    <x v="1"/>
    <s v="First"/>
    <x v="3"/>
    <m/>
    <n v="8"/>
    <n v="8"/>
    <x v="0"/>
    <m/>
    <m/>
    <m/>
    <m/>
  </r>
  <r>
    <x v="0"/>
    <d v="1990-07-21T00:00:00"/>
    <n v="7"/>
    <x v="0"/>
    <n v="0"/>
    <x v="1"/>
    <s v="First"/>
    <x v="3"/>
    <m/>
    <n v="8"/>
    <n v="8"/>
    <x v="0"/>
    <m/>
    <m/>
    <m/>
    <m/>
  </r>
  <r>
    <x v="0"/>
    <d v="1990-07-22T00:00:00"/>
    <n v="7"/>
    <x v="0"/>
    <n v="1"/>
    <x v="1"/>
    <s v="First"/>
    <x v="3"/>
    <m/>
    <n v="10"/>
    <n v="10"/>
    <x v="0"/>
    <m/>
    <m/>
    <m/>
    <m/>
  </r>
  <r>
    <x v="0"/>
    <d v="1990-07-22T00:00:00"/>
    <n v="7"/>
    <x v="0"/>
    <n v="0"/>
    <x v="1"/>
    <s v="First"/>
    <x v="3"/>
    <n v="1"/>
    <n v="30"/>
    <n v="90"/>
    <x v="0"/>
    <s v="Wetterhornrundflug"/>
    <m/>
    <m/>
    <m/>
  </r>
  <r>
    <x v="0"/>
    <d v="1990-07-22T00:00:00"/>
    <n v="7"/>
    <x v="0"/>
    <n v="0"/>
    <x v="1"/>
    <s v="First"/>
    <x v="3"/>
    <m/>
    <n v="8"/>
    <n v="8"/>
    <x v="0"/>
    <s v="Start mit eingeklappter Seite"/>
    <m/>
    <m/>
    <m/>
  </r>
  <r>
    <x v="1"/>
    <d v="1990-07-23T00:00:00"/>
    <n v="7"/>
    <x v="0"/>
    <n v="1"/>
    <x v="1"/>
    <s v="Almenalp"/>
    <x v="2"/>
    <m/>
    <n v="6"/>
    <n v="6"/>
    <x v="1"/>
    <s v="1. Prüfungsflug ¬"/>
    <m/>
    <m/>
    <m/>
  </r>
  <r>
    <x v="1"/>
    <d v="1990-07-23T00:00:00"/>
    <n v="7"/>
    <x v="0"/>
    <n v="0"/>
    <x v="1"/>
    <s v="Almenalp"/>
    <x v="2"/>
    <m/>
    <n v="6"/>
    <n v="6"/>
    <x v="1"/>
    <s v="2. Prüfungsflug"/>
    <m/>
    <m/>
    <m/>
  </r>
  <r>
    <x v="1"/>
    <d v="1990-07-23T00:00:00"/>
    <n v="7"/>
    <x v="0"/>
    <n v="0"/>
    <x v="1"/>
    <s v="Almenalp"/>
    <x v="2"/>
    <m/>
    <n v="6"/>
    <n v="6"/>
    <x v="1"/>
    <s v="3. Prüfungsflug, bestanden :)"/>
    <m/>
    <m/>
    <m/>
  </r>
  <r>
    <x v="0"/>
    <d v="1990-07-28T00:00:00"/>
    <n v="7"/>
    <x v="0"/>
    <n v="1"/>
    <x v="1"/>
    <s v="First"/>
    <x v="3"/>
    <m/>
    <n v="12"/>
    <n v="12"/>
    <x v="2"/>
    <s v="erster Flug mit Vario"/>
    <m/>
    <m/>
    <m/>
  </r>
  <r>
    <x v="0"/>
    <d v="1990-07-28T00:00:00"/>
    <n v="7"/>
    <x v="0"/>
    <n v="0"/>
    <x v="1"/>
    <s v="First"/>
    <x v="3"/>
    <n v="2"/>
    <n v="0"/>
    <n v="120"/>
    <x v="2"/>
    <s v="First, Röti, Schwarzhorn, Gleckstein"/>
    <n v="5.9"/>
    <m/>
    <n v="3966"/>
  </r>
  <r>
    <x v="0"/>
    <d v="1990-07-29T00:00:00"/>
    <n v="7"/>
    <x v="0"/>
    <n v="1"/>
    <x v="1"/>
    <s v="First"/>
    <x v="3"/>
    <m/>
    <n v="12"/>
    <n v="12"/>
    <x v="2"/>
    <m/>
    <m/>
    <m/>
    <m/>
  </r>
  <r>
    <x v="0"/>
    <d v="1990-07-29T00:00:00"/>
    <n v="7"/>
    <x v="0"/>
    <n v="0"/>
    <x v="1"/>
    <s v="First"/>
    <x v="3"/>
    <m/>
    <n v="12"/>
    <n v="12"/>
    <x v="2"/>
    <m/>
    <m/>
    <m/>
    <m/>
  </r>
  <r>
    <x v="0"/>
    <d v="1990-08-02T00:00:00"/>
    <n v="8"/>
    <x v="0"/>
    <n v="1"/>
    <x v="1"/>
    <s v="First"/>
    <x v="3"/>
    <m/>
    <n v="14"/>
    <n v="14"/>
    <x v="2"/>
    <m/>
    <m/>
    <m/>
    <m/>
  </r>
  <r>
    <x v="0"/>
    <d v="1990-08-02T00:00:00"/>
    <n v="8"/>
    <x v="0"/>
    <n v="0"/>
    <x v="1"/>
    <s v="First"/>
    <x v="3"/>
    <n v="2"/>
    <n v="24"/>
    <n v="144"/>
    <x v="2"/>
    <s v="First, Faulhorn"/>
    <n v="4.3"/>
    <m/>
    <n v="3384"/>
  </r>
  <r>
    <x v="0"/>
    <d v="1990-08-03T00:00:00"/>
    <n v="8"/>
    <x v="0"/>
    <n v="1"/>
    <x v="1"/>
    <s v="First"/>
    <x v="3"/>
    <m/>
    <n v="12"/>
    <n v="12"/>
    <x v="2"/>
    <m/>
    <m/>
    <m/>
    <m/>
  </r>
  <r>
    <x v="0"/>
    <d v="1990-08-03T00:00:00"/>
    <n v="8"/>
    <x v="0"/>
    <n v="0"/>
    <x v="1"/>
    <s v="First"/>
    <x v="3"/>
    <n v="1"/>
    <n v="34"/>
    <n v="94"/>
    <x v="2"/>
    <s v="Soaren"/>
    <n v="3.3"/>
    <m/>
    <n v="2701"/>
  </r>
  <r>
    <x v="0"/>
    <d v="1990-08-11T00:00:00"/>
    <n v="8"/>
    <x v="0"/>
    <n v="1"/>
    <x v="1"/>
    <s v="First"/>
    <x v="3"/>
    <m/>
    <n v="12"/>
    <n v="12"/>
    <x v="2"/>
    <m/>
    <m/>
    <m/>
    <m/>
  </r>
  <r>
    <x v="0"/>
    <d v="1990-08-11T00:00:00"/>
    <n v="8"/>
    <x v="0"/>
    <n v="0"/>
    <x v="1"/>
    <s v="First"/>
    <x v="3"/>
    <m/>
    <n v="12"/>
    <n v="12"/>
    <x v="2"/>
    <m/>
    <m/>
    <m/>
    <m/>
  </r>
  <r>
    <x v="0"/>
    <d v="1990-08-12T00:00:00"/>
    <n v="8"/>
    <x v="0"/>
    <n v="1"/>
    <x v="1"/>
    <s v="Lauberhorn"/>
    <x v="4"/>
    <m/>
    <n v="7"/>
    <n v="7"/>
    <x v="2"/>
    <m/>
    <m/>
    <m/>
    <m/>
  </r>
  <r>
    <x v="0"/>
    <d v="1990-08-12T00:00:00"/>
    <n v="8"/>
    <x v="0"/>
    <n v="0"/>
    <x v="1"/>
    <s v="Lauberhorn"/>
    <x v="5"/>
    <m/>
    <n v="20"/>
    <n v="20"/>
    <x v="2"/>
    <m/>
    <m/>
    <m/>
    <m/>
  </r>
  <r>
    <x v="0"/>
    <d v="1990-08-12T00:00:00"/>
    <n v="8"/>
    <x v="0"/>
    <n v="0"/>
    <x v="1"/>
    <s v="First"/>
    <x v="3"/>
    <m/>
    <n v="12"/>
    <n v="12"/>
    <x v="2"/>
    <m/>
    <m/>
    <m/>
    <m/>
  </r>
  <r>
    <x v="0"/>
    <d v="1990-08-18T00:00:00"/>
    <n v="8"/>
    <x v="0"/>
    <n v="1"/>
    <x v="1"/>
    <s v="First"/>
    <x v="3"/>
    <m/>
    <n v="12"/>
    <n v="12"/>
    <x v="2"/>
    <m/>
    <m/>
    <m/>
    <m/>
  </r>
  <r>
    <x v="0"/>
    <d v="1990-08-18T00:00:00"/>
    <n v="8"/>
    <x v="0"/>
    <n v="0"/>
    <x v="1"/>
    <s v="First"/>
    <x v="3"/>
    <m/>
    <n v="12"/>
    <n v="12"/>
    <x v="2"/>
    <m/>
    <m/>
    <m/>
    <m/>
  </r>
  <r>
    <x v="0"/>
    <d v="1990-08-19T00:00:00"/>
    <n v="8"/>
    <x v="0"/>
    <n v="1"/>
    <x v="1"/>
    <s v="First"/>
    <x v="6"/>
    <m/>
    <n v="6"/>
    <n v="6"/>
    <x v="2"/>
    <m/>
    <m/>
    <m/>
    <m/>
  </r>
  <r>
    <x v="0"/>
    <d v="1990-08-19T00:00:00"/>
    <n v="8"/>
    <x v="0"/>
    <n v="0"/>
    <x v="1"/>
    <s v="First"/>
    <x v="3"/>
    <m/>
    <n v="12"/>
    <n v="12"/>
    <x v="2"/>
    <m/>
    <m/>
    <m/>
    <m/>
  </r>
  <r>
    <x v="0"/>
    <d v="1990-08-19T00:00:00"/>
    <n v="8"/>
    <x v="0"/>
    <n v="0"/>
    <x v="1"/>
    <s v="First"/>
    <x v="3"/>
    <m/>
    <n v="12"/>
    <n v="12"/>
    <x v="2"/>
    <m/>
    <m/>
    <m/>
    <m/>
  </r>
  <r>
    <x v="0"/>
    <d v="1990-09-22T00:00:00"/>
    <n v="9"/>
    <x v="0"/>
    <n v="1"/>
    <x v="1"/>
    <s v="Waldspitz"/>
    <x v="5"/>
    <m/>
    <n v="12"/>
    <n v="12"/>
    <x v="2"/>
    <m/>
    <m/>
    <m/>
    <m/>
  </r>
  <r>
    <x v="0"/>
    <d v="1990-09-29T00:00:00"/>
    <n v="9"/>
    <x v="0"/>
    <n v="1"/>
    <x v="1"/>
    <s v="Teufi"/>
    <x v="7"/>
    <m/>
    <n v="12"/>
    <n v="12"/>
    <x v="2"/>
    <s v="Griwa Cup"/>
    <m/>
    <m/>
    <m/>
  </r>
  <r>
    <x v="0"/>
    <d v="1990-09-29T00:00:00"/>
    <n v="9"/>
    <x v="0"/>
    <n v="0"/>
    <x v="1"/>
    <s v="First"/>
    <x v="3"/>
    <m/>
    <n v="12"/>
    <n v="12"/>
    <x v="2"/>
    <m/>
    <m/>
    <m/>
    <m/>
  </r>
  <r>
    <x v="0"/>
    <d v="1990-09-30T00:00:00"/>
    <n v="9"/>
    <x v="0"/>
    <n v="1"/>
    <x v="1"/>
    <s v="First"/>
    <x v="7"/>
    <m/>
    <n v="12"/>
    <n v="12"/>
    <x v="2"/>
    <s v="Griwa Cup"/>
    <m/>
    <m/>
    <m/>
  </r>
  <r>
    <x v="0"/>
    <d v="1990-09-30T00:00:00"/>
    <n v="9"/>
    <x v="0"/>
    <n v="0"/>
    <x v="1"/>
    <s v="Waldspitz"/>
    <x v="3"/>
    <m/>
    <n v="11"/>
    <n v="11"/>
    <x v="2"/>
    <m/>
    <m/>
    <m/>
    <m/>
  </r>
  <r>
    <x v="0"/>
    <d v="1990-10-14T00:00:00"/>
    <n v="10"/>
    <x v="0"/>
    <n v="1"/>
    <x v="1"/>
    <s v="First"/>
    <x v="3"/>
    <m/>
    <n v="12"/>
    <n v="12"/>
    <x v="2"/>
    <m/>
    <m/>
    <m/>
    <m/>
  </r>
  <r>
    <x v="0"/>
    <d v="1990-10-14T00:00:00"/>
    <n v="10"/>
    <x v="0"/>
    <n v="0"/>
    <x v="1"/>
    <s v="First"/>
    <x v="3"/>
    <m/>
    <n v="12"/>
    <n v="12"/>
    <x v="2"/>
    <m/>
    <m/>
    <m/>
    <m/>
  </r>
  <r>
    <x v="0"/>
    <d v="1991-06-15T00:00:00"/>
    <n v="6"/>
    <x v="1"/>
    <n v="1"/>
    <x v="1"/>
    <s v="First"/>
    <x v="3"/>
    <m/>
    <n v="15"/>
    <n v="15"/>
    <x v="2"/>
    <m/>
    <m/>
    <m/>
    <m/>
  </r>
  <r>
    <x v="0"/>
    <d v="1991-06-15T00:00:00"/>
    <n v="6"/>
    <x v="1"/>
    <n v="0"/>
    <x v="1"/>
    <s v="First"/>
    <x v="3"/>
    <m/>
    <n v="15"/>
    <n v="15"/>
    <x v="2"/>
    <m/>
    <m/>
    <m/>
    <m/>
  </r>
  <r>
    <x v="0"/>
    <d v="1991-06-15T00:00:00"/>
    <n v="6"/>
    <x v="1"/>
    <n v="0"/>
    <x v="1"/>
    <s v="First"/>
    <x v="3"/>
    <m/>
    <n v="20"/>
    <n v="20"/>
    <x v="2"/>
    <s v="Böig"/>
    <m/>
    <m/>
    <m/>
  </r>
  <r>
    <x v="0"/>
    <d v="1991-06-26T00:00:00"/>
    <n v="6"/>
    <x v="1"/>
    <n v="1"/>
    <x v="1"/>
    <s v="Ebenalp"/>
    <x v="8"/>
    <m/>
    <n v="8"/>
    <n v="8"/>
    <x v="2"/>
    <m/>
    <m/>
    <m/>
    <m/>
  </r>
  <r>
    <x v="0"/>
    <d v="1991-06-26T00:00:00"/>
    <n v="6"/>
    <x v="1"/>
    <n v="0"/>
    <x v="1"/>
    <s v="Ebenalp"/>
    <x v="8"/>
    <m/>
    <n v="12"/>
    <n v="12"/>
    <x v="2"/>
    <s v="leichte Thermik"/>
    <m/>
    <m/>
    <m/>
  </r>
  <r>
    <x v="0"/>
    <d v="1991-06-26T00:00:00"/>
    <n v="6"/>
    <x v="1"/>
    <n v="0"/>
    <x v="1"/>
    <s v="Ebenalp"/>
    <x v="8"/>
    <m/>
    <n v="8"/>
    <n v="8"/>
    <x v="2"/>
    <m/>
    <m/>
    <m/>
    <m/>
  </r>
  <r>
    <x v="0"/>
    <d v="1991-06-30T00:00:00"/>
    <n v="6"/>
    <x v="1"/>
    <n v="1"/>
    <x v="1"/>
    <s v="First"/>
    <x v="3"/>
    <m/>
    <n v="12"/>
    <n v="12"/>
    <x v="2"/>
    <m/>
    <m/>
    <m/>
    <m/>
  </r>
  <r>
    <x v="0"/>
    <d v="1991-06-30T00:00:00"/>
    <n v="6"/>
    <x v="1"/>
    <n v="0"/>
    <x v="1"/>
    <s v="First"/>
    <x v="3"/>
    <m/>
    <n v="12"/>
    <n v="12"/>
    <x v="2"/>
    <s v="fast Zusammenstoss"/>
    <m/>
    <m/>
    <m/>
  </r>
  <r>
    <x v="0"/>
    <d v="1991-06-30T00:00:00"/>
    <n v="6"/>
    <x v="1"/>
    <n v="0"/>
    <x v="1"/>
    <s v="First"/>
    <x v="3"/>
    <m/>
    <n v="12"/>
    <n v="12"/>
    <x v="2"/>
    <m/>
    <m/>
    <m/>
    <m/>
  </r>
  <r>
    <x v="0"/>
    <d v="1991-07-07T00:00:00"/>
    <n v="7"/>
    <x v="1"/>
    <n v="1"/>
    <x v="1"/>
    <s v="Hoher Kasten"/>
    <x v="9"/>
    <m/>
    <n v="10"/>
    <n v="10"/>
    <x v="2"/>
    <s v="leichte Thermik"/>
    <m/>
    <m/>
    <m/>
  </r>
  <r>
    <x v="0"/>
    <d v="1991-07-07T00:00:00"/>
    <n v="7"/>
    <x v="1"/>
    <n v="0"/>
    <x v="1"/>
    <s v="Hoher Kasten"/>
    <x v="9"/>
    <m/>
    <n v="10"/>
    <n v="10"/>
    <x v="2"/>
    <s v="Sackflug!"/>
    <m/>
    <m/>
    <m/>
  </r>
  <r>
    <x v="0"/>
    <d v="1991-07-28T00:00:00"/>
    <n v="7"/>
    <x v="1"/>
    <n v="1"/>
    <x v="1"/>
    <s v="First"/>
    <x v="3"/>
    <m/>
    <n v="12"/>
    <n v="12"/>
    <x v="2"/>
    <m/>
    <m/>
    <m/>
    <m/>
  </r>
  <r>
    <x v="0"/>
    <d v="1991-07-28T00:00:00"/>
    <n v="7"/>
    <x v="1"/>
    <n v="0"/>
    <x v="1"/>
    <s v="First"/>
    <x v="3"/>
    <m/>
    <n v="20"/>
    <n v="20"/>
    <x v="2"/>
    <m/>
    <m/>
    <m/>
    <m/>
  </r>
  <r>
    <x v="0"/>
    <d v="1991-08-05T00:00:00"/>
    <n v="8"/>
    <x v="1"/>
    <n v="1"/>
    <x v="1"/>
    <s v="First"/>
    <x v="3"/>
    <m/>
    <n v="20"/>
    <n v="20"/>
    <x v="2"/>
    <m/>
    <m/>
    <m/>
    <m/>
  </r>
  <r>
    <x v="0"/>
    <d v="1991-08-18T00:00:00"/>
    <n v="8"/>
    <x v="1"/>
    <n v="1"/>
    <x v="1"/>
    <s v="First"/>
    <x v="0"/>
    <m/>
    <n v="14"/>
    <n v="14"/>
    <x v="2"/>
    <s v="Abgesoffen"/>
    <m/>
    <m/>
    <m/>
  </r>
  <r>
    <x v="0"/>
    <d v="1991-08-18T00:00:00"/>
    <n v="8"/>
    <x v="1"/>
    <n v="0"/>
    <x v="1"/>
    <s v="First"/>
    <x v="3"/>
    <m/>
    <n v="11"/>
    <n v="11"/>
    <x v="2"/>
    <s v="letzte Fahrt mit der Firstbahn"/>
    <m/>
    <m/>
    <m/>
  </r>
  <r>
    <x v="1"/>
    <d v="1992-06-13T00:00:00"/>
    <n v="6"/>
    <x v="2"/>
    <n v="1"/>
    <x v="1"/>
    <s v="Hämikon"/>
    <x v="10"/>
    <m/>
    <n v="2"/>
    <n v="2"/>
    <x v="2"/>
    <s v="Windenstart"/>
    <m/>
    <m/>
    <m/>
  </r>
  <r>
    <x v="1"/>
    <d v="1992-06-13T00:00:00"/>
    <n v="6"/>
    <x v="2"/>
    <n v="0"/>
    <x v="1"/>
    <s v="Hämikon"/>
    <x v="10"/>
    <m/>
    <n v="2"/>
    <n v="2"/>
    <x v="2"/>
    <s v="Windenstart"/>
    <m/>
    <m/>
    <m/>
  </r>
  <r>
    <x v="0"/>
    <d v="1993-07-28T00:00:00"/>
    <n v="7"/>
    <x v="3"/>
    <n v="1"/>
    <x v="1"/>
    <s v="First"/>
    <x v="3"/>
    <m/>
    <n v="10"/>
    <n v="10"/>
    <x v="2"/>
    <m/>
    <m/>
    <m/>
    <m/>
  </r>
  <r>
    <x v="0"/>
    <d v="1993-07-29T00:00:00"/>
    <n v="7"/>
    <x v="3"/>
    <n v="1"/>
    <x v="1"/>
    <s v="First"/>
    <x v="3"/>
    <m/>
    <n v="10"/>
    <n v="10"/>
    <x v="2"/>
    <m/>
    <m/>
    <m/>
    <m/>
  </r>
  <r>
    <x v="0"/>
    <d v="1993-07-30T00:00:00"/>
    <n v="7"/>
    <x v="3"/>
    <n v="1"/>
    <x v="1"/>
    <s v="First"/>
    <x v="3"/>
    <m/>
    <n v="10"/>
    <n v="10"/>
    <x v="2"/>
    <m/>
    <m/>
    <m/>
    <m/>
  </r>
  <r>
    <x v="0"/>
    <d v="1993-08-15T00:00:00"/>
    <n v="8"/>
    <x v="3"/>
    <n v="1"/>
    <x v="1"/>
    <s v="Stanserhorn"/>
    <x v="11"/>
    <m/>
    <n v="38"/>
    <n v="38"/>
    <x v="2"/>
    <m/>
    <m/>
    <m/>
    <m/>
  </r>
  <r>
    <x v="0"/>
    <d v="1993-08-29T00:00:00"/>
    <n v="8"/>
    <x v="3"/>
    <n v="1"/>
    <x v="1"/>
    <s v="Stanserhorn"/>
    <x v="11"/>
    <m/>
    <n v="10"/>
    <n v="10"/>
    <x v="2"/>
    <s v="Aussenlandung, 1.5 Std Marsch"/>
    <m/>
    <m/>
    <m/>
  </r>
  <r>
    <x v="0"/>
    <d v="1993-09-02T00:00:00"/>
    <n v="9"/>
    <x v="3"/>
    <n v="1"/>
    <x v="1"/>
    <s v="Stanserhorn"/>
    <x v="11"/>
    <m/>
    <n v="12"/>
    <n v="12"/>
    <x v="2"/>
    <m/>
    <m/>
    <m/>
    <m/>
  </r>
  <r>
    <x v="0"/>
    <d v="1993-09-07T00:00:00"/>
    <n v="9"/>
    <x v="3"/>
    <n v="1"/>
    <x v="1"/>
    <s v="Stanserhorn"/>
    <x v="11"/>
    <m/>
    <n v="12"/>
    <n v="12"/>
    <x v="2"/>
    <s v="3 Dänen mit Matrazen wollten auch starten"/>
    <m/>
    <m/>
    <m/>
  </r>
  <r>
    <x v="0"/>
    <d v="1993-09-21T00:00:00"/>
    <n v="9"/>
    <x v="3"/>
    <n v="1"/>
    <x v="1"/>
    <s v="Stanserhorn"/>
    <x v="12"/>
    <m/>
    <n v="10"/>
    <n v="10"/>
    <x v="2"/>
    <m/>
    <m/>
    <m/>
    <m/>
  </r>
  <r>
    <x v="0"/>
    <d v="1994-05-28T00:00:00"/>
    <n v="5"/>
    <x v="4"/>
    <n v="1"/>
    <x v="1"/>
    <s v="First"/>
    <x v="5"/>
    <m/>
    <n v="13"/>
    <n v="13"/>
    <x v="2"/>
    <m/>
    <m/>
    <m/>
    <m/>
  </r>
  <r>
    <x v="0"/>
    <d v="1994-06-24T00:00:00"/>
    <n v="6"/>
    <x v="4"/>
    <n v="1"/>
    <x v="1"/>
    <s v="Rigi Staffelhöhe"/>
    <x v="13"/>
    <m/>
    <n v="15"/>
    <n v="15"/>
    <x v="2"/>
    <m/>
    <m/>
    <m/>
    <m/>
  </r>
  <r>
    <x v="0"/>
    <d v="1994-06-24T00:00:00"/>
    <n v="6"/>
    <x v="4"/>
    <n v="0"/>
    <x v="1"/>
    <s v="Rigi Staffelhöhe"/>
    <x v="13"/>
    <m/>
    <n v="15"/>
    <n v="15"/>
    <x v="2"/>
    <m/>
    <m/>
    <m/>
    <m/>
  </r>
  <r>
    <x v="0"/>
    <d v="1994-07-15T00:00:00"/>
    <n v="7"/>
    <x v="4"/>
    <n v="1"/>
    <x v="1"/>
    <s v="Brändlen"/>
    <x v="14"/>
    <m/>
    <n v="16"/>
    <n v="16"/>
    <x v="2"/>
    <m/>
    <m/>
    <m/>
    <m/>
  </r>
  <r>
    <x v="0"/>
    <d v="1994-07-15T00:00:00"/>
    <n v="7"/>
    <x v="4"/>
    <n v="0"/>
    <x v="1"/>
    <s v="Brändlen"/>
    <x v="14"/>
    <m/>
    <n v="15"/>
    <n v="15"/>
    <x v="2"/>
    <s v="Forelle gekauft"/>
    <m/>
    <m/>
    <m/>
  </r>
  <r>
    <x v="1"/>
    <d v="1994-08-06T00:00:00"/>
    <n v="8"/>
    <x v="4"/>
    <n v="1"/>
    <x v="1"/>
    <s v="Eggberge"/>
    <x v="15"/>
    <m/>
    <n v="15"/>
    <n v="15"/>
    <x v="3"/>
    <m/>
    <m/>
    <m/>
    <m/>
  </r>
  <r>
    <x v="1"/>
    <d v="1994-08-06T00:00:00"/>
    <n v="8"/>
    <x v="4"/>
    <n v="0"/>
    <x v="1"/>
    <s v="Eggberge"/>
    <x v="15"/>
    <m/>
    <n v="15"/>
    <n v="15"/>
    <x v="3"/>
    <m/>
    <m/>
    <m/>
    <m/>
  </r>
  <r>
    <x v="1"/>
    <d v="1994-08-07T00:00:00"/>
    <n v="8"/>
    <x v="4"/>
    <n v="1"/>
    <x v="1"/>
    <s v="Eggberge"/>
    <x v="15"/>
    <m/>
    <n v="15"/>
    <n v="15"/>
    <x v="3"/>
    <m/>
    <m/>
    <m/>
    <m/>
  </r>
  <r>
    <x v="1"/>
    <d v="1994-08-07T00:00:00"/>
    <n v="8"/>
    <x v="4"/>
    <n v="0"/>
    <x v="1"/>
    <s v="Eggberge"/>
    <x v="15"/>
    <m/>
    <n v="15"/>
    <n v="15"/>
    <x v="3"/>
    <m/>
    <m/>
    <m/>
    <m/>
  </r>
  <r>
    <x v="0"/>
    <d v="1994-08-13T00:00:00"/>
    <n v="8"/>
    <x v="4"/>
    <n v="1"/>
    <x v="2"/>
    <s v="Haldi"/>
    <x v="16"/>
    <m/>
    <n v="10"/>
    <n v="10"/>
    <x v="2"/>
    <m/>
    <m/>
    <m/>
    <m/>
  </r>
  <r>
    <x v="0"/>
    <d v="1994-08-13T00:00:00"/>
    <n v="8"/>
    <x v="4"/>
    <n v="0"/>
    <x v="2"/>
    <s v="Haldi"/>
    <x v="16"/>
    <m/>
    <n v="15"/>
    <n v="15"/>
    <x v="2"/>
    <m/>
    <m/>
    <m/>
    <m/>
  </r>
  <r>
    <x v="0"/>
    <d v="1994-08-13T00:00:00"/>
    <n v="8"/>
    <x v="4"/>
    <n v="0"/>
    <x v="2"/>
    <s v="Haldi"/>
    <x v="16"/>
    <m/>
    <n v="20"/>
    <n v="20"/>
    <x v="2"/>
    <m/>
    <m/>
    <m/>
    <m/>
  </r>
  <r>
    <x v="0"/>
    <d v="1994-08-20T00:00:00"/>
    <n v="8"/>
    <x v="4"/>
    <n v="1"/>
    <x v="3"/>
    <s v="First"/>
    <x v="17"/>
    <m/>
    <n v="20"/>
    <n v="20"/>
    <x v="2"/>
    <m/>
    <m/>
    <m/>
    <m/>
  </r>
  <r>
    <x v="0"/>
    <d v="1994-08-20T00:00:00"/>
    <n v="8"/>
    <x v="4"/>
    <n v="0"/>
    <x v="3"/>
    <s v="First"/>
    <x v="17"/>
    <m/>
    <n v="20"/>
    <n v="20"/>
    <x v="2"/>
    <m/>
    <m/>
    <m/>
    <m/>
  </r>
  <r>
    <x v="0"/>
    <d v="1994-09-05T00:00:00"/>
    <n v="9"/>
    <x v="4"/>
    <n v="1"/>
    <x v="1"/>
    <s v="Niederbauen"/>
    <x v="18"/>
    <m/>
    <n v="8"/>
    <n v="8"/>
    <x v="2"/>
    <m/>
    <m/>
    <m/>
    <m/>
  </r>
  <r>
    <x v="0"/>
    <d v="1994-09-05T00:00:00"/>
    <n v="9"/>
    <x v="4"/>
    <n v="0"/>
    <x v="1"/>
    <s v="Niederbauen"/>
    <x v="18"/>
    <m/>
    <n v="15"/>
    <n v="15"/>
    <x v="2"/>
    <m/>
    <m/>
    <m/>
    <m/>
  </r>
  <r>
    <x v="0"/>
    <d v="1994-09-05T00:00:00"/>
    <n v="9"/>
    <x v="4"/>
    <n v="0"/>
    <x v="1"/>
    <s v="Niederbauen"/>
    <x v="18"/>
    <m/>
    <n v="8"/>
    <n v="8"/>
    <x v="2"/>
    <m/>
    <m/>
    <m/>
    <m/>
  </r>
  <r>
    <x v="0"/>
    <d v="1994-09-20T00:00:00"/>
    <n v="9"/>
    <x v="4"/>
    <n v="1"/>
    <x v="1"/>
    <s v="Musenalp"/>
    <x v="12"/>
    <m/>
    <n v="10"/>
    <n v="10"/>
    <x v="2"/>
    <m/>
    <m/>
    <m/>
    <m/>
  </r>
  <r>
    <x v="0"/>
    <d v="1994-09-20T00:00:00"/>
    <n v="9"/>
    <x v="4"/>
    <n v="0"/>
    <x v="1"/>
    <s v="Stanserhorn"/>
    <x v="12"/>
    <m/>
    <n v="12"/>
    <n v="12"/>
    <x v="2"/>
    <s v="Deltastartplatz"/>
    <m/>
    <m/>
    <m/>
  </r>
  <r>
    <x v="0"/>
    <d v="1995-05-06T00:00:00"/>
    <n v="5"/>
    <x v="5"/>
    <n v="1"/>
    <x v="1"/>
    <s v="Niederbauen"/>
    <x v="18"/>
    <m/>
    <n v="19"/>
    <n v="19"/>
    <x v="2"/>
    <m/>
    <m/>
    <m/>
    <m/>
  </r>
  <r>
    <x v="0"/>
    <d v="1995-05-06T00:00:00"/>
    <n v="5"/>
    <x v="5"/>
    <n v="0"/>
    <x v="1"/>
    <s v="Niederbauen"/>
    <x v="18"/>
    <m/>
    <n v="51"/>
    <n v="51"/>
    <x v="2"/>
    <m/>
    <m/>
    <m/>
    <m/>
  </r>
  <r>
    <x v="0"/>
    <d v="1995-06-03T00:00:00"/>
    <n v="6"/>
    <x v="5"/>
    <n v="1"/>
    <x v="3"/>
    <s v="Niederbauen"/>
    <x v="18"/>
    <m/>
    <n v="12"/>
    <n v="12"/>
    <x v="2"/>
    <s v="Eingeflogen --&gt; Vrille"/>
    <m/>
    <m/>
    <m/>
  </r>
  <r>
    <x v="0"/>
    <d v="1995-06-07T00:00:00"/>
    <n v="6"/>
    <x v="5"/>
    <n v="1"/>
    <x v="3"/>
    <s v="Niederbauen"/>
    <x v="18"/>
    <m/>
    <n v="8"/>
    <n v="8"/>
    <x v="2"/>
    <m/>
    <m/>
    <m/>
    <m/>
  </r>
  <r>
    <x v="0"/>
    <d v="1995-06-07T00:00:00"/>
    <n v="6"/>
    <x v="5"/>
    <n v="0"/>
    <x v="3"/>
    <s v="Niederbauen"/>
    <x v="18"/>
    <m/>
    <n v="8"/>
    <n v="8"/>
    <x v="2"/>
    <m/>
    <m/>
    <m/>
    <m/>
  </r>
  <r>
    <x v="0"/>
    <d v="1995-06-17T00:00:00"/>
    <n v="6"/>
    <x v="5"/>
    <n v="1"/>
    <x v="3"/>
    <s v="Niederbauen"/>
    <x v="18"/>
    <m/>
    <n v="6"/>
    <n v="6"/>
    <x v="2"/>
    <m/>
    <m/>
    <m/>
    <m/>
  </r>
  <r>
    <x v="0"/>
    <d v="1995-06-17T00:00:00"/>
    <n v="6"/>
    <x v="5"/>
    <n v="0"/>
    <x v="3"/>
    <s v="Niederbauen"/>
    <x v="18"/>
    <m/>
    <n v="9"/>
    <n v="9"/>
    <x v="2"/>
    <m/>
    <m/>
    <m/>
    <m/>
  </r>
  <r>
    <x v="0"/>
    <d v="1995-06-17T00:00:00"/>
    <n v="6"/>
    <x v="5"/>
    <n v="0"/>
    <x v="3"/>
    <s v="Niederbauen"/>
    <x v="18"/>
    <m/>
    <n v="32"/>
    <n v="32"/>
    <x v="2"/>
    <m/>
    <m/>
    <m/>
    <m/>
  </r>
  <r>
    <x v="0"/>
    <d v="1995-06-26T00:00:00"/>
    <n v="6"/>
    <x v="5"/>
    <n v="1"/>
    <x v="3"/>
    <s v="Heimat"/>
    <x v="19"/>
    <m/>
    <n v="19"/>
    <n v="19"/>
    <x v="4"/>
    <s v="Hansi, Charlotte, Emilio, Chregu, Carlo, Peter"/>
    <m/>
    <m/>
    <m/>
  </r>
  <r>
    <x v="0"/>
    <d v="1995-06-26T00:00:00"/>
    <n v="6"/>
    <x v="5"/>
    <n v="0"/>
    <x v="3"/>
    <s v="Heimat"/>
    <x v="19"/>
    <n v="1"/>
    <n v="31"/>
    <n v="91"/>
    <x v="4"/>
    <m/>
    <m/>
    <m/>
    <m/>
  </r>
  <r>
    <x v="0"/>
    <d v="1995-06-27T00:00:00"/>
    <n v="6"/>
    <x v="5"/>
    <n v="1"/>
    <x v="3"/>
    <s v="Tournelle"/>
    <x v="20"/>
    <m/>
    <n v="7"/>
    <n v="7"/>
    <x v="4"/>
    <m/>
    <m/>
    <m/>
    <m/>
  </r>
  <r>
    <x v="0"/>
    <d v="1995-06-27T00:00:00"/>
    <n v="6"/>
    <x v="5"/>
    <n v="0"/>
    <x v="3"/>
    <s v="Les Ruinettes"/>
    <x v="20"/>
    <n v="1"/>
    <n v="3"/>
    <n v="63"/>
    <x v="4"/>
    <m/>
    <n v="4.4000000000000004"/>
    <m/>
    <n v="3194"/>
  </r>
  <r>
    <x v="0"/>
    <d v="1995-06-28T00:00:00"/>
    <n v="6"/>
    <x v="5"/>
    <n v="1"/>
    <x v="3"/>
    <s v="Tournelle"/>
    <x v="21"/>
    <m/>
    <n v="17"/>
    <n v="17"/>
    <x v="4"/>
    <m/>
    <m/>
    <m/>
    <m/>
  </r>
  <r>
    <x v="0"/>
    <d v="1995-06-28T00:00:00"/>
    <n v="6"/>
    <x v="5"/>
    <n v="0"/>
    <x v="3"/>
    <s v="Les Ruinettes"/>
    <x v="21"/>
    <m/>
    <n v="45"/>
    <n v="45"/>
    <x v="4"/>
    <m/>
    <m/>
    <m/>
    <m/>
  </r>
  <r>
    <x v="0"/>
    <d v="1995-06-29T00:00:00"/>
    <n v="6"/>
    <x v="5"/>
    <n v="1"/>
    <x v="3"/>
    <s v="Heimat"/>
    <x v="22"/>
    <m/>
    <n v="54"/>
    <n v="54"/>
    <x v="4"/>
    <s v="1. Streckenflug"/>
    <m/>
    <m/>
    <m/>
  </r>
  <r>
    <x v="0"/>
    <d v="1995-06-30T00:00:00"/>
    <n v="6"/>
    <x v="5"/>
    <n v="1"/>
    <x v="3"/>
    <s v="Grand Montana/Belaloi"/>
    <x v="23"/>
    <m/>
    <n v="54"/>
    <n v="54"/>
    <x v="4"/>
    <m/>
    <m/>
    <m/>
    <m/>
  </r>
  <r>
    <x v="0"/>
    <d v="1995-07-01T00:00:00"/>
    <n v="7"/>
    <x v="5"/>
    <n v="1"/>
    <x v="3"/>
    <s v="Heimat"/>
    <x v="19"/>
    <n v="2"/>
    <n v="34"/>
    <n v="154"/>
    <x v="4"/>
    <s v="Siedelhorn retour"/>
    <m/>
    <m/>
    <m/>
  </r>
  <r>
    <x v="0"/>
    <d v="1995-07-06T00:00:00"/>
    <n v="7"/>
    <x v="5"/>
    <n v="1"/>
    <x v="3"/>
    <s v="Niederbauen"/>
    <x v="18"/>
    <m/>
    <n v="10"/>
    <n v="10"/>
    <x v="2"/>
    <m/>
    <m/>
    <m/>
    <m/>
  </r>
  <r>
    <x v="0"/>
    <d v="1995-07-08T00:00:00"/>
    <n v="7"/>
    <x v="5"/>
    <n v="1"/>
    <x v="3"/>
    <s v="Niederbauen"/>
    <x v="18"/>
    <m/>
    <n v="10"/>
    <n v="10"/>
    <x v="2"/>
    <s v="Zusammenstoss mit Kuh"/>
    <m/>
    <m/>
    <m/>
  </r>
  <r>
    <x v="0"/>
    <d v="1995-07-08T00:00:00"/>
    <n v="7"/>
    <x v="5"/>
    <n v="0"/>
    <x v="3"/>
    <s v="Niederbauen"/>
    <x v="18"/>
    <m/>
    <n v="10"/>
    <n v="10"/>
    <x v="2"/>
    <m/>
    <m/>
    <m/>
    <m/>
  </r>
  <r>
    <x v="0"/>
    <d v="1995-07-25T00:00:00"/>
    <n v="7"/>
    <x v="5"/>
    <n v="1"/>
    <x v="3"/>
    <s v="Stanserhorn"/>
    <x v="11"/>
    <m/>
    <n v="12"/>
    <n v="12"/>
    <x v="2"/>
    <m/>
    <m/>
    <m/>
    <m/>
  </r>
  <r>
    <x v="2"/>
    <d v="1995-07-28T00:00:00"/>
    <n v="7"/>
    <x v="5"/>
    <n v="0"/>
    <x v="4"/>
    <m/>
    <x v="24"/>
    <m/>
    <m/>
    <n v="0"/>
    <x v="2"/>
    <s v="Akroflug mit Hansi"/>
    <m/>
    <m/>
    <m/>
  </r>
  <r>
    <x v="0"/>
    <d v="1995-07-29T00:00:00"/>
    <n v="7"/>
    <x v="5"/>
    <n v="1"/>
    <x v="3"/>
    <s v="Heimat"/>
    <x v="19"/>
    <m/>
    <n v="20"/>
    <n v="20"/>
    <x v="2"/>
    <m/>
    <m/>
    <m/>
    <m/>
  </r>
  <r>
    <x v="0"/>
    <d v="1995-07-29T00:00:00"/>
    <n v="7"/>
    <x v="5"/>
    <n v="0"/>
    <x v="3"/>
    <s v="Heimat"/>
    <x v="19"/>
    <n v="1"/>
    <n v="1"/>
    <n v="61"/>
    <x v="2"/>
    <m/>
    <m/>
    <m/>
    <m/>
  </r>
  <r>
    <x v="0"/>
    <d v="1995-08-05T00:00:00"/>
    <n v="8"/>
    <x v="5"/>
    <n v="1"/>
    <x v="3"/>
    <s v="First"/>
    <x v="17"/>
    <n v="1"/>
    <n v="32"/>
    <n v="92"/>
    <x v="2"/>
    <s v="Röthi, Schwarzhorn, Gleckstein, Pfingstegg (Baum)"/>
    <m/>
    <m/>
    <m/>
  </r>
  <r>
    <x v="0"/>
    <d v="1996-05-26T00:00:00"/>
    <n v="5"/>
    <x v="6"/>
    <n v="1"/>
    <x v="3"/>
    <s v="Grindel"/>
    <x v="3"/>
    <m/>
    <n v="10"/>
    <n v="10"/>
    <x v="2"/>
    <m/>
    <m/>
    <m/>
    <m/>
  </r>
  <r>
    <x v="0"/>
    <d v="1996-06-18T00:00:00"/>
    <n v="6"/>
    <x v="6"/>
    <n v="1"/>
    <x v="3"/>
    <s v="Gerlizen A"/>
    <x v="25"/>
    <m/>
    <n v="40"/>
    <n v="40"/>
    <x v="2"/>
    <m/>
    <m/>
    <m/>
    <m/>
  </r>
  <r>
    <x v="0"/>
    <d v="1996-07-29T00:00:00"/>
    <n v="7"/>
    <x v="6"/>
    <n v="1"/>
    <x v="3"/>
    <s v="First"/>
    <x v="5"/>
    <m/>
    <n v="27"/>
    <n v="27"/>
    <x v="2"/>
    <s v="Röthi, Simmeli, Mettenberg"/>
    <m/>
    <m/>
    <m/>
  </r>
  <r>
    <x v="0"/>
    <d v="1996-07-31T00:00:00"/>
    <n v="7"/>
    <x v="6"/>
    <n v="1"/>
    <x v="3"/>
    <s v="First"/>
    <x v="17"/>
    <n v="1"/>
    <n v="48"/>
    <n v="108"/>
    <x v="2"/>
    <s v="Röthi, Simmeli, Faulhorn, Schwarzhorn"/>
    <m/>
    <m/>
    <n v="3004"/>
  </r>
  <r>
    <x v="0"/>
    <d v="1996-08-01T00:00:00"/>
    <n v="8"/>
    <x v="6"/>
    <n v="1"/>
    <x v="3"/>
    <s v="First"/>
    <x v="17"/>
    <n v="1"/>
    <n v="50"/>
    <n v="110"/>
    <x v="2"/>
    <s v="Gr. Scheidegg, Pfingsegg"/>
    <m/>
    <m/>
    <n v="3000"/>
  </r>
  <r>
    <x v="0"/>
    <d v="1996-09-10T00:00:00"/>
    <n v="9"/>
    <x v="6"/>
    <n v="1"/>
    <x v="3"/>
    <s v="Niederbauen"/>
    <x v="18"/>
    <m/>
    <n v="10"/>
    <n v="10"/>
    <x v="2"/>
    <m/>
    <m/>
    <m/>
    <m/>
  </r>
  <r>
    <x v="0"/>
    <d v="1996-09-10T00:00:00"/>
    <n v="9"/>
    <x v="6"/>
    <n v="0"/>
    <x v="3"/>
    <s v="Niederbauen"/>
    <x v="18"/>
    <m/>
    <n v="6"/>
    <n v="6"/>
    <x v="2"/>
    <m/>
    <m/>
    <m/>
    <m/>
  </r>
  <r>
    <x v="0"/>
    <d v="1996-11-04T00:00:00"/>
    <n v="11"/>
    <x v="6"/>
    <n v="1"/>
    <x v="3"/>
    <s v="Mt Gros"/>
    <x v="26"/>
    <m/>
    <n v="52"/>
    <n v="52"/>
    <x v="5"/>
    <s v="Alex Zusammenstoss"/>
    <m/>
    <m/>
    <m/>
  </r>
  <r>
    <x v="0"/>
    <d v="1996-11-06T00:00:00"/>
    <n v="11"/>
    <x v="6"/>
    <n v="1"/>
    <x v="3"/>
    <s v="Mt Gros"/>
    <x v="26"/>
    <m/>
    <n v="10"/>
    <n v="10"/>
    <x v="5"/>
    <m/>
    <m/>
    <m/>
    <m/>
  </r>
  <r>
    <x v="0"/>
    <d v="1996-11-06T00:00:00"/>
    <n v="11"/>
    <x v="6"/>
    <n v="0"/>
    <x v="3"/>
    <s v="Mt Gros"/>
    <x v="26"/>
    <n v="1"/>
    <n v="4"/>
    <n v="64"/>
    <x v="5"/>
    <m/>
    <m/>
    <m/>
    <m/>
  </r>
  <r>
    <x v="0"/>
    <d v="1996-11-07T00:00:00"/>
    <n v="11"/>
    <x v="6"/>
    <n v="1"/>
    <x v="3"/>
    <s v="Mt Gros"/>
    <x v="26"/>
    <m/>
    <n v="32"/>
    <n v="32"/>
    <x v="5"/>
    <s v="Uli Unfall"/>
    <m/>
    <m/>
    <m/>
  </r>
  <r>
    <x v="0"/>
    <d v="1997-02-23T00:00:00"/>
    <n v="2"/>
    <x v="7"/>
    <n v="1"/>
    <x v="3"/>
    <s v="Gemsstock"/>
    <x v="27"/>
    <m/>
    <n v="15"/>
    <n v="15"/>
    <x v="2"/>
    <m/>
    <m/>
    <m/>
    <m/>
  </r>
  <r>
    <x v="0"/>
    <d v="1997-03-02T00:00:00"/>
    <n v="3"/>
    <x v="7"/>
    <n v="1"/>
    <x v="3"/>
    <s v="Männlichen"/>
    <x v="4"/>
    <m/>
    <n v="36"/>
    <n v="36"/>
    <x v="2"/>
    <m/>
    <m/>
    <m/>
    <m/>
  </r>
  <r>
    <x v="0"/>
    <d v="1997-03-03T00:00:00"/>
    <n v="3"/>
    <x v="7"/>
    <n v="1"/>
    <x v="3"/>
    <s v="Männlichen"/>
    <x v="4"/>
    <m/>
    <n v="16"/>
    <n v="16"/>
    <x v="2"/>
    <m/>
    <m/>
    <m/>
    <m/>
  </r>
  <r>
    <x v="0"/>
    <d v="1997-03-07T00:00:00"/>
    <n v="3"/>
    <x v="7"/>
    <n v="1"/>
    <x v="3"/>
    <s v="Männlichen"/>
    <x v="28"/>
    <m/>
    <n v="16"/>
    <n v="16"/>
    <x v="2"/>
    <m/>
    <m/>
    <m/>
    <m/>
  </r>
  <r>
    <x v="0"/>
    <d v="1997-06-04T00:00:00"/>
    <n v="6"/>
    <x v="7"/>
    <n v="1"/>
    <x v="3"/>
    <s v="Niederbauen"/>
    <x v="18"/>
    <m/>
    <n v="20"/>
    <n v="20"/>
    <x v="2"/>
    <m/>
    <m/>
    <m/>
    <m/>
  </r>
  <r>
    <x v="0"/>
    <d v="1997-06-04T00:00:00"/>
    <n v="6"/>
    <x v="7"/>
    <n v="0"/>
    <x v="3"/>
    <s v="Niederbauen"/>
    <x v="18"/>
    <m/>
    <n v="10"/>
    <n v="10"/>
    <x v="2"/>
    <m/>
    <m/>
    <m/>
    <m/>
  </r>
  <r>
    <x v="1"/>
    <d v="1997-06-15T00:00:00"/>
    <n v="6"/>
    <x v="7"/>
    <n v="1"/>
    <x v="3"/>
    <s v="Kleewenalp"/>
    <x v="29"/>
    <m/>
    <n v="10"/>
    <n v="10"/>
    <x v="3"/>
    <m/>
    <m/>
    <m/>
    <m/>
  </r>
  <r>
    <x v="1"/>
    <d v="1997-06-15T00:00:00"/>
    <n v="6"/>
    <x v="7"/>
    <n v="0"/>
    <x v="3"/>
    <s v="Kleewenalp"/>
    <x v="29"/>
    <m/>
    <n v="10"/>
    <n v="10"/>
    <x v="3"/>
    <m/>
    <m/>
    <m/>
    <m/>
  </r>
  <r>
    <x v="1"/>
    <d v="1997-06-15T00:00:00"/>
    <n v="6"/>
    <x v="7"/>
    <n v="0"/>
    <x v="3"/>
    <s v="Kleewenalp"/>
    <x v="29"/>
    <m/>
    <n v="10"/>
    <n v="10"/>
    <x v="3"/>
    <m/>
    <m/>
    <m/>
    <m/>
  </r>
  <r>
    <x v="1"/>
    <d v="1997-06-15T00:00:00"/>
    <n v="6"/>
    <x v="7"/>
    <n v="0"/>
    <x v="3"/>
    <s v="Kleewenalp"/>
    <x v="29"/>
    <m/>
    <n v="10"/>
    <n v="10"/>
    <x v="3"/>
    <m/>
    <m/>
    <m/>
    <m/>
  </r>
  <r>
    <x v="1"/>
    <d v="1997-06-15T00:00:00"/>
    <n v="6"/>
    <x v="7"/>
    <n v="0"/>
    <x v="3"/>
    <s v="Kleewenalp"/>
    <x v="29"/>
    <m/>
    <n v="10"/>
    <n v="10"/>
    <x v="3"/>
    <m/>
    <m/>
    <m/>
    <m/>
  </r>
  <r>
    <x v="0"/>
    <d v="1997-07-09T00:00:00"/>
    <n v="7"/>
    <x v="7"/>
    <n v="1"/>
    <x v="3"/>
    <s v="Stanserhorn"/>
    <x v="11"/>
    <m/>
    <n v="50"/>
    <n v="50"/>
    <x v="2"/>
    <m/>
    <m/>
    <m/>
    <m/>
  </r>
  <r>
    <x v="0"/>
    <d v="1997-07-12T00:00:00"/>
    <n v="7"/>
    <x v="7"/>
    <n v="1"/>
    <x v="3"/>
    <s v="First"/>
    <x v="17"/>
    <n v="1"/>
    <n v="45"/>
    <n v="105"/>
    <x v="2"/>
    <m/>
    <n v="5.2"/>
    <m/>
    <m/>
  </r>
  <r>
    <x v="0"/>
    <d v="1997-07-16T00:00:00"/>
    <n v="7"/>
    <x v="7"/>
    <n v="1"/>
    <x v="3"/>
    <s v="First"/>
    <x v="17"/>
    <m/>
    <n v="22"/>
    <n v="22"/>
    <x v="2"/>
    <s v="Ute und Werner"/>
    <m/>
    <m/>
    <m/>
  </r>
  <r>
    <x v="0"/>
    <d v="1997-07-22T00:00:00"/>
    <n v="7"/>
    <x v="7"/>
    <n v="1"/>
    <x v="3"/>
    <s v="First"/>
    <x v="17"/>
    <m/>
    <n v="17"/>
    <n v="17"/>
    <x v="2"/>
    <m/>
    <m/>
    <m/>
    <m/>
  </r>
  <r>
    <x v="0"/>
    <d v="1997-07-27T00:00:00"/>
    <n v="7"/>
    <x v="7"/>
    <n v="1"/>
    <x v="3"/>
    <s v="First"/>
    <x v="17"/>
    <n v="1"/>
    <n v="45"/>
    <n v="105"/>
    <x v="2"/>
    <s v="Irene/Yvonne"/>
    <m/>
    <m/>
    <m/>
  </r>
  <r>
    <x v="0"/>
    <d v="1997-07-29T00:00:00"/>
    <n v="7"/>
    <x v="7"/>
    <n v="1"/>
    <x v="3"/>
    <s v="Stanserhorn"/>
    <x v="11"/>
    <m/>
    <n v="27"/>
    <n v="27"/>
    <x v="2"/>
    <m/>
    <m/>
    <m/>
    <m/>
  </r>
  <r>
    <x v="0"/>
    <d v="1997-07-30T00:00:00"/>
    <n v="7"/>
    <x v="7"/>
    <n v="1"/>
    <x v="3"/>
    <s v="Stanserhorn"/>
    <x v="11"/>
    <n v="1"/>
    <n v="35"/>
    <n v="95"/>
    <x v="2"/>
    <m/>
    <m/>
    <m/>
    <m/>
  </r>
  <r>
    <x v="0"/>
    <d v="1997-08-05T00:00:00"/>
    <n v="8"/>
    <x v="7"/>
    <n v="1"/>
    <x v="3"/>
    <s v="Niederbauen"/>
    <x v="18"/>
    <m/>
    <n v="11"/>
    <n v="11"/>
    <x v="2"/>
    <m/>
    <m/>
    <m/>
    <m/>
  </r>
  <r>
    <x v="0"/>
    <d v="1997-08-10T00:00:00"/>
    <n v="8"/>
    <x v="7"/>
    <n v="1"/>
    <x v="3"/>
    <s v="Stanserhorn"/>
    <x v="11"/>
    <n v="1"/>
    <n v="6"/>
    <n v="66"/>
    <x v="2"/>
    <m/>
    <m/>
    <m/>
    <m/>
  </r>
  <r>
    <x v="0"/>
    <d v="1997-08-12T00:00:00"/>
    <n v="8"/>
    <x v="7"/>
    <n v="1"/>
    <x v="3"/>
    <s v="Stanserhorn"/>
    <x v="30"/>
    <m/>
    <n v="11"/>
    <n v="11"/>
    <x v="2"/>
    <m/>
    <m/>
    <m/>
    <m/>
  </r>
  <r>
    <x v="2"/>
    <d v="1997-08-13T00:00:00"/>
    <n v="8"/>
    <x v="7"/>
    <n v="0"/>
    <x v="5"/>
    <s v="Pilatus Porter"/>
    <x v="31"/>
    <m/>
    <n v="4"/>
    <n v="4"/>
    <x v="2"/>
    <s v="Fallschirm Triengen Freifall 35&quot;"/>
    <m/>
    <m/>
    <m/>
  </r>
  <r>
    <x v="0"/>
    <d v="1997-09-18T00:00:00"/>
    <n v="9"/>
    <x v="7"/>
    <n v="1"/>
    <x v="3"/>
    <s v="Stanserhorn"/>
    <x v="11"/>
    <m/>
    <n v="16"/>
    <n v="16"/>
    <x v="2"/>
    <m/>
    <m/>
    <m/>
    <m/>
  </r>
  <r>
    <x v="0"/>
    <d v="1998-04-25T00:00:00"/>
    <n v="4"/>
    <x v="8"/>
    <n v="1"/>
    <x v="3"/>
    <s v="Col del Pupolo"/>
    <x v="32"/>
    <n v="1"/>
    <n v="5"/>
    <n v="65"/>
    <x v="6"/>
    <m/>
    <m/>
    <m/>
    <m/>
  </r>
  <r>
    <x v="0"/>
    <d v="1998-04-26T00:00:00"/>
    <n v="4"/>
    <x v="8"/>
    <n v="1"/>
    <x v="3"/>
    <s v="Costalunga"/>
    <x v="32"/>
    <m/>
    <n v="10"/>
    <n v="10"/>
    <x v="6"/>
    <m/>
    <m/>
    <m/>
    <m/>
  </r>
  <r>
    <x v="0"/>
    <d v="1998-04-26T00:00:00"/>
    <n v="4"/>
    <x v="8"/>
    <n v="0"/>
    <x v="3"/>
    <s v="Costalunga"/>
    <x v="32"/>
    <n v="2"/>
    <n v="0"/>
    <n v="120"/>
    <x v="6"/>
    <m/>
    <m/>
    <m/>
    <m/>
  </r>
  <r>
    <x v="0"/>
    <d v="1998-06-01T00:00:00"/>
    <n v="6"/>
    <x v="8"/>
    <n v="1"/>
    <x v="3"/>
    <s v="Stanserhorn"/>
    <x v="11"/>
    <n v="1"/>
    <n v="50"/>
    <n v="110"/>
    <x v="2"/>
    <m/>
    <m/>
    <m/>
    <m/>
  </r>
  <r>
    <x v="0"/>
    <d v="1998-07-18T00:00:00"/>
    <n v="7"/>
    <x v="8"/>
    <n v="1"/>
    <x v="3"/>
    <s v="First"/>
    <x v="17"/>
    <n v="1"/>
    <n v="20"/>
    <n v="80"/>
    <x v="2"/>
    <m/>
    <m/>
    <m/>
    <m/>
  </r>
  <r>
    <x v="0"/>
    <d v="1998-07-19T00:00:00"/>
    <n v="7"/>
    <x v="8"/>
    <n v="1"/>
    <x v="3"/>
    <s v="First"/>
    <x v="17"/>
    <n v="1"/>
    <m/>
    <n v="60"/>
    <x v="2"/>
    <m/>
    <m/>
    <m/>
    <m/>
  </r>
  <r>
    <x v="0"/>
    <d v="1998-07-20T00:00:00"/>
    <n v="7"/>
    <x v="8"/>
    <n v="1"/>
    <x v="3"/>
    <s v="First"/>
    <x v="17"/>
    <n v="1"/>
    <n v="40"/>
    <n v="100"/>
    <x v="2"/>
    <s v="3x &gt;4000"/>
    <m/>
    <m/>
    <n v="4000"/>
  </r>
  <r>
    <x v="0"/>
    <d v="1998-08-06T00:00:00"/>
    <n v="8"/>
    <x v="8"/>
    <n v="1"/>
    <x v="3"/>
    <s v="Stanserhorn"/>
    <x v="11"/>
    <m/>
    <n v="10"/>
    <n v="10"/>
    <x v="2"/>
    <m/>
    <m/>
    <m/>
    <m/>
  </r>
  <r>
    <x v="0"/>
    <d v="1998-08-08T00:00:00"/>
    <n v="8"/>
    <x v="8"/>
    <n v="1"/>
    <x v="3"/>
    <s v="Stanserhorn"/>
    <x v="11"/>
    <m/>
    <n v="10"/>
    <n v="10"/>
    <x v="2"/>
    <m/>
    <m/>
    <m/>
    <m/>
  </r>
  <r>
    <x v="0"/>
    <d v="1998-08-14T00:00:00"/>
    <n v="8"/>
    <x v="8"/>
    <n v="1"/>
    <x v="3"/>
    <s v="Stanserhorn"/>
    <x v="11"/>
    <m/>
    <n v="57"/>
    <n v="57"/>
    <x v="2"/>
    <m/>
    <m/>
    <m/>
    <m/>
  </r>
  <r>
    <x v="0"/>
    <d v="1999-04-02T00:00:00"/>
    <n v="4"/>
    <x v="9"/>
    <n v="1"/>
    <x v="3"/>
    <s v="First"/>
    <x v="5"/>
    <m/>
    <n v="34"/>
    <n v="34"/>
    <x v="2"/>
    <m/>
    <m/>
    <m/>
    <m/>
  </r>
  <r>
    <x v="0"/>
    <d v="1999-04-03T00:00:00"/>
    <n v="4"/>
    <x v="9"/>
    <n v="1"/>
    <x v="3"/>
    <s v="First"/>
    <x v="5"/>
    <m/>
    <n v="37"/>
    <n v="37"/>
    <x v="2"/>
    <m/>
    <m/>
    <m/>
    <m/>
  </r>
  <r>
    <x v="0"/>
    <d v="1999-04-06T00:00:00"/>
    <n v="4"/>
    <x v="9"/>
    <n v="1"/>
    <x v="3"/>
    <s v="Niederbauen"/>
    <x v="18"/>
    <m/>
    <n v="6"/>
    <n v="6"/>
    <x v="2"/>
    <m/>
    <m/>
    <m/>
    <m/>
  </r>
  <r>
    <x v="0"/>
    <d v="1999-05-08T00:00:00"/>
    <n v="5"/>
    <x v="9"/>
    <n v="1"/>
    <x v="3"/>
    <s v="Puncho"/>
    <x v="33"/>
    <m/>
    <n v="15"/>
    <n v="15"/>
    <x v="7"/>
    <s v="Hansi, Chregu, Ives, Paul, Heinz, Jochen, Andreas, Kurt"/>
    <m/>
    <m/>
    <m/>
  </r>
  <r>
    <x v="0"/>
    <d v="1999-05-09T00:00:00"/>
    <n v="5"/>
    <x v="9"/>
    <n v="1"/>
    <x v="3"/>
    <m/>
    <x v="34"/>
    <m/>
    <n v="6"/>
    <n v="6"/>
    <x v="7"/>
    <m/>
    <m/>
    <m/>
    <m/>
  </r>
  <r>
    <x v="0"/>
    <d v="1999-05-10T00:00:00"/>
    <n v="5"/>
    <x v="9"/>
    <n v="1"/>
    <x v="3"/>
    <m/>
    <x v="34"/>
    <m/>
    <n v="25"/>
    <n v="25"/>
    <x v="7"/>
    <m/>
    <m/>
    <m/>
    <m/>
  </r>
  <r>
    <x v="0"/>
    <d v="1999-05-10T00:00:00"/>
    <n v="5"/>
    <x v="9"/>
    <n v="0"/>
    <x v="3"/>
    <m/>
    <x v="34"/>
    <m/>
    <n v="5"/>
    <n v="5"/>
    <x v="7"/>
    <m/>
    <m/>
    <m/>
    <m/>
  </r>
  <r>
    <x v="0"/>
    <d v="1999-05-11T00:00:00"/>
    <n v="5"/>
    <x v="9"/>
    <n v="1"/>
    <x v="3"/>
    <s v="Puncho"/>
    <x v="33"/>
    <n v="1"/>
    <n v="19"/>
    <n v="79"/>
    <x v="7"/>
    <m/>
    <m/>
    <m/>
    <m/>
  </r>
  <r>
    <x v="0"/>
    <d v="1999-05-13T00:00:00"/>
    <n v="5"/>
    <x v="9"/>
    <n v="1"/>
    <x v="3"/>
    <s v="Brunas"/>
    <x v="24"/>
    <m/>
    <n v="4"/>
    <n v="4"/>
    <x v="7"/>
    <m/>
    <m/>
    <m/>
    <m/>
  </r>
  <r>
    <x v="0"/>
    <d v="1999-05-13T00:00:00"/>
    <n v="5"/>
    <x v="9"/>
    <n v="0"/>
    <x v="3"/>
    <s v="Brunas"/>
    <x v="24"/>
    <m/>
    <n v="4"/>
    <n v="4"/>
    <x v="7"/>
    <m/>
    <m/>
    <m/>
    <m/>
  </r>
  <r>
    <x v="0"/>
    <d v="1999-05-13T00:00:00"/>
    <n v="5"/>
    <x v="9"/>
    <n v="0"/>
    <x v="3"/>
    <s v="Puncho"/>
    <x v="33"/>
    <n v="1"/>
    <n v="8"/>
    <n v="68"/>
    <x v="7"/>
    <s v="Sehr viele Piloten"/>
    <m/>
    <m/>
    <m/>
  </r>
  <r>
    <x v="0"/>
    <d v="1999-05-14T00:00:00"/>
    <n v="5"/>
    <x v="9"/>
    <n v="1"/>
    <x v="3"/>
    <s v="Puncho"/>
    <x v="33"/>
    <m/>
    <n v="6"/>
    <n v="6"/>
    <x v="7"/>
    <m/>
    <m/>
    <m/>
    <m/>
  </r>
  <r>
    <x v="0"/>
    <d v="1999-05-29T00:00:00"/>
    <n v="5"/>
    <x v="9"/>
    <n v="1"/>
    <x v="3"/>
    <s v="Stanserhorn"/>
    <x v="14"/>
    <n v="1"/>
    <n v="30"/>
    <n v="90"/>
    <x v="2"/>
    <m/>
    <m/>
    <m/>
    <m/>
  </r>
  <r>
    <x v="0"/>
    <d v="1999-06-24T00:00:00"/>
    <n v="6"/>
    <x v="9"/>
    <n v="1"/>
    <x v="3"/>
    <s v="Stanserhorn"/>
    <x v="11"/>
    <n v="1"/>
    <n v="30"/>
    <n v="90"/>
    <x v="2"/>
    <m/>
    <m/>
    <m/>
    <m/>
  </r>
  <r>
    <x v="0"/>
    <d v="1999-08-02T00:00:00"/>
    <n v="8"/>
    <x v="9"/>
    <n v="1"/>
    <x v="3"/>
    <s v="First"/>
    <x v="5"/>
    <m/>
    <n v="30"/>
    <n v="30"/>
    <x v="2"/>
    <m/>
    <m/>
    <m/>
    <m/>
  </r>
  <r>
    <x v="0"/>
    <d v="1999-08-07T00:00:00"/>
    <n v="8"/>
    <x v="9"/>
    <n v="1"/>
    <x v="6"/>
    <s v="Heimat"/>
    <x v="19"/>
    <n v="1"/>
    <n v="36"/>
    <n v="96"/>
    <x v="2"/>
    <m/>
    <m/>
    <m/>
    <m/>
  </r>
  <r>
    <x v="0"/>
    <d v="1999-08-08T00:00:00"/>
    <n v="8"/>
    <x v="9"/>
    <n v="1"/>
    <x v="6"/>
    <s v="Brunni"/>
    <x v="19"/>
    <m/>
    <n v="10"/>
    <n v="10"/>
    <x v="2"/>
    <m/>
    <m/>
    <m/>
    <m/>
  </r>
  <r>
    <x v="0"/>
    <d v="1999-09-10T00:00:00"/>
    <n v="9"/>
    <x v="9"/>
    <n v="1"/>
    <x v="3"/>
    <s v="Niederbauen"/>
    <x v="18"/>
    <m/>
    <n v="10"/>
    <n v="10"/>
    <x v="2"/>
    <m/>
    <m/>
    <m/>
    <m/>
  </r>
  <r>
    <x v="0"/>
    <d v="1999-09-12T00:00:00"/>
    <n v="9"/>
    <x v="9"/>
    <n v="1"/>
    <x v="3"/>
    <s v="Stanserhorn"/>
    <x v="11"/>
    <n v="1"/>
    <n v="0"/>
    <n v="60"/>
    <x v="2"/>
    <m/>
    <m/>
    <m/>
    <m/>
  </r>
  <r>
    <x v="0"/>
    <d v="2000-04-10T00:00:00"/>
    <n v="4"/>
    <x v="10"/>
    <n v="1"/>
    <x v="7"/>
    <s v="Brunni"/>
    <x v="19"/>
    <m/>
    <n v="5"/>
    <n v="5"/>
    <x v="2"/>
    <m/>
    <m/>
    <m/>
    <m/>
  </r>
  <r>
    <x v="0"/>
    <d v="2000-05-08T00:00:00"/>
    <n v="5"/>
    <x v="10"/>
    <n v="1"/>
    <x v="7"/>
    <s v="Brunni"/>
    <x v="19"/>
    <m/>
    <n v="10"/>
    <n v="10"/>
    <x v="8"/>
    <m/>
    <m/>
    <m/>
    <m/>
  </r>
  <r>
    <x v="0"/>
    <d v="2000-05-08T00:00:00"/>
    <n v="5"/>
    <x v="10"/>
    <n v="0"/>
    <x v="7"/>
    <s v="Brunni"/>
    <x v="19"/>
    <m/>
    <n v="12"/>
    <n v="12"/>
    <x v="8"/>
    <m/>
    <m/>
    <m/>
    <m/>
  </r>
  <r>
    <x v="0"/>
    <d v="2000-05-09T00:00:00"/>
    <n v="5"/>
    <x v="10"/>
    <n v="1"/>
    <x v="7"/>
    <s v="Heimat"/>
    <x v="35"/>
    <n v="1"/>
    <n v="15"/>
    <n v="75"/>
    <x v="8"/>
    <m/>
    <m/>
    <m/>
    <m/>
  </r>
  <r>
    <x v="0"/>
    <d v="2000-05-10T00:00:00"/>
    <n v="5"/>
    <x v="10"/>
    <n v="1"/>
    <x v="7"/>
    <s v="Mutti"/>
    <x v="19"/>
    <m/>
    <n v="18"/>
    <n v="18"/>
    <x v="8"/>
    <m/>
    <m/>
    <m/>
    <m/>
  </r>
  <r>
    <x v="0"/>
    <d v="2000-05-14T00:00:00"/>
    <n v="5"/>
    <x v="10"/>
    <n v="1"/>
    <x v="7"/>
    <s v="Stanserhorn"/>
    <x v="14"/>
    <n v="1"/>
    <n v="56"/>
    <n v="116"/>
    <x v="2"/>
    <m/>
    <m/>
    <m/>
    <m/>
  </r>
  <r>
    <x v="0"/>
    <d v="2000-05-15T00:00:00"/>
    <n v="5"/>
    <x v="10"/>
    <n v="1"/>
    <x v="7"/>
    <s v="Niederbauen"/>
    <x v="18"/>
    <m/>
    <n v="8"/>
    <n v="8"/>
    <x v="2"/>
    <m/>
    <m/>
    <m/>
    <m/>
  </r>
  <r>
    <x v="0"/>
    <d v="2000-05-23T00:00:00"/>
    <n v="5"/>
    <x v="10"/>
    <n v="1"/>
    <x v="7"/>
    <s v="Stanserhorn"/>
    <x v="11"/>
    <m/>
    <n v="33"/>
    <n v="33"/>
    <x v="2"/>
    <m/>
    <m/>
    <m/>
    <m/>
  </r>
  <r>
    <x v="0"/>
    <d v="2000-05-24T00:00:00"/>
    <n v="5"/>
    <x v="10"/>
    <n v="1"/>
    <x v="7"/>
    <s v="Stanserhorn"/>
    <x v="11"/>
    <m/>
    <n v="45"/>
    <n v="45"/>
    <x v="2"/>
    <m/>
    <m/>
    <m/>
    <m/>
  </r>
  <r>
    <x v="0"/>
    <d v="2000-06-01T00:00:00"/>
    <n v="6"/>
    <x v="10"/>
    <n v="1"/>
    <x v="7"/>
    <s v="Stanserhorn"/>
    <x v="11"/>
    <n v="1"/>
    <n v="32"/>
    <n v="92"/>
    <x v="2"/>
    <s v="Irene, Alexandra, Stefan"/>
    <m/>
    <m/>
    <m/>
  </r>
  <r>
    <x v="0"/>
    <d v="2000-06-03T00:00:00"/>
    <n v="6"/>
    <x v="10"/>
    <n v="1"/>
    <x v="7"/>
    <s v="Fürenalp"/>
    <x v="36"/>
    <n v="1"/>
    <n v="11"/>
    <n v="71"/>
    <x v="2"/>
    <m/>
    <m/>
    <m/>
    <m/>
  </r>
  <r>
    <x v="0"/>
    <d v="2000-06-08T00:00:00"/>
    <n v="6"/>
    <x v="10"/>
    <n v="1"/>
    <x v="7"/>
    <s v="Büelen"/>
    <x v="37"/>
    <m/>
    <n v="25"/>
    <n v="25"/>
    <x v="2"/>
    <m/>
    <m/>
    <m/>
    <m/>
  </r>
  <r>
    <x v="0"/>
    <d v="2000-06-08T00:00:00"/>
    <n v="6"/>
    <x v="10"/>
    <n v="0"/>
    <x v="7"/>
    <s v="Stanserhorn"/>
    <x v="11"/>
    <m/>
    <n v="15"/>
    <n v="15"/>
    <x v="2"/>
    <m/>
    <m/>
    <m/>
    <m/>
  </r>
  <r>
    <x v="0"/>
    <d v="2000-06-17T00:00:00"/>
    <n v="6"/>
    <x v="10"/>
    <n v="1"/>
    <x v="7"/>
    <s v="Stanserhorn"/>
    <x v="11"/>
    <n v="1"/>
    <n v="1"/>
    <n v="61"/>
    <x v="2"/>
    <m/>
    <m/>
    <m/>
    <m/>
  </r>
  <r>
    <x v="0"/>
    <d v="2000-06-19T00:00:00"/>
    <n v="6"/>
    <x v="10"/>
    <n v="1"/>
    <x v="7"/>
    <s v="Brändlen"/>
    <x v="14"/>
    <m/>
    <n v="24"/>
    <n v="24"/>
    <x v="2"/>
    <m/>
    <m/>
    <m/>
    <m/>
  </r>
  <r>
    <x v="0"/>
    <d v="2000-06-19T00:00:00"/>
    <n v="6"/>
    <x v="10"/>
    <n v="0"/>
    <x v="7"/>
    <s v="Stanserhorn"/>
    <x v="11"/>
    <m/>
    <n v="16"/>
    <n v="16"/>
    <x v="2"/>
    <m/>
    <m/>
    <m/>
    <m/>
  </r>
  <r>
    <x v="0"/>
    <d v="2000-07-02T00:00:00"/>
    <n v="7"/>
    <x v="10"/>
    <n v="1"/>
    <x v="7"/>
    <s v="Stanserhorn"/>
    <x v="11"/>
    <m/>
    <n v="16"/>
    <n v="16"/>
    <x v="2"/>
    <m/>
    <m/>
    <m/>
    <m/>
  </r>
  <r>
    <x v="0"/>
    <d v="2000-07-06T00:00:00"/>
    <n v="7"/>
    <x v="10"/>
    <n v="1"/>
    <x v="7"/>
    <s v="Niederbauen"/>
    <x v="18"/>
    <m/>
    <n v="9"/>
    <n v="9"/>
    <x v="2"/>
    <m/>
    <m/>
    <m/>
    <m/>
  </r>
  <r>
    <x v="0"/>
    <d v="2000-07-21T00:00:00"/>
    <n v="7"/>
    <x v="10"/>
    <n v="1"/>
    <x v="7"/>
    <s v="Niederbauen"/>
    <x v="18"/>
    <m/>
    <n v="15"/>
    <n v="15"/>
    <x v="2"/>
    <m/>
    <m/>
    <m/>
    <m/>
  </r>
  <r>
    <x v="0"/>
    <d v="2000-07-21T00:00:00"/>
    <n v="7"/>
    <x v="10"/>
    <n v="0"/>
    <x v="7"/>
    <s v="Stanserhorn"/>
    <x v="11"/>
    <n v="2"/>
    <n v="1"/>
    <n v="121"/>
    <x v="2"/>
    <m/>
    <m/>
    <m/>
    <m/>
  </r>
  <r>
    <x v="0"/>
    <d v="2000-07-22T00:00:00"/>
    <n v="7"/>
    <x v="10"/>
    <n v="1"/>
    <x v="7"/>
    <s v="Stanserhorn"/>
    <x v="11"/>
    <n v="1"/>
    <n v="48"/>
    <n v="108"/>
    <x v="2"/>
    <m/>
    <m/>
    <m/>
    <m/>
  </r>
  <r>
    <x v="0"/>
    <d v="2000-07-27T00:00:00"/>
    <n v="7"/>
    <x v="10"/>
    <n v="1"/>
    <x v="7"/>
    <s v="Niesen"/>
    <x v="38"/>
    <m/>
    <n v="28"/>
    <n v="28"/>
    <x v="2"/>
    <s v="Dädi, Irene, Stefan, Alexandra"/>
    <m/>
    <m/>
    <m/>
  </r>
  <r>
    <x v="0"/>
    <d v="2000-07-31T00:00:00"/>
    <n v="7"/>
    <x v="10"/>
    <n v="1"/>
    <x v="7"/>
    <s v="Brändlen"/>
    <x v="14"/>
    <n v="1"/>
    <n v="26"/>
    <n v="86"/>
    <x v="2"/>
    <s v="Wirzwelli"/>
    <m/>
    <m/>
    <m/>
  </r>
  <r>
    <x v="0"/>
    <d v="2000-08-01T00:00:00"/>
    <n v="8"/>
    <x v="10"/>
    <n v="1"/>
    <x v="7"/>
    <s v="Stanserhorn"/>
    <x v="11"/>
    <m/>
    <n v="18"/>
    <n v="18"/>
    <x v="2"/>
    <m/>
    <m/>
    <m/>
    <m/>
  </r>
  <r>
    <x v="0"/>
    <d v="2000-08-10T00:00:00"/>
    <n v="8"/>
    <x v="10"/>
    <n v="1"/>
    <x v="7"/>
    <s v="Brändlen"/>
    <x v="14"/>
    <m/>
    <n v="17"/>
    <n v="17"/>
    <x v="2"/>
    <m/>
    <m/>
    <m/>
    <m/>
  </r>
  <r>
    <x v="0"/>
    <d v="2000-08-11T00:00:00"/>
    <n v="8"/>
    <x v="10"/>
    <n v="1"/>
    <x v="7"/>
    <s v="Brändlen"/>
    <x v="14"/>
    <n v="1"/>
    <n v="30"/>
    <n v="90"/>
    <x v="2"/>
    <m/>
    <m/>
    <m/>
    <m/>
  </r>
  <r>
    <x v="0"/>
    <d v="2000-08-11T00:00:00"/>
    <n v="8"/>
    <x v="10"/>
    <n v="0"/>
    <x v="7"/>
    <s v="Stanserhorn"/>
    <x v="11"/>
    <n v="2"/>
    <n v="5"/>
    <n v="125"/>
    <x v="2"/>
    <s v="St. Niklausen, Stans"/>
    <m/>
    <m/>
    <m/>
  </r>
  <r>
    <x v="0"/>
    <d v="2000-08-15T00:00:00"/>
    <n v="8"/>
    <x v="10"/>
    <n v="1"/>
    <x v="7"/>
    <s v="First"/>
    <x v="17"/>
    <m/>
    <n v="42"/>
    <n v="42"/>
    <x v="2"/>
    <s v="Mit Schulpflege Taxi"/>
    <m/>
    <m/>
    <m/>
  </r>
  <r>
    <x v="0"/>
    <d v="2000-08-23T00:00:00"/>
    <n v="8"/>
    <x v="10"/>
    <n v="1"/>
    <x v="7"/>
    <s v="Stanserhorn"/>
    <x v="11"/>
    <m/>
    <n v="16"/>
    <n v="16"/>
    <x v="2"/>
    <m/>
    <m/>
    <m/>
    <m/>
  </r>
  <r>
    <x v="0"/>
    <d v="2000-08-23T00:00:00"/>
    <n v="8"/>
    <x v="10"/>
    <n v="0"/>
    <x v="7"/>
    <s v="Stanserhorn"/>
    <x v="11"/>
    <m/>
    <n v="16"/>
    <n v="16"/>
    <x v="2"/>
    <m/>
    <m/>
    <m/>
    <m/>
  </r>
  <r>
    <x v="0"/>
    <d v="2000-09-11T00:00:00"/>
    <n v="9"/>
    <x v="10"/>
    <n v="1"/>
    <x v="7"/>
    <s v="Stanserhorn"/>
    <x v="11"/>
    <m/>
    <n v="14"/>
    <n v="14"/>
    <x v="2"/>
    <m/>
    <m/>
    <m/>
    <m/>
  </r>
  <r>
    <x v="0"/>
    <d v="2001-04-01T00:00:00"/>
    <n v="4"/>
    <x v="11"/>
    <n v="1"/>
    <x v="7"/>
    <s v="Corvatsch"/>
    <x v="24"/>
    <m/>
    <n v="10"/>
    <n v="10"/>
    <x v="2"/>
    <s v="ab Mittelstation mit Ski"/>
    <m/>
    <m/>
    <m/>
  </r>
  <r>
    <x v="0"/>
    <d v="2001-04-23T00:00:00"/>
    <n v="4"/>
    <x v="11"/>
    <n v="1"/>
    <x v="7"/>
    <s v="Cimetta"/>
    <x v="39"/>
    <m/>
    <n v="45"/>
    <n v="45"/>
    <x v="9"/>
    <m/>
    <m/>
    <m/>
    <m/>
  </r>
  <r>
    <x v="0"/>
    <d v="2001-04-23T00:00:00"/>
    <n v="4"/>
    <x v="11"/>
    <n v="0"/>
    <x v="7"/>
    <s v="Cimetta"/>
    <x v="40"/>
    <n v="1"/>
    <n v="0"/>
    <n v="60"/>
    <x v="9"/>
    <m/>
    <m/>
    <m/>
    <m/>
  </r>
  <r>
    <x v="0"/>
    <d v="2001-04-24T00:00:00"/>
    <n v="4"/>
    <x v="11"/>
    <n v="1"/>
    <x v="7"/>
    <s v="Mte Lema"/>
    <x v="41"/>
    <n v="2"/>
    <n v="45"/>
    <n v="165"/>
    <x v="9"/>
    <m/>
    <m/>
    <m/>
    <m/>
  </r>
  <r>
    <x v="0"/>
    <d v="2001-04-24T00:00:00"/>
    <n v="4"/>
    <x v="11"/>
    <n v="0"/>
    <x v="7"/>
    <s v="Mte Lema"/>
    <x v="41"/>
    <n v="1"/>
    <n v="15"/>
    <n v="75"/>
    <x v="9"/>
    <m/>
    <m/>
    <m/>
    <m/>
  </r>
  <r>
    <x v="0"/>
    <d v="2001-04-27T00:00:00"/>
    <n v="4"/>
    <x v="11"/>
    <n v="1"/>
    <x v="7"/>
    <s v="Mte Lema"/>
    <x v="42"/>
    <m/>
    <n v="12"/>
    <n v="12"/>
    <x v="9"/>
    <m/>
    <m/>
    <m/>
    <m/>
  </r>
  <r>
    <x v="0"/>
    <d v="2001-04-27T00:00:00"/>
    <n v="4"/>
    <x v="11"/>
    <n v="0"/>
    <x v="7"/>
    <s v="Mte Lema"/>
    <x v="42"/>
    <m/>
    <n v="18"/>
    <n v="18"/>
    <x v="9"/>
    <m/>
    <m/>
    <m/>
    <m/>
  </r>
  <r>
    <x v="0"/>
    <d v="2001-04-27T00:00:00"/>
    <n v="4"/>
    <x v="11"/>
    <n v="0"/>
    <x v="7"/>
    <s v="Mte Lema"/>
    <x v="42"/>
    <m/>
    <n v="10"/>
    <n v="10"/>
    <x v="9"/>
    <m/>
    <m/>
    <m/>
    <m/>
  </r>
  <r>
    <x v="0"/>
    <d v="2001-05-13T00:00:00"/>
    <n v="5"/>
    <x v="11"/>
    <n v="1"/>
    <x v="7"/>
    <s v="Brändlen"/>
    <x v="14"/>
    <m/>
    <n v="12"/>
    <n v="12"/>
    <x v="2"/>
    <m/>
    <m/>
    <m/>
    <m/>
  </r>
  <r>
    <x v="0"/>
    <d v="2001-05-23T00:00:00"/>
    <n v="5"/>
    <x v="11"/>
    <n v="1"/>
    <x v="7"/>
    <s v="Niederbauen"/>
    <x v="18"/>
    <m/>
    <n v="12"/>
    <n v="12"/>
    <x v="2"/>
    <m/>
    <m/>
    <m/>
    <m/>
  </r>
  <r>
    <x v="0"/>
    <d v="2001-05-24T00:00:00"/>
    <n v="5"/>
    <x v="11"/>
    <n v="1"/>
    <x v="7"/>
    <s v="Stanserhorn"/>
    <x v="11"/>
    <m/>
    <n v="15"/>
    <n v="15"/>
    <x v="2"/>
    <s v="Mami und Alexandra"/>
    <m/>
    <m/>
    <m/>
  </r>
  <r>
    <x v="0"/>
    <d v="2001-05-26T00:00:00"/>
    <n v="5"/>
    <x v="11"/>
    <n v="1"/>
    <x v="7"/>
    <s v="Stanserhorn"/>
    <x v="11"/>
    <n v="1"/>
    <n v="32"/>
    <n v="92"/>
    <x v="2"/>
    <m/>
    <m/>
    <m/>
    <m/>
  </r>
  <r>
    <x v="0"/>
    <d v="2001-05-27T00:00:00"/>
    <n v="5"/>
    <x v="11"/>
    <n v="1"/>
    <x v="7"/>
    <s v="Stanserhorn"/>
    <x v="11"/>
    <m/>
    <n v="56"/>
    <n v="56"/>
    <x v="2"/>
    <m/>
    <m/>
    <m/>
    <m/>
  </r>
  <r>
    <x v="0"/>
    <d v="2001-05-30T00:00:00"/>
    <n v="5"/>
    <x v="11"/>
    <n v="1"/>
    <x v="7"/>
    <s v="Brändlen"/>
    <x v="14"/>
    <n v="1"/>
    <n v="44"/>
    <n v="104"/>
    <x v="2"/>
    <m/>
    <m/>
    <m/>
    <m/>
  </r>
  <r>
    <x v="0"/>
    <d v="2001-06-04T00:00:00"/>
    <n v="6"/>
    <x v="11"/>
    <n v="1"/>
    <x v="7"/>
    <s v="Brändlen"/>
    <x v="14"/>
    <m/>
    <n v="36"/>
    <n v="36"/>
    <x v="2"/>
    <s v="Pfingstsonntag, Velofahren mit Alexandra und Stefan"/>
    <m/>
    <m/>
    <m/>
  </r>
  <r>
    <x v="0"/>
    <d v="2001-06-05T00:00:00"/>
    <n v="6"/>
    <x v="11"/>
    <n v="1"/>
    <x v="7"/>
    <s v="Stanserhorn"/>
    <x v="11"/>
    <m/>
    <n v="16"/>
    <n v="16"/>
    <x v="2"/>
    <m/>
    <m/>
    <m/>
    <m/>
  </r>
  <r>
    <x v="0"/>
    <d v="2001-06-23T00:00:00"/>
    <n v="6"/>
    <x v="11"/>
    <n v="1"/>
    <x v="7"/>
    <s v="Stanserhorn"/>
    <x v="43"/>
    <m/>
    <n v="16"/>
    <n v="16"/>
    <x v="2"/>
    <m/>
    <m/>
    <m/>
    <m/>
  </r>
  <r>
    <x v="0"/>
    <d v="2001-06-24T00:00:00"/>
    <n v="6"/>
    <x v="11"/>
    <n v="1"/>
    <x v="7"/>
    <s v="First"/>
    <x v="17"/>
    <n v="1"/>
    <n v="0"/>
    <n v="60"/>
    <x v="2"/>
    <s v="3/4-Klapper, Sturz in Schirm"/>
    <m/>
    <m/>
    <m/>
  </r>
  <r>
    <x v="0"/>
    <d v="2001-06-25T00:00:00"/>
    <n v="6"/>
    <x v="11"/>
    <n v="1"/>
    <x v="8"/>
    <s v="First"/>
    <x v="17"/>
    <m/>
    <n v="10"/>
    <n v="10"/>
    <x v="2"/>
    <s v="Demoschirm von Blätz"/>
    <m/>
    <m/>
    <m/>
  </r>
  <r>
    <x v="0"/>
    <d v="2001-06-25T00:00:00"/>
    <n v="6"/>
    <x v="11"/>
    <n v="0"/>
    <x v="8"/>
    <s v="First"/>
    <x v="17"/>
    <n v="2"/>
    <n v="17"/>
    <n v="137"/>
    <x v="2"/>
    <m/>
    <m/>
    <m/>
    <m/>
  </r>
  <r>
    <x v="0"/>
    <d v="2001-07-25T00:00:00"/>
    <n v="7"/>
    <x v="11"/>
    <n v="1"/>
    <x v="7"/>
    <s v="Venet"/>
    <x v="44"/>
    <m/>
    <n v="13"/>
    <n v="13"/>
    <x v="2"/>
    <s v="Ferien in A (Serfaus)"/>
    <m/>
    <m/>
    <m/>
  </r>
  <r>
    <x v="0"/>
    <d v="2001-07-29T00:00:00"/>
    <n v="7"/>
    <x v="11"/>
    <n v="1"/>
    <x v="7"/>
    <s v="Venet"/>
    <x v="44"/>
    <m/>
    <n v="13"/>
    <n v="13"/>
    <x v="2"/>
    <s v="Ferien in A (Serfaus)"/>
    <m/>
    <m/>
    <m/>
  </r>
  <r>
    <x v="0"/>
    <d v="2001-07-30T00:00:00"/>
    <n v="7"/>
    <x v="11"/>
    <n v="1"/>
    <x v="7"/>
    <s v="Stanserhorn"/>
    <x v="11"/>
    <n v="1"/>
    <n v="57"/>
    <n v="117"/>
    <x v="2"/>
    <m/>
    <m/>
    <m/>
    <m/>
  </r>
  <r>
    <x v="0"/>
    <d v="2001-07-31T00:00:00"/>
    <n v="7"/>
    <x v="11"/>
    <n v="1"/>
    <x v="7"/>
    <s v="Stanserhorn"/>
    <x v="11"/>
    <m/>
    <n v="25"/>
    <n v="25"/>
    <x v="2"/>
    <m/>
    <m/>
    <m/>
    <m/>
  </r>
  <r>
    <x v="0"/>
    <d v="2001-08-14T00:00:00"/>
    <n v="8"/>
    <x v="11"/>
    <n v="1"/>
    <x v="7"/>
    <s v="Stanserhorn"/>
    <x v="11"/>
    <m/>
    <n v="14"/>
    <n v="14"/>
    <x v="2"/>
    <m/>
    <m/>
    <m/>
    <m/>
  </r>
  <r>
    <x v="0"/>
    <d v="2001-08-18T00:00:00"/>
    <n v="8"/>
    <x v="11"/>
    <n v="1"/>
    <x v="7"/>
    <s v="Brunni"/>
    <x v="36"/>
    <m/>
    <n v="2.4"/>
    <n v="2.4"/>
    <x v="2"/>
    <s v="Wasserski fahren"/>
    <m/>
    <m/>
    <m/>
  </r>
  <r>
    <x v="0"/>
    <d v="2001-08-25T00:00:00"/>
    <n v="8"/>
    <x v="11"/>
    <n v="1"/>
    <x v="7"/>
    <s v="Brunni"/>
    <x v="36"/>
    <m/>
    <n v="24"/>
    <n v="24"/>
    <x v="2"/>
    <m/>
    <m/>
    <m/>
    <m/>
  </r>
  <r>
    <x v="0"/>
    <d v="2001-08-25T00:00:00"/>
    <n v="8"/>
    <x v="11"/>
    <n v="0"/>
    <x v="7"/>
    <s v="Brunni"/>
    <x v="36"/>
    <m/>
    <n v="27"/>
    <n v="27"/>
    <x v="2"/>
    <m/>
    <m/>
    <m/>
    <m/>
  </r>
  <r>
    <x v="0"/>
    <d v="2001-10-13T00:00:00"/>
    <n v="10"/>
    <x v="11"/>
    <n v="1"/>
    <x v="7"/>
    <s v="Brunni"/>
    <x v="36"/>
    <m/>
    <n v="14"/>
    <n v="14"/>
    <x v="2"/>
    <m/>
    <m/>
    <m/>
    <m/>
  </r>
  <r>
    <x v="0"/>
    <d v="2002-04-01T00:00:00"/>
    <n v="4"/>
    <x v="12"/>
    <n v="1"/>
    <x v="7"/>
    <s v="Renaz"/>
    <x v="45"/>
    <n v="2"/>
    <n v="0"/>
    <n v="120"/>
    <x v="10"/>
    <s v="Housi Bolliger, Pedro, beat, Dominic, Chregu"/>
    <m/>
    <m/>
    <m/>
  </r>
  <r>
    <x v="0"/>
    <d v="2002-04-02T00:00:00"/>
    <n v="4"/>
    <x v="12"/>
    <n v="1"/>
    <x v="7"/>
    <s v="St. Geniez"/>
    <x v="46"/>
    <m/>
    <n v="10"/>
    <n v="10"/>
    <x v="10"/>
    <m/>
    <m/>
    <m/>
    <m/>
  </r>
  <r>
    <x v="0"/>
    <d v="2002-04-02T00:00:00"/>
    <n v="4"/>
    <x v="12"/>
    <n v="0"/>
    <x v="7"/>
    <s v="St. Geniez"/>
    <x v="46"/>
    <m/>
    <n v="15"/>
    <n v="15"/>
    <x v="10"/>
    <m/>
    <m/>
    <m/>
    <m/>
  </r>
  <r>
    <x v="0"/>
    <d v="2002-04-02T00:00:00"/>
    <n v="4"/>
    <x v="12"/>
    <n v="0"/>
    <x v="7"/>
    <s v="St. Geniez"/>
    <x v="46"/>
    <m/>
    <n v="51"/>
    <n v="51"/>
    <x v="10"/>
    <m/>
    <m/>
    <m/>
    <m/>
  </r>
  <r>
    <x v="0"/>
    <d v="2002-04-03T00:00:00"/>
    <n v="4"/>
    <x v="12"/>
    <n v="1"/>
    <x v="7"/>
    <s v="St. Geniez"/>
    <x v="46"/>
    <m/>
    <n v="5"/>
    <n v="5"/>
    <x v="10"/>
    <m/>
    <m/>
    <m/>
    <m/>
  </r>
  <r>
    <x v="0"/>
    <d v="2002-04-03T00:00:00"/>
    <n v="4"/>
    <x v="12"/>
    <n v="0"/>
    <x v="7"/>
    <s v="St. Geniez"/>
    <x v="46"/>
    <m/>
    <n v="5"/>
    <n v="5"/>
    <x v="10"/>
    <m/>
    <m/>
    <m/>
    <m/>
  </r>
  <r>
    <x v="0"/>
    <d v="2002-04-03T00:00:00"/>
    <n v="4"/>
    <x v="12"/>
    <n v="0"/>
    <x v="7"/>
    <s v="Laragne"/>
    <x v="47"/>
    <m/>
    <n v="8"/>
    <n v="8"/>
    <x v="10"/>
    <m/>
    <m/>
    <m/>
    <m/>
  </r>
  <r>
    <x v="0"/>
    <d v="2002-04-04T00:00:00"/>
    <n v="4"/>
    <x v="12"/>
    <n v="1"/>
    <x v="7"/>
    <s v="Rahet de Beau Mont"/>
    <x v="48"/>
    <n v="1"/>
    <n v="17"/>
    <n v="77"/>
    <x v="10"/>
    <s v="Starthilfe Housi"/>
    <m/>
    <m/>
    <m/>
  </r>
  <r>
    <x v="0"/>
    <d v="2002-04-05T00:00:00"/>
    <n v="4"/>
    <x v="12"/>
    <n v="1"/>
    <x v="7"/>
    <s v="Plan fait"/>
    <x v="49"/>
    <m/>
    <n v="54"/>
    <n v="54"/>
    <x v="10"/>
    <m/>
    <m/>
    <m/>
    <m/>
  </r>
  <r>
    <x v="0"/>
    <d v="2002-04-05T00:00:00"/>
    <n v="4"/>
    <x v="12"/>
    <n v="0"/>
    <x v="7"/>
    <s v="Plan fait"/>
    <x v="49"/>
    <m/>
    <n v="24"/>
    <n v="24"/>
    <x v="10"/>
    <m/>
    <m/>
    <m/>
    <m/>
  </r>
  <r>
    <x v="0"/>
    <d v="2002-04-05T00:00:00"/>
    <n v="4"/>
    <x v="12"/>
    <n v="0"/>
    <x v="7"/>
    <s v="Plan fait"/>
    <x v="49"/>
    <m/>
    <n v="28"/>
    <n v="28"/>
    <x v="10"/>
    <m/>
    <m/>
    <m/>
    <m/>
  </r>
  <r>
    <x v="0"/>
    <d v="2002-05-06T00:00:00"/>
    <n v="5"/>
    <x v="12"/>
    <n v="1"/>
    <x v="7"/>
    <s v="Brunni"/>
    <x v="36"/>
    <m/>
    <n v="15"/>
    <n v="15"/>
    <x v="2"/>
    <s v="Hochgelaufen"/>
    <m/>
    <m/>
    <m/>
  </r>
  <r>
    <x v="0"/>
    <d v="2002-05-15T00:00:00"/>
    <n v="5"/>
    <x v="12"/>
    <n v="1"/>
    <x v="7"/>
    <s v="Stanserhorn"/>
    <x v="11"/>
    <m/>
    <n v="18"/>
    <n v="18"/>
    <x v="2"/>
    <m/>
    <m/>
    <m/>
    <m/>
  </r>
  <r>
    <x v="0"/>
    <d v="2002-05-16T00:00:00"/>
    <n v="5"/>
    <x v="12"/>
    <n v="1"/>
    <x v="7"/>
    <s v="Brändlen"/>
    <x v="14"/>
    <m/>
    <n v="14"/>
    <n v="14"/>
    <x v="2"/>
    <m/>
    <m/>
    <m/>
    <m/>
  </r>
  <r>
    <x v="0"/>
    <d v="2002-05-29T00:00:00"/>
    <n v="5"/>
    <x v="12"/>
    <n v="1"/>
    <x v="7"/>
    <s v="Mte Lema"/>
    <x v="50"/>
    <m/>
    <n v="45"/>
    <n v="45"/>
    <x v="9"/>
    <s v="Hansi, Netti, Dagi, Rolf, Rainer, Walburga, Jochen"/>
    <m/>
    <m/>
    <m/>
  </r>
  <r>
    <x v="0"/>
    <d v="2002-05-30T00:00:00"/>
    <n v="5"/>
    <x v="12"/>
    <n v="1"/>
    <x v="7"/>
    <s v="Mte Generoso"/>
    <x v="51"/>
    <n v="4"/>
    <n v="1"/>
    <n v="241"/>
    <x v="9"/>
    <m/>
    <m/>
    <m/>
    <m/>
  </r>
  <r>
    <x v="0"/>
    <d v="2002-05-31T00:00:00"/>
    <n v="5"/>
    <x v="12"/>
    <n v="1"/>
    <x v="7"/>
    <s v="Cimetta"/>
    <x v="52"/>
    <n v="1"/>
    <n v="50"/>
    <n v="110"/>
    <x v="9"/>
    <s v="am 3. Grat abgesoffen, aufgebaut"/>
    <m/>
    <m/>
    <m/>
  </r>
  <r>
    <x v="0"/>
    <d v="2002-06-01T00:00:00"/>
    <n v="6"/>
    <x v="12"/>
    <n v="1"/>
    <x v="7"/>
    <s v="Heimat"/>
    <x v="19"/>
    <n v="3"/>
    <n v="10"/>
    <n v="190"/>
    <x v="2"/>
    <s v="2x Eggishorn/Bellwald"/>
    <m/>
    <m/>
    <m/>
  </r>
  <r>
    <x v="0"/>
    <d v="2002-06-14T00:00:00"/>
    <n v="6"/>
    <x v="12"/>
    <n v="1"/>
    <x v="7"/>
    <s v="Stanserhorn"/>
    <x v="53"/>
    <n v="1"/>
    <n v="41"/>
    <n v="101"/>
    <x v="2"/>
    <s v="1. Flug mit GPS"/>
    <m/>
    <m/>
    <m/>
  </r>
  <r>
    <x v="0"/>
    <d v="2002-06-17T00:00:00"/>
    <n v="6"/>
    <x v="12"/>
    <n v="1"/>
    <x v="7"/>
    <s v="Stanserhorn"/>
    <x v="43"/>
    <m/>
    <n v="34"/>
    <n v="34"/>
    <x v="2"/>
    <m/>
    <m/>
    <m/>
    <m/>
  </r>
  <r>
    <x v="0"/>
    <d v="2002-06-18T00:00:00"/>
    <n v="6"/>
    <x v="12"/>
    <n v="1"/>
    <x v="7"/>
    <s v="Stanserhorn"/>
    <x v="54"/>
    <n v="2"/>
    <n v="30"/>
    <n v="150"/>
    <x v="2"/>
    <m/>
    <m/>
    <m/>
    <m/>
  </r>
  <r>
    <x v="0"/>
    <d v="2002-06-19T00:00:00"/>
    <n v="6"/>
    <x v="12"/>
    <n v="1"/>
    <x v="7"/>
    <s v="Stanserhorn"/>
    <x v="11"/>
    <n v="1"/>
    <n v="6"/>
    <n v="66"/>
    <x v="2"/>
    <s v="mit Chregu"/>
    <n v="7"/>
    <n v="-16"/>
    <m/>
  </r>
  <r>
    <x v="0"/>
    <d v="2002-06-29T00:00:00"/>
    <n v="6"/>
    <x v="12"/>
    <n v="1"/>
    <x v="7"/>
    <s v="Büelen"/>
    <x v="37"/>
    <n v="2"/>
    <n v="8"/>
    <n v="128"/>
    <x v="2"/>
    <m/>
    <m/>
    <m/>
    <m/>
  </r>
  <r>
    <x v="0"/>
    <d v="2002-07-19T00:00:00"/>
    <n v="7"/>
    <x v="12"/>
    <n v="1"/>
    <x v="7"/>
    <s v="First"/>
    <x v="17"/>
    <m/>
    <n v="18"/>
    <n v="18"/>
    <x v="2"/>
    <m/>
    <m/>
    <m/>
    <m/>
  </r>
  <r>
    <x v="0"/>
    <d v="2002-07-22T00:00:00"/>
    <n v="7"/>
    <x v="12"/>
    <n v="1"/>
    <x v="7"/>
    <s v="Stanserhorn"/>
    <x v="11"/>
    <m/>
    <n v="49"/>
    <n v="49"/>
    <x v="2"/>
    <m/>
    <m/>
    <m/>
    <m/>
  </r>
  <r>
    <x v="0"/>
    <d v="2002-07-23T00:00:00"/>
    <n v="7"/>
    <x v="12"/>
    <n v="1"/>
    <x v="7"/>
    <s v="First"/>
    <x v="5"/>
    <n v="1"/>
    <n v="28"/>
    <n v="88"/>
    <x v="2"/>
    <s v="Mettenberg Eiger"/>
    <m/>
    <m/>
    <m/>
  </r>
  <r>
    <x v="0"/>
    <d v="2002-08-02T00:00:00"/>
    <n v="8"/>
    <x v="12"/>
    <n v="1"/>
    <x v="7"/>
    <s v="Stanserhorn"/>
    <x v="11"/>
    <m/>
    <n v="19"/>
    <n v="19"/>
    <x v="2"/>
    <m/>
    <m/>
    <m/>
    <m/>
  </r>
  <r>
    <x v="0"/>
    <d v="2002-08-15T00:00:00"/>
    <n v="8"/>
    <x v="12"/>
    <n v="1"/>
    <x v="7"/>
    <s v="Stanserhorn"/>
    <x v="55"/>
    <m/>
    <n v="18"/>
    <n v="18"/>
    <x v="2"/>
    <m/>
    <m/>
    <m/>
    <m/>
  </r>
  <r>
    <x v="0"/>
    <d v="2002-08-25T00:00:00"/>
    <n v="8"/>
    <x v="12"/>
    <n v="1"/>
    <x v="9"/>
    <s v="First"/>
    <x v="17"/>
    <m/>
    <n v="15"/>
    <n v="15"/>
    <x v="2"/>
    <s v="Edi's Schirm"/>
    <m/>
    <m/>
    <m/>
  </r>
  <r>
    <x v="0"/>
    <d v="2002-09-18T00:00:00"/>
    <n v="9"/>
    <x v="12"/>
    <n v="1"/>
    <x v="7"/>
    <s v="Stanserhorn"/>
    <x v="55"/>
    <m/>
    <n v="18"/>
    <n v="18"/>
    <x v="2"/>
    <m/>
    <m/>
    <m/>
    <m/>
  </r>
  <r>
    <x v="0"/>
    <d v="2002-09-30T00:00:00"/>
    <n v="9"/>
    <x v="12"/>
    <n v="1"/>
    <x v="7"/>
    <s v="Brändlen"/>
    <x v="55"/>
    <m/>
    <n v="14"/>
    <n v="14"/>
    <x v="2"/>
    <m/>
    <m/>
    <m/>
    <m/>
  </r>
  <r>
    <x v="0"/>
    <d v="2003-03-24T00:00:00"/>
    <n v="3"/>
    <x v="13"/>
    <n v="1"/>
    <x v="7"/>
    <s v="Brunni"/>
    <x v="14"/>
    <n v="1"/>
    <n v="48"/>
    <n v="108"/>
    <x v="2"/>
    <m/>
    <m/>
    <m/>
    <m/>
  </r>
  <r>
    <x v="0"/>
    <d v="2003-03-26T00:00:00"/>
    <n v="3"/>
    <x v="13"/>
    <n v="1"/>
    <x v="7"/>
    <s v="Brunni"/>
    <x v="37"/>
    <n v="2"/>
    <n v="15"/>
    <n v="135"/>
    <x v="2"/>
    <s v="Buochserhorn/Musenalp mit Chregu"/>
    <m/>
    <m/>
    <m/>
  </r>
  <r>
    <x v="0"/>
    <d v="2003-04-15T00:00:00"/>
    <n v="4"/>
    <x v="13"/>
    <n v="1"/>
    <x v="7"/>
    <s v="Brunni"/>
    <x v="36"/>
    <m/>
    <n v="40"/>
    <n v="40"/>
    <x v="2"/>
    <m/>
    <m/>
    <m/>
    <m/>
  </r>
  <r>
    <x v="0"/>
    <d v="2003-04-18T00:00:00"/>
    <n v="4"/>
    <x v="13"/>
    <n v="1"/>
    <x v="7"/>
    <s v="Brunni"/>
    <x v="36"/>
    <n v="2"/>
    <n v="5"/>
    <n v="125"/>
    <x v="2"/>
    <s v="Brändlen, Wirzweli, Arvigrat mit Chregu"/>
    <m/>
    <m/>
    <m/>
  </r>
  <r>
    <x v="0"/>
    <d v="2003-04-25T00:00:00"/>
    <n v="4"/>
    <x v="13"/>
    <n v="1"/>
    <x v="7"/>
    <s v="Fürenalp"/>
    <x v="37"/>
    <n v="2"/>
    <n v="38"/>
    <n v="158"/>
    <x v="2"/>
    <s v="Horren, Rigidalstock, Haldi, Brisen, Buochserhorn mit Chregu"/>
    <m/>
    <m/>
    <m/>
  </r>
  <r>
    <x v="0"/>
    <d v="2003-05-04T00:00:00"/>
    <n v="5"/>
    <x v="13"/>
    <n v="1"/>
    <x v="7"/>
    <s v="Fürenalp"/>
    <x v="36"/>
    <m/>
    <n v="19"/>
    <n v="19"/>
    <x v="2"/>
    <s v="Mona hat mich zurück gefahren"/>
    <m/>
    <m/>
    <m/>
  </r>
  <r>
    <x v="0"/>
    <d v="2003-05-07T00:00:00"/>
    <n v="5"/>
    <x v="13"/>
    <n v="1"/>
    <x v="7"/>
    <s v="Büelen"/>
    <x v="37"/>
    <m/>
    <n v="18"/>
    <n v="18"/>
    <x v="2"/>
    <m/>
    <m/>
    <m/>
    <m/>
  </r>
  <r>
    <x v="0"/>
    <d v="2003-05-25T00:00:00"/>
    <n v="5"/>
    <x v="13"/>
    <n v="1"/>
    <x v="7"/>
    <s v="Gerlizen A"/>
    <x v="25"/>
    <n v="2"/>
    <n v="25"/>
    <n v="145"/>
    <x v="11"/>
    <m/>
    <m/>
    <m/>
    <m/>
  </r>
  <r>
    <x v="0"/>
    <d v="2003-05-25T00:00:00"/>
    <n v="5"/>
    <x v="13"/>
    <n v="0"/>
    <x v="7"/>
    <s v="Gerlizen A"/>
    <x v="25"/>
    <n v="1"/>
    <n v="15"/>
    <n v="75"/>
    <x v="11"/>
    <m/>
    <m/>
    <m/>
    <m/>
  </r>
  <r>
    <x v="0"/>
    <d v="2003-05-26T00:00:00"/>
    <n v="5"/>
    <x v="13"/>
    <n v="1"/>
    <x v="7"/>
    <s v="Gerlizen A"/>
    <x v="25"/>
    <m/>
    <n v="55"/>
    <n v="55"/>
    <x v="11"/>
    <m/>
    <m/>
    <m/>
    <m/>
  </r>
  <r>
    <x v="0"/>
    <d v="2003-05-26T00:00:00"/>
    <n v="5"/>
    <x v="13"/>
    <n v="0"/>
    <x v="7"/>
    <s v="Gerlizen A"/>
    <x v="25"/>
    <m/>
    <n v="38"/>
    <n v="38"/>
    <x v="11"/>
    <m/>
    <m/>
    <m/>
    <m/>
  </r>
  <r>
    <x v="0"/>
    <d v="2003-05-28T00:00:00"/>
    <n v="5"/>
    <x v="13"/>
    <n v="1"/>
    <x v="7"/>
    <s v="Gerlizen A"/>
    <x v="25"/>
    <m/>
    <n v="29"/>
    <n v="29"/>
    <x v="11"/>
    <m/>
    <m/>
    <m/>
    <m/>
  </r>
  <r>
    <x v="0"/>
    <d v="2003-05-29T00:00:00"/>
    <n v="5"/>
    <x v="13"/>
    <n v="1"/>
    <x v="7"/>
    <s v="Gerlizen A"/>
    <x v="25"/>
    <n v="1"/>
    <n v="45"/>
    <n v="105"/>
    <x v="11"/>
    <m/>
    <m/>
    <m/>
    <m/>
  </r>
  <r>
    <x v="0"/>
    <d v="2003-05-30T00:00:00"/>
    <n v="5"/>
    <x v="13"/>
    <n v="1"/>
    <x v="7"/>
    <s v="Gerlizen A"/>
    <x v="25"/>
    <n v="2"/>
    <n v="30"/>
    <n v="150"/>
    <x v="11"/>
    <m/>
    <m/>
    <m/>
    <m/>
  </r>
  <r>
    <x v="0"/>
    <d v="2003-05-30T00:00:00"/>
    <n v="5"/>
    <x v="13"/>
    <n v="0"/>
    <x v="7"/>
    <s v="Gerlizen A"/>
    <x v="25"/>
    <n v="1"/>
    <n v="40"/>
    <n v="100"/>
    <x v="11"/>
    <m/>
    <m/>
    <m/>
    <m/>
  </r>
  <r>
    <x v="0"/>
    <d v="2003-06-01T00:00:00"/>
    <n v="6"/>
    <x v="13"/>
    <n v="1"/>
    <x v="7"/>
    <s v="Stanserhorn"/>
    <x v="14"/>
    <n v="2"/>
    <n v="40"/>
    <n v="160"/>
    <x v="2"/>
    <s v="Chregu Notschirm oberhalb Oberrickenbach"/>
    <m/>
    <m/>
    <m/>
  </r>
  <r>
    <x v="0"/>
    <d v="2003-06-10T00:00:00"/>
    <n v="6"/>
    <x v="13"/>
    <n v="1"/>
    <x v="7"/>
    <s v="Stanserhorn"/>
    <x v="11"/>
    <n v="1"/>
    <n v="20"/>
    <n v="80"/>
    <x v="2"/>
    <m/>
    <m/>
    <m/>
    <m/>
  </r>
  <r>
    <x v="0"/>
    <d v="2003-06-14T00:00:00"/>
    <n v="6"/>
    <x v="13"/>
    <n v="1"/>
    <x v="7"/>
    <s v="First"/>
    <x v="17"/>
    <n v="1"/>
    <n v="18"/>
    <n v="78"/>
    <x v="2"/>
    <s v="Alexandras 1. Flug mit Edi 30 Min"/>
    <m/>
    <m/>
    <m/>
  </r>
  <r>
    <x v="0"/>
    <d v="2003-06-19T00:00:00"/>
    <n v="6"/>
    <x v="13"/>
    <n v="1"/>
    <x v="7"/>
    <s v="Stanserhorn"/>
    <x v="11"/>
    <m/>
    <n v="20"/>
    <n v="20"/>
    <x v="2"/>
    <m/>
    <m/>
    <m/>
    <m/>
  </r>
  <r>
    <x v="0"/>
    <d v="2003-06-21T00:00:00"/>
    <n v="6"/>
    <x v="13"/>
    <n v="1"/>
    <x v="7"/>
    <s v="Fürenalp"/>
    <x v="11"/>
    <n v="1"/>
    <n v="12"/>
    <n v="72"/>
    <x v="2"/>
    <m/>
    <m/>
    <m/>
    <m/>
  </r>
  <r>
    <x v="0"/>
    <d v="2003-06-22T00:00:00"/>
    <n v="6"/>
    <x v="13"/>
    <n v="1"/>
    <x v="7"/>
    <s v="Stanserhorn"/>
    <x v="56"/>
    <m/>
    <n v="14"/>
    <n v="14"/>
    <x v="2"/>
    <m/>
    <m/>
    <m/>
    <m/>
  </r>
  <r>
    <x v="0"/>
    <d v="2003-06-29T00:00:00"/>
    <n v="6"/>
    <x v="13"/>
    <n v="1"/>
    <x v="7"/>
    <s v="First"/>
    <x v="17"/>
    <m/>
    <n v="55"/>
    <n v="55"/>
    <x v="2"/>
    <s v="Frontklapper über Waldspitz--&gt; Schwarzhorn"/>
    <m/>
    <m/>
    <m/>
  </r>
  <r>
    <x v="0"/>
    <d v="2003-07-11T00:00:00"/>
    <n v="7"/>
    <x v="13"/>
    <n v="1"/>
    <x v="7"/>
    <s v="First"/>
    <x v="30"/>
    <m/>
    <n v="56"/>
    <n v="56"/>
    <x v="2"/>
    <s v="Mettenberg Eiger"/>
    <m/>
    <m/>
    <m/>
  </r>
  <r>
    <x v="0"/>
    <d v="2003-07-12T00:00:00"/>
    <n v="7"/>
    <x v="13"/>
    <n v="1"/>
    <x v="7"/>
    <s v="First"/>
    <x v="17"/>
    <n v="1"/>
    <n v="30"/>
    <n v="90"/>
    <x v="2"/>
    <m/>
    <m/>
    <m/>
    <m/>
  </r>
  <r>
    <x v="0"/>
    <d v="2003-07-30T00:00:00"/>
    <n v="7"/>
    <x v="13"/>
    <n v="1"/>
    <x v="7"/>
    <s v="Lazid"/>
    <x v="57"/>
    <m/>
    <n v="7"/>
    <n v="7"/>
    <x v="2"/>
    <s v="Ferien in A (Serfaus)"/>
    <m/>
    <m/>
    <m/>
  </r>
  <r>
    <x v="0"/>
    <d v="2003-08-03T00:00:00"/>
    <n v="8"/>
    <x v="13"/>
    <n v="1"/>
    <x v="7"/>
    <s v="First"/>
    <x v="5"/>
    <n v="3"/>
    <n v="32"/>
    <n v="212"/>
    <x v="2"/>
    <s v="Fast auf Wetterhorn"/>
    <m/>
    <m/>
    <m/>
  </r>
  <r>
    <x v="2"/>
    <d v="2004-04-18T00:00:00"/>
    <n v="4"/>
    <x v="14"/>
    <n v="0"/>
    <x v="4"/>
    <m/>
    <x v="24"/>
    <m/>
    <m/>
    <n v="0"/>
    <x v="12"/>
    <s v="Notschirmpackkurs Engelberg"/>
    <m/>
    <m/>
    <m/>
  </r>
  <r>
    <x v="0"/>
    <d v="2004-05-15T00:00:00"/>
    <n v="5"/>
    <x v="14"/>
    <n v="1"/>
    <x v="7"/>
    <s v="Büelen"/>
    <x v="37"/>
    <m/>
    <n v="50"/>
    <n v="50"/>
    <x v="2"/>
    <m/>
    <m/>
    <m/>
    <m/>
  </r>
  <r>
    <x v="0"/>
    <d v="2004-05-29T00:00:00"/>
    <n v="5"/>
    <x v="14"/>
    <n v="1"/>
    <x v="7"/>
    <s v="Büelen"/>
    <x v="37"/>
    <n v="2"/>
    <n v="43"/>
    <n v="163"/>
    <x v="2"/>
    <m/>
    <m/>
    <m/>
    <m/>
  </r>
  <r>
    <x v="0"/>
    <d v="2004-05-30T00:00:00"/>
    <n v="5"/>
    <x v="14"/>
    <n v="1"/>
    <x v="7"/>
    <s v="Brunni"/>
    <x v="36"/>
    <n v="1"/>
    <n v="22"/>
    <n v="82"/>
    <x v="2"/>
    <m/>
    <m/>
    <m/>
    <m/>
  </r>
  <r>
    <x v="0"/>
    <d v="2004-06-10T00:00:00"/>
    <n v="6"/>
    <x v="14"/>
    <n v="1"/>
    <x v="7"/>
    <s v="First"/>
    <x v="17"/>
    <m/>
    <n v="23"/>
    <n v="23"/>
    <x v="2"/>
    <m/>
    <m/>
    <m/>
    <m/>
  </r>
  <r>
    <x v="0"/>
    <d v="2004-06-10T00:00:00"/>
    <n v="6"/>
    <x v="14"/>
    <n v="0"/>
    <x v="7"/>
    <s v="First"/>
    <x v="5"/>
    <n v="2"/>
    <n v="29"/>
    <n v="149"/>
    <x v="2"/>
    <m/>
    <m/>
    <m/>
    <m/>
  </r>
  <r>
    <x v="0"/>
    <d v="2004-07-04T00:00:00"/>
    <n v="7"/>
    <x v="14"/>
    <n v="1"/>
    <x v="7"/>
    <s v="Brunni"/>
    <x v="36"/>
    <n v="1"/>
    <n v="13"/>
    <n v="73"/>
    <x v="2"/>
    <m/>
    <m/>
    <m/>
    <m/>
  </r>
  <r>
    <x v="0"/>
    <d v="2004-07-18T00:00:00"/>
    <n v="7"/>
    <x v="14"/>
    <n v="1"/>
    <x v="7"/>
    <s v="First"/>
    <x v="5"/>
    <m/>
    <n v="18"/>
    <n v="18"/>
    <x v="2"/>
    <m/>
    <m/>
    <m/>
    <m/>
  </r>
  <r>
    <x v="0"/>
    <d v="2004-07-28T00:00:00"/>
    <n v="7"/>
    <x v="14"/>
    <n v="1"/>
    <x v="7"/>
    <s v="Büelen"/>
    <x v="37"/>
    <m/>
    <n v="58"/>
    <n v="58"/>
    <x v="2"/>
    <m/>
    <m/>
    <m/>
    <m/>
  </r>
  <r>
    <x v="0"/>
    <d v="2004-07-29T00:00:00"/>
    <n v="7"/>
    <x v="14"/>
    <n v="1"/>
    <x v="7"/>
    <s v="First"/>
    <x v="17"/>
    <n v="1"/>
    <n v="54"/>
    <n v="114"/>
    <x v="2"/>
    <m/>
    <m/>
    <m/>
    <m/>
  </r>
  <r>
    <x v="0"/>
    <d v="2004-07-31T00:00:00"/>
    <n v="7"/>
    <x v="14"/>
    <n v="1"/>
    <x v="7"/>
    <s v="First"/>
    <x v="17"/>
    <n v="1"/>
    <n v="36"/>
    <n v="96"/>
    <x v="2"/>
    <m/>
    <m/>
    <m/>
    <m/>
  </r>
  <r>
    <x v="0"/>
    <d v="2004-08-07T00:00:00"/>
    <n v="8"/>
    <x v="14"/>
    <n v="1"/>
    <x v="7"/>
    <s v="First"/>
    <x v="5"/>
    <m/>
    <n v="21"/>
    <n v="21"/>
    <x v="2"/>
    <m/>
    <m/>
    <m/>
    <m/>
  </r>
  <r>
    <x v="0"/>
    <d v="2004-08-08T00:00:00"/>
    <n v="8"/>
    <x v="14"/>
    <n v="1"/>
    <x v="7"/>
    <s v="First"/>
    <x v="5"/>
    <n v="1"/>
    <n v="53"/>
    <n v="113"/>
    <x v="2"/>
    <s v="Wetterhorn, Mettenberg, Eiger"/>
    <m/>
    <m/>
    <m/>
  </r>
  <r>
    <x v="0"/>
    <d v="2004-09-06T00:00:00"/>
    <n v="9"/>
    <x v="14"/>
    <n v="1"/>
    <x v="7"/>
    <s v="First"/>
    <x v="5"/>
    <m/>
    <n v="57"/>
    <n v="57"/>
    <x v="2"/>
    <m/>
    <m/>
    <m/>
    <m/>
  </r>
  <r>
    <x v="2"/>
    <d v="2005-03-30T00:00:00"/>
    <n v="3"/>
    <x v="15"/>
    <n v="0"/>
    <x v="4"/>
    <m/>
    <x v="24"/>
    <m/>
    <m/>
    <n v="0"/>
    <x v="2"/>
    <s v="Notschirm selbst gepackt"/>
    <m/>
    <m/>
    <m/>
  </r>
  <r>
    <x v="0"/>
    <d v="2005-04-04T00:00:00"/>
    <n v="4"/>
    <x v="15"/>
    <n v="1"/>
    <x v="10"/>
    <s v="Heimat"/>
    <x v="58"/>
    <m/>
    <n v="44"/>
    <n v="44"/>
    <x v="8"/>
    <s v="Urs, Rolf Thomas, Ursi, Hermann"/>
    <m/>
    <m/>
    <m/>
  </r>
  <r>
    <x v="0"/>
    <d v="2005-04-05T00:00:00"/>
    <n v="4"/>
    <x v="15"/>
    <n v="1"/>
    <x v="10"/>
    <s v="Heimat"/>
    <x v="59"/>
    <m/>
    <n v="11"/>
    <n v="11"/>
    <x v="8"/>
    <m/>
    <m/>
    <m/>
    <m/>
  </r>
  <r>
    <x v="0"/>
    <d v="2005-04-05T00:00:00"/>
    <n v="4"/>
    <x v="15"/>
    <n v="0"/>
    <x v="10"/>
    <s v="Heimat"/>
    <x v="35"/>
    <n v="1"/>
    <n v="16"/>
    <n v="76"/>
    <x v="8"/>
    <m/>
    <m/>
    <m/>
    <m/>
  </r>
  <r>
    <x v="0"/>
    <d v="2005-04-06T00:00:00"/>
    <n v="4"/>
    <x v="15"/>
    <n v="1"/>
    <x v="10"/>
    <s v="Heimat"/>
    <x v="58"/>
    <m/>
    <n v="32"/>
    <n v="32"/>
    <x v="8"/>
    <m/>
    <m/>
    <m/>
    <m/>
  </r>
  <r>
    <x v="0"/>
    <d v="2005-04-30T00:00:00"/>
    <n v="4"/>
    <x v="15"/>
    <n v="1"/>
    <x v="7"/>
    <s v="Büelen"/>
    <x v="53"/>
    <n v="2"/>
    <n v="29"/>
    <n v="149"/>
    <x v="2"/>
    <s v="neuer Notschirm"/>
    <m/>
    <m/>
    <m/>
  </r>
  <r>
    <x v="0"/>
    <d v="2005-05-01T00:00:00"/>
    <n v="5"/>
    <x v="15"/>
    <n v="1"/>
    <x v="7"/>
    <s v="Büelen"/>
    <x v="37"/>
    <m/>
    <n v="34"/>
    <n v="34"/>
    <x v="2"/>
    <m/>
    <m/>
    <m/>
    <m/>
  </r>
  <r>
    <x v="0"/>
    <d v="2005-05-28T00:00:00"/>
    <n v="5"/>
    <x v="15"/>
    <n v="1"/>
    <x v="10"/>
    <s v="Stanserhorn"/>
    <x v="11"/>
    <n v="3"/>
    <n v="8"/>
    <n v="188"/>
    <x v="2"/>
    <s v="Neuer Schirm"/>
    <m/>
    <m/>
    <m/>
  </r>
  <r>
    <x v="0"/>
    <d v="2005-05-29T00:00:00"/>
    <n v="5"/>
    <x v="15"/>
    <n v="1"/>
    <x v="10"/>
    <s v="Stanserhorn"/>
    <x v="11"/>
    <m/>
    <n v="36"/>
    <n v="36"/>
    <x v="2"/>
    <m/>
    <m/>
    <m/>
    <m/>
  </r>
  <r>
    <x v="0"/>
    <d v="2005-06-11T00:00:00"/>
    <n v="6"/>
    <x v="15"/>
    <n v="1"/>
    <x v="10"/>
    <s v="Stanserhorn"/>
    <x v="14"/>
    <n v="1"/>
    <n v="18"/>
    <n v="78"/>
    <x v="2"/>
    <m/>
    <m/>
    <m/>
    <m/>
  </r>
  <r>
    <x v="0"/>
    <d v="2005-06-18T00:00:00"/>
    <n v="6"/>
    <x v="15"/>
    <n v="1"/>
    <x v="10"/>
    <s v="First"/>
    <x v="5"/>
    <m/>
    <n v="37"/>
    <n v="37"/>
    <x v="2"/>
    <m/>
    <m/>
    <m/>
    <m/>
  </r>
  <r>
    <x v="0"/>
    <d v="2005-06-19T00:00:00"/>
    <n v="6"/>
    <x v="15"/>
    <n v="1"/>
    <x v="10"/>
    <s v="First"/>
    <x v="5"/>
    <n v="2"/>
    <n v="40"/>
    <n v="160"/>
    <x v="2"/>
    <s v="Mettenberg :)"/>
    <m/>
    <m/>
    <m/>
  </r>
  <r>
    <x v="0"/>
    <d v="2005-06-26T00:00:00"/>
    <n v="6"/>
    <x v="15"/>
    <n v="1"/>
    <x v="10"/>
    <s v="First"/>
    <x v="5"/>
    <n v="1"/>
    <n v="23"/>
    <n v="83"/>
    <x v="2"/>
    <m/>
    <m/>
    <m/>
    <m/>
  </r>
  <r>
    <x v="0"/>
    <d v="2005-07-17T00:00:00"/>
    <n v="7"/>
    <x v="15"/>
    <n v="1"/>
    <x v="10"/>
    <s v="Stanserhorn"/>
    <x v="11"/>
    <m/>
    <n v="17"/>
    <n v="17"/>
    <x v="2"/>
    <m/>
    <m/>
    <m/>
    <m/>
  </r>
  <r>
    <x v="0"/>
    <d v="2005-07-20T00:00:00"/>
    <n v="7"/>
    <x v="15"/>
    <n v="1"/>
    <x v="10"/>
    <s v="First"/>
    <x v="5"/>
    <m/>
    <n v="31"/>
    <n v="31"/>
    <x v="2"/>
    <m/>
    <m/>
    <m/>
    <m/>
  </r>
  <r>
    <x v="0"/>
    <d v="2005-07-27T00:00:00"/>
    <n v="7"/>
    <x v="15"/>
    <n v="1"/>
    <x v="10"/>
    <s v="First"/>
    <x v="5"/>
    <n v="1"/>
    <n v="1"/>
    <n v="61"/>
    <x v="2"/>
    <m/>
    <m/>
    <m/>
    <m/>
  </r>
  <r>
    <x v="0"/>
    <d v="2005-07-28T00:00:00"/>
    <n v="7"/>
    <x v="15"/>
    <n v="1"/>
    <x v="10"/>
    <s v="First"/>
    <x v="5"/>
    <n v="1"/>
    <n v="58"/>
    <n v="118"/>
    <x v="2"/>
    <s v="Wetterhorn :)"/>
    <m/>
    <m/>
    <m/>
  </r>
  <r>
    <x v="0"/>
    <d v="2005-09-12T00:00:00"/>
    <n v="9"/>
    <x v="15"/>
    <n v="1"/>
    <x v="10"/>
    <s v="Rodella"/>
    <x v="60"/>
    <m/>
    <n v="56"/>
    <n v="56"/>
    <x v="13"/>
    <s v="mit Adi Hunziker"/>
    <m/>
    <m/>
    <m/>
  </r>
  <r>
    <x v="0"/>
    <d v="2005-09-12T00:00:00"/>
    <n v="9"/>
    <x v="15"/>
    <n v="0"/>
    <x v="10"/>
    <s v="Belvedere"/>
    <x v="60"/>
    <m/>
    <n v="17"/>
    <n v="17"/>
    <x v="13"/>
    <m/>
    <m/>
    <m/>
    <m/>
  </r>
  <r>
    <x v="0"/>
    <d v="2005-09-13T00:00:00"/>
    <n v="9"/>
    <x v="15"/>
    <n v="1"/>
    <x v="10"/>
    <s v="Rodella"/>
    <x v="60"/>
    <m/>
    <n v="9"/>
    <n v="9"/>
    <x v="13"/>
    <m/>
    <m/>
    <m/>
    <m/>
  </r>
  <r>
    <x v="0"/>
    <d v="2005-09-13T00:00:00"/>
    <n v="9"/>
    <x v="15"/>
    <n v="0"/>
    <x v="10"/>
    <s v="Rodella"/>
    <x v="61"/>
    <m/>
    <n v="11"/>
    <n v="11"/>
    <x v="13"/>
    <m/>
    <m/>
    <m/>
    <m/>
  </r>
  <r>
    <x v="0"/>
    <d v="2005-09-13T00:00:00"/>
    <n v="9"/>
    <x v="15"/>
    <n v="0"/>
    <x v="10"/>
    <s v="Belvedere"/>
    <x v="60"/>
    <m/>
    <n v="9"/>
    <n v="9"/>
    <x v="13"/>
    <m/>
    <m/>
    <m/>
    <m/>
  </r>
  <r>
    <x v="0"/>
    <d v="2005-09-14T00:00:00"/>
    <n v="9"/>
    <x v="15"/>
    <n v="1"/>
    <x v="10"/>
    <s v="Rodella"/>
    <x v="60"/>
    <m/>
    <n v="7"/>
    <n v="7"/>
    <x v="13"/>
    <m/>
    <m/>
    <m/>
    <m/>
  </r>
  <r>
    <x v="0"/>
    <d v="2005-09-15T00:00:00"/>
    <n v="9"/>
    <x v="15"/>
    <n v="1"/>
    <x v="10"/>
    <s v="Rodella"/>
    <x v="60"/>
    <n v="1"/>
    <n v="40"/>
    <n v="100"/>
    <x v="13"/>
    <m/>
    <m/>
    <m/>
    <m/>
  </r>
  <r>
    <x v="0"/>
    <d v="2005-09-15T00:00:00"/>
    <n v="9"/>
    <x v="15"/>
    <n v="0"/>
    <x v="10"/>
    <s v="Belvedere"/>
    <x v="60"/>
    <n v="1"/>
    <n v="1"/>
    <n v="61"/>
    <x v="13"/>
    <m/>
    <m/>
    <m/>
    <m/>
  </r>
  <r>
    <x v="0"/>
    <d v="2005-09-16T00:00:00"/>
    <n v="9"/>
    <x v="15"/>
    <n v="1"/>
    <x v="10"/>
    <s v="Rodella"/>
    <x v="62"/>
    <n v="1"/>
    <n v="18"/>
    <n v="78"/>
    <x v="13"/>
    <m/>
    <m/>
    <m/>
    <m/>
  </r>
  <r>
    <x v="0"/>
    <d v="2005-09-16T00:00:00"/>
    <n v="9"/>
    <x v="15"/>
    <n v="0"/>
    <x v="10"/>
    <s v="Belvedere"/>
    <x v="60"/>
    <m/>
    <n v="18"/>
    <n v="18"/>
    <x v="13"/>
    <m/>
    <m/>
    <m/>
    <m/>
  </r>
  <r>
    <x v="0"/>
    <d v="2005-09-24T00:00:00"/>
    <n v="9"/>
    <x v="15"/>
    <n v="1"/>
    <x v="10"/>
    <s v="First"/>
    <x v="5"/>
    <n v="1"/>
    <n v="52"/>
    <n v="112"/>
    <x v="2"/>
    <s v="Klassenzusammenkunft"/>
    <m/>
    <m/>
    <m/>
  </r>
  <r>
    <x v="0"/>
    <d v="2005-10-10T00:00:00"/>
    <n v="10"/>
    <x v="15"/>
    <n v="1"/>
    <x v="10"/>
    <s v="Heimat"/>
    <x v="19"/>
    <m/>
    <n v="13"/>
    <n v="13"/>
    <x v="2"/>
    <s v="Ferien Fieschertal"/>
    <m/>
    <m/>
    <m/>
  </r>
  <r>
    <x v="0"/>
    <d v="2005-10-12T00:00:00"/>
    <n v="10"/>
    <x v="15"/>
    <n v="1"/>
    <x v="10"/>
    <s v="Heimat"/>
    <x v="63"/>
    <m/>
    <n v="12"/>
    <n v="12"/>
    <x v="2"/>
    <s v="Ferien Fieschertal"/>
    <m/>
    <m/>
    <m/>
  </r>
  <r>
    <x v="0"/>
    <d v="2005-10-13T00:00:00"/>
    <n v="10"/>
    <x v="15"/>
    <n v="1"/>
    <x v="10"/>
    <s v="Heimat"/>
    <x v="19"/>
    <m/>
    <n v="13"/>
    <n v="13"/>
    <x v="2"/>
    <s v="Ferien Fieschertal"/>
    <m/>
    <m/>
    <m/>
  </r>
  <r>
    <x v="0"/>
    <d v="2005-10-14T00:00:00"/>
    <n v="10"/>
    <x v="15"/>
    <n v="1"/>
    <x v="10"/>
    <s v="Heimat"/>
    <x v="19"/>
    <m/>
    <n v="31"/>
    <n v="31"/>
    <x v="2"/>
    <s v="Ferien Fieschertal"/>
    <m/>
    <m/>
    <m/>
  </r>
  <r>
    <x v="0"/>
    <d v="2005-10-14T00:00:00"/>
    <n v="10"/>
    <x v="15"/>
    <n v="0"/>
    <x v="10"/>
    <s v="Steibenkreuz"/>
    <x v="19"/>
    <m/>
    <n v="23"/>
    <n v="23"/>
    <x v="2"/>
    <s v="Ferien Fieschertal"/>
    <m/>
    <m/>
    <m/>
  </r>
  <r>
    <x v="0"/>
    <d v="2006-04-08T00:00:00"/>
    <n v="4"/>
    <x v="16"/>
    <n v="1"/>
    <x v="10"/>
    <s v="Brunni"/>
    <x v="36"/>
    <n v="1"/>
    <n v="5"/>
    <n v="65"/>
    <x v="2"/>
    <m/>
    <m/>
    <m/>
    <m/>
  </r>
  <r>
    <x v="0"/>
    <d v="2006-04-22T00:00:00"/>
    <n v="4"/>
    <x v="16"/>
    <n v="1"/>
    <x v="11"/>
    <s v="Büelen"/>
    <x v="37"/>
    <n v="1"/>
    <n v="19"/>
    <n v="79"/>
    <x v="2"/>
    <m/>
    <m/>
    <m/>
    <m/>
  </r>
  <r>
    <x v="0"/>
    <d v="2006-05-03T00:00:00"/>
    <n v="5"/>
    <x v="16"/>
    <n v="1"/>
    <x v="11"/>
    <s v="Büelen"/>
    <x v="37"/>
    <n v="1"/>
    <n v="53"/>
    <n v="113"/>
    <x v="2"/>
    <m/>
    <m/>
    <m/>
    <m/>
  </r>
  <r>
    <x v="0"/>
    <d v="2006-06-10T00:00:00"/>
    <n v="6"/>
    <x v="16"/>
    <n v="1"/>
    <x v="11"/>
    <s v="Büelen"/>
    <x v="37"/>
    <n v="1"/>
    <n v="30"/>
    <n v="90"/>
    <x v="2"/>
    <m/>
    <m/>
    <m/>
    <m/>
  </r>
  <r>
    <x v="0"/>
    <d v="2006-06-12T00:00:00"/>
    <n v="6"/>
    <x v="16"/>
    <n v="1"/>
    <x v="11"/>
    <s v="Heimat"/>
    <x v="35"/>
    <n v="2"/>
    <n v="0"/>
    <n v="120"/>
    <x v="8"/>
    <m/>
    <m/>
    <m/>
    <m/>
  </r>
  <r>
    <x v="0"/>
    <d v="2006-06-13T00:00:00"/>
    <n v="6"/>
    <x v="16"/>
    <n v="1"/>
    <x v="11"/>
    <s v="Heimat"/>
    <x v="63"/>
    <m/>
    <n v="29"/>
    <n v="29"/>
    <x v="8"/>
    <m/>
    <m/>
    <m/>
    <m/>
  </r>
  <r>
    <x v="0"/>
    <d v="2006-06-13T00:00:00"/>
    <n v="6"/>
    <x v="16"/>
    <n v="0"/>
    <x v="11"/>
    <s v="Heimat"/>
    <x v="35"/>
    <n v="1"/>
    <n v="43"/>
    <n v="103"/>
    <x v="8"/>
    <m/>
    <m/>
    <m/>
    <m/>
  </r>
  <r>
    <x v="0"/>
    <d v="2006-06-14T00:00:00"/>
    <n v="6"/>
    <x v="16"/>
    <n v="1"/>
    <x v="11"/>
    <s v="Heimat"/>
    <x v="35"/>
    <n v="2"/>
    <n v="13"/>
    <n v="133"/>
    <x v="8"/>
    <m/>
    <m/>
    <m/>
    <m/>
  </r>
  <r>
    <x v="0"/>
    <d v="2006-06-15T00:00:00"/>
    <n v="6"/>
    <x v="16"/>
    <n v="1"/>
    <x v="11"/>
    <s v="Heimat"/>
    <x v="27"/>
    <n v="2"/>
    <n v="35"/>
    <n v="155"/>
    <x v="8"/>
    <m/>
    <m/>
    <m/>
    <m/>
  </r>
  <r>
    <x v="0"/>
    <d v="2006-06-18T00:00:00"/>
    <n v="6"/>
    <x v="16"/>
    <n v="1"/>
    <x v="11"/>
    <s v="Büelen"/>
    <x v="37"/>
    <m/>
    <n v="31"/>
    <n v="31"/>
    <x v="2"/>
    <s v="Neuer Sitz eingeflogen"/>
    <m/>
    <m/>
    <m/>
  </r>
  <r>
    <x v="0"/>
    <d v="2006-06-24T00:00:00"/>
    <n v="6"/>
    <x v="16"/>
    <n v="1"/>
    <x v="11"/>
    <s v="Stanserhorn"/>
    <x v="11"/>
    <m/>
    <n v="16"/>
    <n v="16"/>
    <x v="2"/>
    <m/>
    <m/>
    <m/>
    <m/>
  </r>
  <r>
    <x v="0"/>
    <d v="2006-07-02T00:00:00"/>
    <n v="7"/>
    <x v="16"/>
    <n v="1"/>
    <x v="11"/>
    <s v="Axalp"/>
    <x v="64"/>
    <m/>
    <n v="8"/>
    <n v="8"/>
    <x v="14"/>
    <s v="Notschirmöffnung"/>
    <m/>
    <m/>
    <m/>
  </r>
  <r>
    <x v="0"/>
    <d v="2006-07-19T00:00:00"/>
    <n v="7"/>
    <x v="16"/>
    <n v="1"/>
    <x v="11"/>
    <s v="First"/>
    <x v="65"/>
    <n v="2"/>
    <n v="21"/>
    <n v="141"/>
    <x v="2"/>
    <s v="Grindelwaldumrundung"/>
    <m/>
    <m/>
    <m/>
  </r>
  <r>
    <x v="0"/>
    <d v="2006-07-20T00:00:00"/>
    <n v="7"/>
    <x v="16"/>
    <n v="1"/>
    <x v="11"/>
    <s v="First"/>
    <x v="65"/>
    <n v="1"/>
    <n v="2"/>
    <n v="62"/>
    <x v="2"/>
    <m/>
    <m/>
    <m/>
    <m/>
  </r>
  <r>
    <x v="0"/>
    <d v="2006-07-21T00:00:00"/>
    <n v="7"/>
    <x v="16"/>
    <n v="1"/>
    <x v="11"/>
    <s v="Brunni"/>
    <x v="36"/>
    <n v="1"/>
    <n v="12"/>
    <n v="72"/>
    <x v="2"/>
    <m/>
    <m/>
    <m/>
    <m/>
  </r>
  <r>
    <x v="0"/>
    <d v="2006-07-30T00:00:00"/>
    <n v="7"/>
    <x v="16"/>
    <n v="1"/>
    <x v="11"/>
    <s v="Büelen"/>
    <x v="37"/>
    <n v="1"/>
    <n v="53"/>
    <n v="113"/>
    <x v="2"/>
    <m/>
    <m/>
    <m/>
    <m/>
  </r>
  <r>
    <x v="0"/>
    <d v="2006-09-10T00:00:00"/>
    <n v="9"/>
    <x v="16"/>
    <n v="1"/>
    <x v="11"/>
    <s v="Rodella"/>
    <x v="60"/>
    <m/>
    <n v="12"/>
    <n v="12"/>
    <x v="13"/>
    <s v="Hansi"/>
    <m/>
    <m/>
    <m/>
  </r>
  <r>
    <x v="0"/>
    <d v="2006-09-10T00:00:00"/>
    <n v="9"/>
    <x v="16"/>
    <n v="0"/>
    <x v="11"/>
    <s v="Rodella"/>
    <x v="60"/>
    <n v="1"/>
    <n v="52"/>
    <n v="112"/>
    <x v="13"/>
    <s v="Marmolada"/>
    <m/>
    <m/>
    <m/>
  </r>
  <r>
    <x v="0"/>
    <d v="2006-09-10T00:00:00"/>
    <n v="9"/>
    <x v="16"/>
    <n v="0"/>
    <x v="11"/>
    <s v="Belvedere"/>
    <x v="60"/>
    <m/>
    <n v="10"/>
    <n v="10"/>
    <x v="13"/>
    <m/>
    <m/>
    <m/>
    <m/>
  </r>
  <r>
    <x v="0"/>
    <d v="2006-09-11T00:00:00"/>
    <n v="9"/>
    <x v="16"/>
    <n v="1"/>
    <x v="11"/>
    <s v="Rodella"/>
    <x v="66"/>
    <n v="1"/>
    <n v="51"/>
    <n v="111"/>
    <x v="13"/>
    <s v="Marmolada--&gt;Richtung Rosengarten"/>
    <m/>
    <m/>
    <m/>
  </r>
  <r>
    <x v="0"/>
    <d v="2006-09-11T00:00:00"/>
    <n v="9"/>
    <x v="16"/>
    <n v="0"/>
    <x v="11"/>
    <s v="Pecol"/>
    <x v="60"/>
    <n v="1"/>
    <n v="1"/>
    <n v="61"/>
    <x v="13"/>
    <s v="Soaren am Belvedere"/>
    <m/>
    <m/>
    <m/>
  </r>
  <r>
    <x v="0"/>
    <d v="2006-09-12T00:00:00"/>
    <n v="9"/>
    <x v="16"/>
    <n v="1"/>
    <x v="11"/>
    <s v="Rodella"/>
    <x v="60"/>
    <n v="1"/>
    <n v="32"/>
    <n v="92"/>
    <x v="13"/>
    <m/>
    <m/>
    <m/>
    <m/>
  </r>
  <r>
    <x v="0"/>
    <d v="2006-09-12T00:00:00"/>
    <n v="9"/>
    <x v="16"/>
    <n v="0"/>
    <x v="11"/>
    <s v="Rosengarten"/>
    <x v="60"/>
    <m/>
    <n v="56"/>
    <n v="56"/>
    <x v="13"/>
    <s v="Herrliche Lichtverhältnisse"/>
    <m/>
    <m/>
    <m/>
  </r>
  <r>
    <x v="0"/>
    <d v="2006-09-13T00:00:00"/>
    <n v="9"/>
    <x v="16"/>
    <n v="1"/>
    <x v="11"/>
    <s v="Rodella"/>
    <x v="60"/>
    <n v="2"/>
    <n v="44"/>
    <n v="164"/>
    <x v="13"/>
    <s v="Marmolada--&gt;Richtung Rosengarten"/>
    <m/>
    <m/>
    <m/>
  </r>
  <r>
    <x v="0"/>
    <d v="2006-09-13T00:00:00"/>
    <n v="9"/>
    <x v="16"/>
    <n v="0"/>
    <x v="11"/>
    <s v="Rosengarten"/>
    <x v="67"/>
    <m/>
    <n v="7"/>
    <n v="7"/>
    <x v="13"/>
    <m/>
    <m/>
    <m/>
    <m/>
  </r>
  <r>
    <x v="0"/>
    <d v="2006-09-14T00:00:00"/>
    <n v="9"/>
    <x v="16"/>
    <n v="1"/>
    <x v="11"/>
    <s v="Rodella"/>
    <x v="60"/>
    <m/>
    <n v="10"/>
    <n v="10"/>
    <x v="13"/>
    <m/>
    <m/>
    <m/>
    <m/>
  </r>
  <r>
    <x v="0"/>
    <d v="2007-02-21T00:00:00"/>
    <n v="2"/>
    <x v="17"/>
    <n v="1"/>
    <x v="11"/>
    <s v="First"/>
    <x v="65"/>
    <m/>
    <n v="40"/>
    <n v="40"/>
    <x v="2"/>
    <s v="Röthi ohne Vario"/>
    <m/>
    <m/>
    <m/>
  </r>
  <r>
    <x v="0"/>
    <d v="2007-04-06T00:00:00"/>
    <n v="4"/>
    <x v="17"/>
    <n v="1"/>
    <x v="11"/>
    <s v="Büelen"/>
    <x v="37"/>
    <m/>
    <n v="15"/>
    <n v="15"/>
    <x v="2"/>
    <m/>
    <m/>
    <m/>
    <m/>
  </r>
  <r>
    <x v="0"/>
    <d v="2007-04-07T00:00:00"/>
    <n v="4"/>
    <x v="17"/>
    <n v="1"/>
    <x v="11"/>
    <s v="Büelen"/>
    <x v="37"/>
    <n v="1"/>
    <n v="25"/>
    <n v="85"/>
    <x v="2"/>
    <m/>
    <m/>
    <m/>
    <m/>
  </r>
  <r>
    <x v="0"/>
    <d v="2007-04-09T00:00:00"/>
    <n v="4"/>
    <x v="17"/>
    <n v="1"/>
    <x v="11"/>
    <s v="First"/>
    <x v="65"/>
    <n v="1"/>
    <n v="4"/>
    <n v="64"/>
    <x v="2"/>
    <m/>
    <m/>
    <m/>
    <m/>
  </r>
  <r>
    <x v="3"/>
    <d v="2007-04-11T00:00:00"/>
    <n v="4"/>
    <x v="17"/>
    <n v="0"/>
    <x v="12"/>
    <s v="Kühboden"/>
    <x v="58"/>
    <m/>
    <m/>
    <n v="0"/>
    <x v="2"/>
    <m/>
    <m/>
    <m/>
    <m/>
  </r>
  <r>
    <x v="0"/>
    <d v="2007-04-28T00:00:00"/>
    <n v="4"/>
    <x v="17"/>
    <n v="1"/>
    <x v="11"/>
    <s v="Büelen"/>
    <x v="37"/>
    <m/>
    <n v="40"/>
    <n v="40"/>
    <x v="2"/>
    <m/>
    <m/>
    <m/>
    <m/>
  </r>
  <r>
    <x v="0"/>
    <d v="2007-05-19T00:00:00"/>
    <n v="5"/>
    <x v="17"/>
    <n v="1"/>
    <x v="11"/>
    <s v="Brunni"/>
    <x v="36"/>
    <n v="1"/>
    <n v="32"/>
    <n v="92"/>
    <x v="2"/>
    <m/>
    <m/>
    <m/>
    <m/>
  </r>
  <r>
    <x v="0"/>
    <d v="2007-05-21T00:00:00"/>
    <n v="5"/>
    <x v="17"/>
    <n v="1"/>
    <x v="11"/>
    <s v="Nudo"/>
    <x v="68"/>
    <n v="1"/>
    <n v="3"/>
    <n v="63"/>
    <x v="9"/>
    <s v="Hansi"/>
    <m/>
    <m/>
    <m/>
  </r>
  <r>
    <x v="0"/>
    <d v="2007-05-21T00:00:00"/>
    <n v="5"/>
    <x v="17"/>
    <n v="0"/>
    <x v="11"/>
    <s v="Nudo"/>
    <x v="68"/>
    <n v="2"/>
    <n v="7"/>
    <n v="127"/>
    <x v="9"/>
    <m/>
    <m/>
    <m/>
    <m/>
  </r>
  <r>
    <x v="0"/>
    <d v="2007-05-22T00:00:00"/>
    <n v="5"/>
    <x v="17"/>
    <n v="1"/>
    <x v="11"/>
    <s v="Mte Lema"/>
    <x v="41"/>
    <n v="1"/>
    <n v="36"/>
    <n v="96"/>
    <x v="9"/>
    <s v="zum Mte Tamaro"/>
    <m/>
    <m/>
    <m/>
  </r>
  <r>
    <x v="0"/>
    <d v="2007-05-22T00:00:00"/>
    <n v="5"/>
    <x v="17"/>
    <n v="0"/>
    <x v="11"/>
    <s v="Mte Lema"/>
    <x v="41"/>
    <n v="1"/>
    <n v="16"/>
    <n v="76"/>
    <x v="9"/>
    <s v="schönes Hotel in Sessa, Essen im Rebberg"/>
    <m/>
    <m/>
    <m/>
  </r>
  <r>
    <x v="0"/>
    <d v="2007-05-23T00:00:00"/>
    <n v="5"/>
    <x v="17"/>
    <n v="1"/>
    <x v="11"/>
    <s v="Mte Generoso"/>
    <x v="69"/>
    <n v="1"/>
    <n v="48"/>
    <n v="108"/>
    <x v="9"/>
    <s v="Seeüberquerung"/>
    <m/>
    <m/>
    <m/>
  </r>
  <r>
    <x v="0"/>
    <d v="2007-05-23T00:00:00"/>
    <n v="5"/>
    <x v="17"/>
    <n v="0"/>
    <x v="11"/>
    <s v="Mte Generoso"/>
    <x v="69"/>
    <n v="1"/>
    <n v="23"/>
    <n v="83"/>
    <x v="9"/>
    <m/>
    <m/>
    <m/>
    <m/>
  </r>
  <r>
    <x v="0"/>
    <d v="2007-05-24T00:00:00"/>
    <n v="5"/>
    <x v="17"/>
    <n v="1"/>
    <x v="11"/>
    <s v="Cimetta"/>
    <x v="52"/>
    <m/>
    <n v="29"/>
    <n v="29"/>
    <x v="9"/>
    <s v="Grotto Vino di Vino"/>
    <m/>
    <m/>
    <m/>
  </r>
  <r>
    <x v="0"/>
    <d v="2007-05-24T00:00:00"/>
    <n v="5"/>
    <x v="17"/>
    <n v="0"/>
    <x v="11"/>
    <s v="Cimetta"/>
    <x v="52"/>
    <m/>
    <n v="29"/>
    <n v="29"/>
    <x v="9"/>
    <m/>
    <m/>
    <m/>
    <m/>
  </r>
  <r>
    <x v="0"/>
    <d v="2007-05-25T00:00:00"/>
    <n v="5"/>
    <x v="17"/>
    <n v="1"/>
    <x v="11"/>
    <s v="Mutti"/>
    <x v="19"/>
    <m/>
    <n v="19"/>
    <n v="19"/>
    <x v="2"/>
    <m/>
    <m/>
    <m/>
    <m/>
  </r>
  <r>
    <x v="0"/>
    <d v="2007-06-10T00:00:00"/>
    <n v="6"/>
    <x v="17"/>
    <n v="1"/>
    <x v="11"/>
    <s v="Büelen"/>
    <x v="37"/>
    <m/>
    <n v="50"/>
    <n v="50"/>
    <x v="2"/>
    <m/>
    <m/>
    <m/>
    <m/>
  </r>
  <r>
    <x v="0"/>
    <d v="2007-06-17T00:00:00"/>
    <n v="6"/>
    <x v="17"/>
    <n v="1"/>
    <x v="11"/>
    <s v="Brunni"/>
    <x v="36"/>
    <m/>
    <n v="50"/>
    <n v="50"/>
    <x v="2"/>
    <m/>
    <m/>
    <m/>
    <m/>
  </r>
  <r>
    <x v="0"/>
    <d v="2007-07-07T00:00:00"/>
    <n v="7"/>
    <x v="17"/>
    <n v="1"/>
    <x v="11"/>
    <s v="Brändlen"/>
    <x v="14"/>
    <m/>
    <n v="32"/>
    <n v="32"/>
    <x v="2"/>
    <m/>
    <m/>
    <m/>
    <m/>
  </r>
  <r>
    <x v="0"/>
    <d v="2007-07-14T00:00:00"/>
    <n v="7"/>
    <x v="17"/>
    <n v="1"/>
    <x v="11"/>
    <s v="First"/>
    <x v="65"/>
    <m/>
    <n v="41"/>
    <n v="41"/>
    <x v="2"/>
    <m/>
    <m/>
    <m/>
    <m/>
  </r>
  <r>
    <x v="0"/>
    <d v="2007-07-15T00:00:00"/>
    <n v="7"/>
    <x v="17"/>
    <n v="1"/>
    <x v="11"/>
    <s v="First"/>
    <x v="5"/>
    <m/>
    <n v="51"/>
    <n v="51"/>
    <x v="2"/>
    <m/>
    <m/>
    <m/>
    <m/>
  </r>
  <r>
    <x v="0"/>
    <d v="2007-07-25T00:00:00"/>
    <n v="7"/>
    <x v="17"/>
    <n v="1"/>
    <x v="11"/>
    <s v="First"/>
    <x v="17"/>
    <m/>
    <n v="22"/>
    <n v="22"/>
    <x v="2"/>
    <m/>
    <m/>
    <m/>
    <m/>
  </r>
  <r>
    <x v="0"/>
    <d v="2007-07-25T00:00:00"/>
    <n v="7"/>
    <x v="17"/>
    <n v="0"/>
    <x v="11"/>
    <s v="First"/>
    <x v="5"/>
    <n v="1"/>
    <n v="9"/>
    <n v="69"/>
    <x v="2"/>
    <m/>
    <m/>
    <m/>
    <m/>
  </r>
  <r>
    <x v="0"/>
    <d v="2007-07-26T00:00:00"/>
    <n v="7"/>
    <x v="17"/>
    <n v="1"/>
    <x v="11"/>
    <s v="First"/>
    <x v="5"/>
    <n v="2"/>
    <n v="4"/>
    <n v="124"/>
    <x v="2"/>
    <m/>
    <m/>
    <m/>
    <m/>
  </r>
  <r>
    <x v="0"/>
    <d v="2007-07-27T00:00:00"/>
    <n v="7"/>
    <x v="17"/>
    <n v="1"/>
    <x v="11"/>
    <s v="First"/>
    <x v="5"/>
    <m/>
    <n v="21"/>
    <n v="21"/>
    <x v="2"/>
    <m/>
    <m/>
    <m/>
    <m/>
  </r>
  <r>
    <x v="0"/>
    <d v="2007-07-31T00:00:00"/>
    <n v="7"/>
    <x v="17"/>
    <n v="1"/>
    <x v="11"/>
    <s v="First"/>
    <x v="5"/>
    <n v="1"/>
    <n v="2"/>
    <n v="62"/>
    <x v="2"/>
    <m/>
    <m/>
    <m/>
    <m/>
  </r>
  <r>
    <x v="0"/>
    <d v="2007-08-01T00:00:00"/>
    <n v="8"/>
    <x v="17"/>
    <n v="1"/>
    <x v="11"/>
    <s v="First"/>
    <x v="5"/>
    <n v="1"/>
    <n v="9"/>
    <n v="69"/>
    <x v="2"/>
    <m/>
    <m/>
    <m/>
    <m/>
  </r>
  <r>
    <x v="0"/>
    <d v="2007-08-05T00:00:00"/>
    <n v="8"/>
    <x v="17"/>
    <n v="1"/>
    <x v="11"/>
    <s v="Brunni"/>
    <x v="36"/>
    <m/>
    <n v="22"/>
    <n v="22"/>
    <x v="2"/>
    <m/>
    <m/>
    <m/>
    <m/>
  </r>
  <r>
    <x v="0"/>
    <d v="2007-08-25T00:00:00"/>
    <n v="8"/>
    <x v="17"/>
    <n v="1"/>
    <x v="11"/>
    <s v="Brunni"/>
    <x v="36"/>
    <m/>
    <n v="41"/>
    <n v="41"/>
    <x v="2"/>
    <m/>
    <m/>
    <m/>
    <m/>
  </r>
  <r>
    <x v="0"/>
    <d v="2007-10-13T00:00:00"/>
    <n v="10"/>
    <x v="17"/>
    <n v="1"/>
    <x v="11"/>
    <s v="Heimat"/>
    <x v="19"/>
    <m/>
    <n v="15"/>
    <n v="15"/>
    <x v="2"/>
    <m/>
    <m/>
    <m/>
    <m/>
  </r>
  <r>
    <x v="0"/>
    <d v="2007-10-13T00:00:00"/>
    <n v="10"/>
    <x v="17"/>
    <n v="0"/>
    <x v="11"/>
    <s v="Heimat"/>
    <x v="19"/>
    <m/>
    <n v="15"/>
    <n v="15"/>
    <x v="2"/>
    <m/>
    <m/>
    <m/>
    <m/>
  </r>
  <r>
    <x v="0"/>
    <d v="2007-10-13T00:00:00"/>
    <n v="10"/>
    <x v="17"/>
    <n v="0"/>
    <x v="11"/>
    <s v="Heimat"/>
    <x v="19"/>
    <m/>
    <n v="14"/>
    <n v="14"/>
    <x v="2"/>
    <m/>
    <m/>
    <m/>
    <m/>
  </r>
  <r>
    <x v="0"/>
    <d v="2007-10-13T00:00:00"/>
    <n v="10"/>
    <x v="17"/>
    <n v="0"/>
    <x v="11"/>
    <s v="Heimat"/>
    <x v="19"/>
    <m/>
    <n v="14"/>
    <n v="14"/>
    <x v="2"/>
    <m/>
    <m/>
    <m/>
    <m/>
  </r>
  <r>
    <x v="0"/>
    <d v="2007-10-14T00:00:00"/>
    <n v="10"/>
    <x v="17"/>
    <n v="1"/>
    <x v="11"/>
    <s v="Heimat"/>
    <x v="19"/>
    <m/>
    <n v="16"/>
    <n v="16"/>
    <x v="2"/>
    <m/>
    <m/>
    <m/>
    <m/>
  </r>
  <r>
    <x v="0"/>
    <d v="2007-10-14T00:00:00"/>
    <n v="10"/>
    <x v="17"/>
    <n v="0"/>
    <x v="11"/>
    <s v="Heimat"/>
    <x v="19"/>
    <m/>
    <n v="16"/>
    <n v="16"/>
    <x v="2"/>
    <m/>
    <m/>
    <m/>
    <m/>
  </r>
  <r>
    <x v="0"/>
    <d v="2007-10-14T00:00:00"/>
    <n v="10"/>
    <x v="17"/>
    <n v="0"/>
    <x v="11"/>
    <s v="Heimat"/>
    <x v="19"/>
    <m/>
    <n v="16"/>
    <n v="16"/>
    <x v="2"/>
    <m/>
    <m/>
    <m/>
    <m/>
  </r>
  <r>
    <x v="0"/>
    <d v="2007-10-27T00:00:00"/>
    <n v="10"/>
    <x v="17"/>
    <n v="1"/>
    <x v="11"/>
    <s v="Mte Mim /Annecy"/>
    <x v="70"/>
    <m/>
    <n v="10"/>
    <n v="10"/>
    <x v="5"/>
    <s v="Hansi, Christian, Markus, Trix, Nico, Lorenzo, Werner, Dieter, Susanne, Andrea"/>
    <m/>
    <m/>
    <m/>
  </r>
  <r>
    <x v="0"/>
    <d v="2007-10-28T00:00:00"/>
    <n v="10"/>
    <x v="17"/>
    <n v="1"/>
    <x v="11"/>
    <s v="Chalves S"/>
    <x v="71"/>
    <m/>
    <n v="12"/>
    <n v="12"/>
    <x v="5"/>
    <m/>
    <m/>
    <m/>
    <m/>
  </r>
  <r>
    <x v="0"/>
    <d v="2007-10-28T00:00:00"/>
    <n v="10"/>
    <x v="17"/>
    <n v="0"/>
    <x v="11"/>
    <s v="Chalves W"/>
    <x v="71"/>
    <n v="2"/>
    <n v="4"/>
    <n v="124"/>
    <x v="5"/>
    <m/>
    <m/>
    <m/>
    <m/>
  </r>
  <r>
    <x v="0"/>
    <d v="2007-10-29T00:00:00"/>
    <n v="10"/>
    <x v="17"/>
    <n v="1"/>
    <x v="11"/>
    <s v="Chalves S"/>
    <x v="71"/>
    <m/>
    <n v="10"/>
    <n v="10"/>
    <x v="5"/>
    <m/>
    <m/>
    <m/>
    <m/>
  </r>
  <r>
    <x v="0"/>
    <d v="2007-10-29T00:00:00"/>
    <n v="10"/>
    <x v="17"/>
    <n v="0"/>
    <x v="11"/>
    <s v="Chalves S"/>
    <x v="71"/>
    <n v="3"/>
    <n v="10"/>
    <n v="190"/>
    <x v="5"/>
    <m/>
    <m/>
    <m/>
    <m/>
  </r>
  <r>
    <x v="0"/>
    <d v="2007-10-30T00:00:00"/>
    <n v="10"/>
    <x v="17"/>
    <n v="1"/>
    <x v="11"/>
    <s v="Chalves S"/>
    <x v="71"/>
    <m/>
    <n v="6"/>
    <n v="6"/>
    <x v="5"/>
    <m/>
    <m/>
    <m/>
    <m/>
  </r>
  <r>
    <x v="0"/>
    <d v="2007-10-30T00:00:00"/>
    <n v="10"/>
    <x v="17"/>
    <n v="0"/>
    <x v="11"/>
    <s v="Gourdon/Site de l'ambarniere"/>
    <x v="72"/>
    <m/>
    <n v="16"/>
    <n v="16"/>
    <x v="5"/>
    <m/>
    <m/>
    <m/>
    <m/>
  </r>
  <r>
    <x v="0"/>
    <d v="2007-10-31T00:00:00"/>
    <n v="10"/>
    <x v="17"/>
    <n v="1"/>
    <x v="11"/>
    <s v="Mt Gros"/>
    <x v="26"/>
    <m/>
    <n v="7"/>
    <n v="7"/>
    <x v="5"/>
    <m/>
    <m/>
    <m/>
    <m/>
  </r>
  <r>
    <x v="0"/>
    <d v="2007-11-01T00:00:00"/>
    <n v="11"/>
    <x v="17"/>
    <n v="1"/>
    <x v="11"/>
    <s v="Mt Gros"/>
    <x v="26"/>
    <m/>
    <n v="21"/>
    <n v="21"/>
    <x v="5"/>
    <m/>
    <m/>
    <m/>
    <m/>
  </r>
  <r>
    <x v="0"/>
    <d v="2007-11-01T00:00:00"/>
    <n v="11"/>
    <x v="17"/>
    <n v="0"/>
    <x v="11"/>
    <s v="Mt Gros"/>
    <x v="26"/>
    <m/>
    <n v="12"/>
    <n v="12"/>
    <x v="5"/>
    <m/>
    <m/>
    <m/>
    <m/>
  </r>
  <r>
    <x v="0"/>
    <d v="2007-11-02T00:00:00"/>
    <n v="11"/>
    <x v="17"/>
    <n v="1"/>
    <x v="11"/>
    <s v="Mt Gros"/>
    <x v="26"/>
    <n v="1"/>
    <n v="11"/>
    <n v="71"/>
    <x v="5"/>
    <m/>
    <m/>
    <m/>
    <m/>
  </r>
  <r>
    <x v="0"/>
    <d v="2007-11-02T00:00:00"/>
    <n v="11"/>
    <x v="17"/>
    <n v="0"/>
    <x v="11"/>
    <s v="Mt Gros"/>
    <x v="26"/>
    <m/>
    <n v="9"/>
    <n v="9"/>
    <x v="5"/>
    <m/>
    <m/>
    <m/>
    <m/>
  </r>
  <r>
    <x v="3"/>
    <d v="2008-02-07T00:00:00"/>
    <n v="2"/>
    <x v="18"/>
    <n v="0"/>
    <x v="12"/>
    <s v="Heimat"/>
    <x v="59"/>
    <m/>
    <m/>
    <n v="0"/>
    <x v="2"/>
    <m/>
    <m/>
    <m/>
    <m/>
  </r>
  <r>
    <x v="3"/>
    <d v="2008-02-08T00:00:00"/>
    <n v="2"/>
    <x v="18"/>
    <n v="0"/>
    <x v="12"/>
    <s v="Eggishorn"/>
    <x v="19"/>
    <m/>
    <m/>
    <n v="0"/>
    <x v="2"/>
    <m/>
    <m/>
    <m/>
    <m/>
  </r>
  <r>
    <x v="0"/>
    <d v="2008-02-09T00:00:00"/>
    <n v="2"/>
    <x v="18"/>
    <n v="1"/>
    <x v="11"/>
    <s v="Heimat"/>
    <x v="19"/>
    <m/>
    <n v="30"/>
    <n v="30"/>
    <x v="2"/>
    <m/>
    <m/>
    <m/>
    <m/>
  </r>
  <r>
    <x v="3"/>
    <d v="2008-02-10T00:00:00"/>
    <n v="2"/>
    <x v="18"/>
    <n v="0"/>
    <x v="13"/>
    <s v="Eggishorn/Steiberkreuz"/>
    <x v="24"/>
    <m/>
    <m/>
    <n v="0"/>
    <x v="2"/>
    <m/>
    <m/>
    <m/>
    <m/>
  </r>
  <r>
    <x v="3"/>
    <d v="2008-02-15T00:00:00"/>
    <n v="2"/>
    <x v="18"/>
    <n v="0"/>
    <x v="13"/>
    <s v="Kühboden"/>
    <x v="24"/>
    <m/>
    <m/>
    <n v="0"/>
    <x v="2"/>
    <s v="Prüfung :)"/>
    <m/>
    <m/>
    <m/>
  </r>
  <r>
    <x v="3"/>
    <d v="2008-02-16T00:00:00"/>
    <n v="2"/>
    <x v="18"/>
    <n v="0"/>
    <x v="13"/>
    <s v="Steibenkreuz"/>
    <x v="24"/>
    <m/>
    <m/>
    <n v="0"/>
    <x v="2"/>
    <m/>
    <m/>
    <m/>
    <m/>
  </r>
  <r>
    <x v="0"/>
    <d v="2008-02-17T00:00:00"/>
    <n v="2"/>
    <x v="18"/>
    <n v="1"/>
    <x v="11"/>
    <s v="Heimat"/>
    <x v="19"/>
    <m/>
    <n v="42"/>
    <n v="42"/>
    <x v="2"/>
    <m/>
    <m/>
    <m/>
    <m/>
  </r>
  <r>
    <x v="3"/>
    <d v="2008-02-17T00:00:00"/>
    <n v="2"/>
    <x v="18"/>
    <n v="0"/>
    <x v="13"/>
    <s v="Eggishorn"/>
    <x v="24"/>
    <m/>
    <m/>
    <n v="0"/>
    <x v="2"/>
    <m/>
    <m/>
    <m/>
    <m/>
  </r>
  <r>
    <x v="3"/>
    <d v="2008-03-28T00:00:00"/>
    <n v="3"/>
    <x v="18"/>
    <n v="0"/>
    <x v="13"/>
    <s v="Eggishorn"/>
    <x v="24"/>
    <m/>
    <m/>
    <n v="0"/>
    <x v="2"/>
    <m/>
    <m/>
    <m/>
    <m/>
  </r>
  <r>
    <x v="0"/>
    <d v="2008-03-28T00:00:00"/>
    <n v="3"/>
    <x v="18"/>
    <n v="1"/>
    <x v="11"/>
    <s v="Heimat"/>
    <x v="19"/>
    <m/>
    <n v="43"/>
    <n v="43"/>
    <x v="8"/>
    <m/>
    <m/>
    <m/>
    <m/>
  </r>
  <r>
    <x v="0"/>
    <d v="2008-03-29T00:00:00"/>
    <n v="3"/>
    <x v="18"/>
    <n v="1"/>
    <x v="11"/>
    <s v="Heimat"/>
    <x v="59"/>
    <m/>
    <n v="56"/>
    <n v="56"/>
    <x v="8"/>
    <m/>
    <m/>
    <m/>
    <m/>
  </r>
  <r>
    <x v="0"/>
    <d v="2008-03-29T00:00:00"/>
    <n v="3"/>
    <x v="18"/>
    <n v="0"/>
    <x v="11"/>
    <s v="Heimat"/>
    <x v="19"/>
    <m/>
    <n v="35"/>
    <n v="35"/>
    <x v="8"/>
    <m/>
    <m/>
    <m/>
    <m/>
  </r>
  <r>
    <x v="0"/>
    <d v="2008-04-01T00:00:00"/>
    <n v="4"/>
    <x v="18"/>
    <n v="1"/>
    <x v="11"/>
    <s v="Heimat"/>
    <x v="19"/>
    <n v="1"/>
    <n v="54"/>
    <n v="114"/>
    <x v="8"/>
    <s v="Münster und zurück"/>
    <m/>
    <m/>
    <m/>
  </r>
  <r>
    <x v="0"/>
    <d v="2008-04-20T00:00:00"/>
    <n v="4"/>
    <x v="18"/>
    <n v="1"/>
    <x v="14"/>
    <s v="obere Wengi"/>
    <x v="73"/>
    <m/>
    <n v="4"/>
    <n v="4"/>
    <x v="2"/>
    <s v="Testival"/>
    <m/>
    <m/>
    <m/>
  </r>
  <r>
    <x v="0"/>
    <d v="2008-04-20T00:00:00"/>
    <n v="4"/>
    <x v="18"/>
    <n v="0"/>
    <x v="15"/>
    <s v="Sonnenberg"/>
    <x v="73"/>
    <m/>
    <n v="8"/>
    <n v="8"/>
    <x v="2"/>
    <s v="Testival"/>
    <m/>
    <m/>
    <m/>
  </r>
  <r>
    <x v="0"/>
    <d v="2008-04-20T00:00:00"/>
    <n v="4"/>
    <x v="18"/>
    <n v="0"/>
    <x v="16"/>
    <s v="Sonnenberg"/>
    <x v="73"/>
    <m/>
    <n v="25"/>
    <n v="25"/>
    <x v="2"/>
    <s v="Testival"/>
    <m/>
    <m/>
    <m/>
  </r>
  <r>
    <x v="0"/>
    <d v="2008-04-27T00:00:00"/>
    <n v="4"/>
    <x v="18"/>
    <n v="1"/>
    <x v="11"/>
    <s v="Mte Rosso"/>
    <x v="74"/>
    <m/>
    <n v="18"/>
    <n v="18"/>
    <x v="15"/>
    <s v="Stefan Eberle, Rüedu Schauner, Ernesto Gattlen, Markus, Usr Skudnigg, Andrea, Dieter, Susanne, Walburga, Mariette"/>
    <m/>
    <m/>
    <m/>
  </r>
  <r>
    <x v="0"/>
    <d v="2008-04-27T00:00:00"/>
    <n v="4"/>
    <x v="18"/>
    <n v="0"/>
    <x v="11"/>
    <s v="Pizzorne"/>
    <x v="75"/>
    <m/>
    <n v="12"/>
    <n v="12"/>
    <x v="15"/>
    <m/>
    <m/>
    <m/>
    <m/>
  </r>
  <r>
    <x v="0"/>
    <d v="2008-04-28T00:00:00"/>
    <n v="4"/>
    <x v="18"/>
    <n v="1"/>
    <x v="11"/>
    <s v="Pizzorne"/>
    <x v="75"/>
    <m/>
    <n v="11"/>
    <n v="11"/>
    <x v="15"/>
    <m/>
    <m/>
    <m/>
    <m/>
  </r>
  <r>
    <x v="0"/>
    <d v="2008-04-28T00:00:00"/>
    <n v="4"/>
    <x v="18"/>
    <n v="0"/>
    <x v="11"/>
    <s v="Pizzorne"/>
    <x v="75"/>
    <m/>
    <n v="55"/>
    <n v="55"/>
    <x v="15"/>
    <m/>
    <m/>
    <m/>
    <m/>
  </r>
  <r>
    <x v="0"/>
    <d v="2008-04-30T00:00:00"/>
    <n v="4"/>
    <x v="18"/>
    <n v="1"/>
    <x v="11"/>
    <s v="Diezimo"/>
    <x v="76"/>
    <m/>
    <n v="28"/>
    <n v="28"/>
    <x v="15"/>
    <m/>
    <m/>
    <m/>
    <m/>
  </r>
  <r>
    <x v="0"/>
    <d v="2008-05-01T00:00:00"/>
    <n v="5"/>
    <x v="18"/>
    <n v="1"/>
    <x v="11"/>
    <s v="Pizzorne"/>
    <x v="75"/>
    <n v="1"/>
    <n v="12"/>
    <n v="72"/>
    <x v="15"/>
    <m/>
    <m/>
    <m/>
    <m/>
  </r>
  <r>
    <x v="0"/>
    <d v="2008-05-01T00:00:00"/>
    <n v="5"/>
    <x v="18"/>
    <n v="0"/>
    <x v="11"/>
    <s v="Pizzorne"/>
    <x v="75"/>
    <m/>
    <n v="15"/>
    <n v="15"/>
    <x v="15"/>
    <m/>
    <m/>
    <m/>
    <m/>
  </r>
  <r>
    <x v="0"/>
    <d v="2008-05-02T00:00:00"/>
    <n v="5"/>
    <x v="18"/>
    <n v="1"/>
    <x v="11"/>
    <s v="Pizzorne"/>
    <x v="75"/>
    <m/>
    <n v="13"/>
    <n v="13"/>
    <x v="15"/>
    <m/>
    <m/>
    <m/>
    <m/>
  </r>
  <r>
    <x v="0"/>
    <d v="2008-05-02T00:00:00"/>
    <n v="5"/>
    <x v="18"/>
    <n v="0"/>
    <x v="11"/>
    <s v="Prato Fiori"/>
    <x v="77"/>
    <n v="1"/>
    <n v="5"/>
    <n v="65"/>
    <x v="15"/>
    <m/>
    <m/>
    <m/>
    <m/>
  </r>
  <r>
    <x v="0"/>
    <d v="2008-05-02T00:00:00"/>
    <n v="5"/>
    <x v="18"/>
    <n v="0"/>
    <x v="11"/>
    <s v="Diezimo"/>
    <x v="76"/>
    <m/>
    <n v="59"/>
    <n v="59"/>
    <x v="15"/>
    <m/>
    <m/>
    <m/>
    <m/>
  </r>
  <r>
    <x v="0"/>
    <d v="2008-05-11T00:00:00"/>
    <n v="5"/>
    <x v="18"/>
    <n v="1"/>
    <x v="11"/>
    <s v="Büelen"/>
    <x v="37"/>
    <m/>
    <n v="16"/>
    <n v="16"/>
    <x v="2"/>
    <m/>
    <m/>
    <m/>
    <m/>
  </r>
  <r>
    <x v="0"/>
    <d v="2008-05-12T00:00:00"/>
    <n v="5"/>
    <x v="18"/>
    <n v="1"/>
    <x v="11"/>
    <s v="Gummen"/>
    <x v="12"/>
    <m/>
    <n v="57"/>
    <n v="57"/>
    <x v="2"/>
    <m/>
    <m/>
    <m/>
    <m/>
  </r>
  <r>
    <x v="0"/>
    <d v="2008-05-23T00:00:00"/>
    <n v="5"/>
    <x v="18"/>
    <n v="1"/>
    <x v="11"/>
    <s v="First"/>
    <x v="5"/>
    <m/>
    <n v="30"/>
    <n v="30"/>
    <x v="2"/>
    <s v="Mit Andrea"/>
    <m/>
    <m/>
    <m/>
  </r>
  <r>
    <x v="0"/>
    <d v="2008-06-21T00:00:00"/>
    <n v="6"/>
    <x v="18"/>
    <n v="1"/>
    <x v="11"/>
    <s v="Heimat"/>
    <x v="35"/>
    <n v="2"/>
    <n v="23"/>
    <n v="143"/>
    <x v="2"/>
    <s v="2x Siedelhorn mit Dieter"/>
    <m/>
    <m/>
    <m/>
  </r>
  <r>
    <x v="0"/>
    <d v="2008-06-22T00:00:00"/>
    <n v="6"/>
    <x v="18"/>
    <n v="1"/>
    <x v="11"/>
    <s v="Heimat"/>
    <x v="19"/>
    <n v="2"/>
    <n v="9"/>
    <n v="129"/>
    <x v="2"/>
    <s v="Siedelhorn mit Dieter"/>
    <m/>
    <m/>
    <m/>
  </r>
  <r>
    <x v="0"/>
    <d v="2008-06-28T00:00:00"/>
    <n v="6"/>
    <x v="18"/>
    <n v="1"/>
    <x v="11"/>
    <s v="Heimat"/>
    <x v="19"/>
    <n v="1"/>
    <n v="2"/>
    <n v="62"/>
    <x v="2"/>
    <m/>
    <m/>
    <m/>
    <m/>
  </r>
  <r>
    <x v="0"/>
    <d v="2008-06-29T00:00:00"/>
    <n v="6"/>
    <x v="18"/>
    <n v="1"/>
    <x v="11"/>
    <s v="Heimat"/>
    <x v="19"/>
    <m/>
    <n v="51"/>
    <n v="51"/>
    <x v="2"/>
    <m/>
    <m/>
    <m/>
    <m/>
  </r>
  <r>
    <x v="0"/>
    <d v="2008-07-04T00:00:00"/>
    <n v="7"/>
    <x v="18"/>
    <n v="1"/>
    <x v="11"/>
    <s v="Heimat"/>
    <x v="19"/>
    <n v="1"/>
    <n v="34"/>
    <n v="94"/>
    <x v="2"/>
    <m/>
    <m/>
    <m/>
    <m/>
  </r>
  <r>
    <x v="0"/>
    <d v="2008-07-05T00:00:00"/>
    <n v="7"/>
    <x v="18"/>
    <n v="1"/>
    <x v="11"/>
    <s v="Axalp"/>
    <x v="64"/>
    <m/>
    <n v="8"/>
    <n v="8"/>
    <x v="14"/>
    <s v="Notschirmöffnung"/>
    <m/>
    <m/>
    <m/>
  </r>
  <r>
    <x v="0"/>
    <d v="2008-07-19T00:00:00"/>
    <n v="7"/>
    <x v="18"/>
    <n v="1"/>
    <x v="17"/>
    <s v="Heimat"/>
    <x v="19"/>
    <m/>
    <n v="28"/>
    <n v="28"/>
    <x v="2"/>
    <m/>
    <m/>
    <m/>
    <m/>
  </r>
  <r>
    <x v="0"/>
    <d v="2008-07-25T00:00:00"/>
    <n v="7"/>
    <x v="18"/>
    <n v="1"/>
    <x v="11"/>
    <s v="Steibenkreuz"/>
    <x v="35"/>
    <n v="1"/>
    <n v="40"/>
    <n v="100"/>
    <x v="2"/>
    <s v="Andrea zur Kapelle Ritzingen :)"/>
    <m/>
    <m/>
    <m/>
  </r>
  <r>
    <x v="0"/>
    <d v="2008-07-27T00:00:00"/>
    <n v="7"/>
    <x v="18"/>
    <n v="1"/>
    <x v="11"/>
    <s v="Grieläger"/>
    <x v="78"/>
    <m/>
    <n v="24"/>
    <n v="24"/>
    <x v="2"/>
    <s v="Flugtag in Raron, mit Wandern"/>
    <m/>
    <m/>
    <m/>
  </r>
  <r>
    <x v="0"/>
    <d v="2008-07-28T00:00:00"/>
    <n v="7"/>
    <x v="18"/>
    <n v="1"/>
    <x v="17"/>
    <s v="Heimat"/>
    <x v="19"/>
    <n v="1"/>
    <n v="41"/>
    <n v="101"/>
    <x v="2"/>
    <s v="Andrea hat alpha4 gekauft, ich habe Sigma 7 gekauft, von Andrea Kombi bekommen :)"/>
    <m/>
    <m/>
    <m/>
  </r>
  <r>
    <x v="0"/>
    <d v="2008-07-30T00:00:00"/>
    <n v="7"/>
    <x v="18"/>
    <n v="1"/>
    <x v="17"/>
    <s v="Heimat"/>
    <x v="19"/>
    <n v="1"/>
    <n v="45"/>
    <n v="105"/>
    <x v="2"/>
    <s v="ohne Vario Baschi retour"/>
    <m/>
    <m/>
    <m/>
  </r>
  <r>
    <x v="0"/>
    <d v="2008-07-31T00:00:00"/>
    <n v="7"/>
    <x v="18"/>
    <n v="1"/>
    <x v="17"/>
    <s v="Heimat"/>
    <x v="79"/>
    <n v="3"/>
    <n v="6"/>
    <n v="186"/>
    <x v="2"/>
    <m/>
    <m/>
    <m/>
    <m/>
  </r>
  <r>
    <x v="0"/>
    <d v="2008-08-01T00:00:00"/>
    <n v="8"/>
    <x v="18"/>
    <n v="1"/>
    <x v="17"/>
    <s v="Heimat"/>
    <x v="19"/>
    <m/>
    <n v="16"/>
    <n v="16"/>
    <x v="2"/>
    <m/>
    <m/>
    <m/>
    <m/>
  </r>
  <r>
    <x v="0"/>
    <d v="2008-08-02T00:00:00"/>
    <n v="8"/>
    <x v="18"/>
    <n v="1"/>
    <x v="17"/>
    <s v="Galvera"/>
    <x v="19"/>
    <n v="1"/>
    <n v="48"/>
    <n v="108"/>
    <x v="2"/>
    <m/>
    <m/>
    <m/>
    <m/>
  </r>
  <r>
    <x v="0"/>
    <d v="2008-08-03T00:00:00"/>
    <n v="8"/>
    <x v="18"/>
    <n v="1"/>
    <x v="17"/>
    <s v="Galfera"/>
    <x v="35"/>
    <n v="2"/>
    <n v="33"/>
    <n v="153"/>
    <x v="2"/>
    <m/>
    <m/>
    <m/>
    <m/>
  </r>
  <r>
    <x v="0"/>
    <d v="2008-08-06T00:00:00"/>
    <n v="8"/>
    <x v="18"/>
    <n v="1"/>
    <x v="17"/>
    <s v="First"/>
    <x v="5"/>
    <m/>
    <n v="19"/>
    <n v="19"/>
    <x v="2"/>
    <m/>
    <m/>
    <m/>
    <m/>
  </r>
  <r>
    <x v="0"/>
    <d v="2008-08-09T00:00:00"/>
    <n v="8"/>
    <x v="18"/>
    <n v="1"/>
    <x v="17"/>
    <s v="Galvera"/>
    <x v="19"/>
    <n v="1"/>
    <n v="12"/>
    <n v="72"/>
    <x v="2"/>
    <m/>
    <m/>
    <m/>
    <m/>
  </r>
  <r>
    <x v="0"/>
    <d v="2008-08-10T00:00:00"/>
    <n v="8"/>
    <x v="18"/>
    <n v="1"/>
    <x v="17"/>
    <s v="Heimat"/>
    <x v="80"/>
    <n v="2"/>
    <n v="48"/>
    <n v="168"/>
    <x v="2"/>
    <m/>
    <m/>
    <m/>
    <m/>
  </r>
  <r>
    <x v="0"/>
    <d v="2008-08-24T00:00:00"/>
    <n v="8"/>
    <x v="18"/>
    <n v="1"/>
    <x v="17"/>
    <s v="Galvera"/>
    <x v="19"/>
    <n v="1"/>
    <n v="49"/>
    <n v="109"/>
    <x v="2"/>
    <m/>
    <m/>
    <m/>
    <m/>
  </r>
  <r>
    <x v="0"/>
    <d v="2008-08-30T00:00:00"/>
    <n v="8"/>
    <x v="18"/>
    <n v="1"/>
    <x v="17"/>
    <s v="Galvera"/>
    <x v="19"/>
    <n v="2"/>
    <n v="41"/>
    <n v="161"/>
    <x v="2"/>
    <s v="Eggishorn, Steiberkreuz, Wasenhorn, Galmihorn, Wasenhorn, Märjelensee, Richtung Wannenhorn"/>
    <m/>
    <m/>
    <m/>
  </r>
  <r>
    <x v="0"/>
    <d v="2008-08-30T00:00:00"/>
    <n v="8"/>
    <x v="18"/>
    <n v="0"/>
    <x v="17"/>
    <s v="Breithorn"/>
    <x v="19"/>
    <m/>
    <n v="29"/>
    <n v="29"/>
    <x v="2"/>
    <m/>
    <m/>
    <m/>
    <m/>
  </r>
  <r>
    <x v="0"/>
    <d v="2008-08-31T00:00:00"/>
    <n v="8"/>
    <x v="18"/>
    <n v="1"/>
    <x v="17"/>
    <s v="Heimat"/>
    <x v="19"/>
    <m/>
    <n v="9"/>
    <n v="9"/>
    <x v="2"/>
    <m/>
    <m/>
    <n v="-17.8"/>
    <m/>
  </r>
  <r>
    <x v="0"/>
    <d v="2008-09-08T00:00:00"/>
    <n v="9"/>
    <x v="18"/>
    <n v="1"/>
    <x v="17"/>
    <s v="Rosengarten"/>
    <x v="60"/>
    <m/>
    <n v="50"/>
    <n v="50"/>
    <x v="13"/>
    <s v="Otto, Birgit, Frank, Daniel, Albert, Christa, Claudio, Konstantin, Nico, Andrea, Guido, Walburga"/>
    <m/>
    <m/>
    <m/>
  </r>
  <r>
    <x v="0"/>
    <d v="2008-09-09T00:00:00"/>
    <n v="9"/>
    <x v="18"/>
    <n v="1"/>
    <x v="17"/>
    <s v="Rodella"/>
    <x v="81"/>
    <n v="2"/>
    <n v="35"/>
    <n v="155"/>
    <x v="13"/>
    <m/>
    <m/>
    <m/>
    <m/>
  </r>
  <r>
    <x v="0"/>
    <d v="2008-09-09T00:00:00"/>
    <n v="9"/>
    <x v="18"/>
    <n v="0"/>
    <x v="17"/>
    <s v="Belvedere"/>
    <x v="60"/>
    <m/>
    <n v="36"/>
    <n v="36"/>
    <x v="13"/>
    <m/>
    <m/>
    <m/>
    <m/>
  </r>
  <r>
    <x v="0"/>
    <d v="2008-09-10T00:00:00"/>
    <n v="9"/>
    <x v="18"/>
    <n v="1"/>
    <x v="17"/>
    <s v="Rodella"/>
    <x v="60"/>
    <n v="1"/>
    <n v="38"/>
    <n v="98"/>
    <x v="13"/>
    <m/>
    <m/>
    <m/>
    <m/>
  </r>
  <r>
    <x v="0"/>
    <d v="2008-09-10T00:00:00"/>
    <n v="9"/>
    <x v="18"/>
    <n v="0"/>
    <x v="17"/>
    <s v="Belvedere"/>
    <x v="60"/>
    <m/>
    <n v="18"/>
    <n v="18"/>
    <x v="13"/>
    <m/>
    <m/>
    <m/>
    <m/>
  </r>
  <r>
    <x v="0"/>
    <d v="2008-09-11T00:00:00"/>
    <n v="9"/>
    <x v="18"/>
    <n v="1"/>
    <x v="17"/>
    <s v="Rodella"/>
    <x v="60"/>
    <n v="1"/>
    <n v="27"/>
    <n v="87"/>
    <x v="13"/>
    <s v="Walburga Fuss gebrochen"/>
    <m/>
    <m/>
    <m/>
  </r>
  <r>
    <x v="0"/>
    <d v="2008-09-12T00:00:00"/>
    <n v="9"/>
    <x v="18"/>
    <n v="1"/>
    <x v="18"/>
    <s v="Rodella Süd"/>
    <x v="60"/>
    <n v="1"/>
    <n v="18"/>
    <n v="78"/>
    <x v="13"/>
    <m/>
    <m/>
    <m/>
    <m/>
  </r>
  <r>
    <x v="0"/>
    <d v="2008-09-20T00:00:00"/>
    <n v="9"/>
    <x v="18"/>
    <n v="1"/>
    <x v="17"/>
    <s v="Heimat"/>
    <x v="80"/>
    <n v="1"/>
    <n v="25"/>
    <n v="85"/>
    <x v="2"/>
    <s v="mit Andrea"/>
    <m/>
    <m/>
    <m/>
  </r>
  <r>
    <x v="0"/>
    <d v="2008-09-22T00:00:00"/>
    <n v="9"/>
    <x v="18"/>
    <n v="1"/>
    <x v="17"/>
    <s v="Flumserberg"/>
    <x v="82"/>
    <m/>
    <n v="17"/>
    <n v="17"/>
    <x v="16"/>
    <s v="Trix, Albert, Christa, Kurt, georg, Olivier, Markus, Dieter, Andrea, Jochen"/>
    <m/>
    <m/>
    <m/>
  </r>
  <r>
    <x v="0"/>
    <d v="2008-09-22T00:00:00"/>
    <n v="9"/>
    <x v="18"/>
    <n v="0"/>
    <x v="17"/>
    <s v="Gotschnagrat"/>
    <x v="83"/>
    <m/>
    <n v="20"/>
    <n v="20"/>
    <x v="16"/>
    <m/>
    <m/>
    <m/>
    <m/>
  </r>
  <r>
    <x v="0"/>
    <d v="2008-09-23T00:00:00"/>
    <n v="9"/>
    <x v="18"/>
    <n v="1"/>
    <x v="17"/>
    <s v="Brämenbühl/Jakobshorn"/>
    <x v="84"/>
    <m/>
    <n v="49"/>
    <n v="49"/>
    <x v="16"/>
    <m/>
    <m/>
    <m/>
    <m/>
  </r>
  <r>
    <x v="0"/>
    <d v="2008-09-24T00:00:00"/>
    <n v="9"/>
    <x v="18"/>
    <n v="1"/>
    <x v="17"/>
    <s v="Höhenweg Parsenn"/>
    <x v="84"/>
    <m/>
    <n v="6"/>
    <n v="6"/>
    <x v="16"/>
    <m/>
    <m/>
    <m/>
    <m/>
  </r>
  <r>
    <x v="0"/>
    <d v="2008-09-24T00:00:00"/>
    <n v="9"/>
    <x v="18"/>
    <n v="0"/>
    <x v="17"/>
    <s v="Höhenweg Parsenn"/>
    <x v="85"/>
    <m/>
    <n v="8"/>
    <n v="8"/>
    <x v="16"/>
    <m/>
    <m/>
    <m/>
    <m/>
  </r>
  <r>
    <x v="0"/>
    <d v="2008-09-24T00:00:00"/>
    <n v="9"/>
    <x v="18"/>
    <n v="0"/>
    <x v="17"/>
    <s v="Brämenbühl/Jakobshorn"/>
    <x v="84"/>
    <n v="1"/>
    <n v="3"/>
    <n v="63"/>
    <x v="16"/>
    <s v="soaring, saukalt"/>
    <m/>
    <n v="-19.8"/>
    <m/>
  </r>
  <r>
    <x v="0"/>
    <d v="2008-09-24T00:00:00"/>
    <n v="9"/>
    <x v="18"/>
    <n v="0"/>
    <x v="17"/>
    <s v="Sont Gant"/>
    <x v="86"/>
    <m/>
    <n v="58"/>
    <n v="58"/>
    <x v="16"/>
    <m/>
    <m/>
    <m/>
    <m/>
  </r>
  <r>
    <x v="0"/>
    <d v="2008-09-25T00:00:00"/>
    <n v="9"/>
    <x v="18"/>
    <n v="1"/>
    <x v="17"/>
    <s v="Naraus"/>
    <x v="87"/>
    <m/>
    <n v="14"/>
    <n v="14"/>
    <x v="16"/>
    <m/>
    <m/>
    <m/>
    <m/>
  </r>
  <r>
    <x v="0"/>
    <d v="2008-09-25T00:00:00"/>
    <n v="9"/>
    <x v="18"/>
    <n v="0"/>
    <x v="17"/>
    <s v="Naraus"/>
    <x v="87"/>
    <m/>
    <n v="13"/>
    <n v="13"/>
    <x v="16"/>
    <m/>
    <m/>
    <m/>
    <m/>
  </r>
  <r>
    <x v="1"/>
    <d v="2008-10-18T00:00:00"/>
    <n v="10"/>
    <x v="18"/>
    <n v="1"/>
    <x v="17"/>
    <s v="Heimat"/>
    <x v="19"/>
    <m/>
    <n v="14"/>
    <n v="14"/>
    <x v="17"/>
    <m/>
    <m/>
    <m/>
    <m/>
  </r>
  <r>
    <x v="1"/>
    <d v="2008-10-18T00:00:00"/>
    <n v="10"/>
    <x v="18"/>
    <n v="0"/>
    <x v="17"/>
    <s v="Heimat"/>
    <x v="19"/>
    <m/>
    <n v="17"/>
    <n v="17"/>
    <x v="17"/>
    <m/>
    <m/>
    <m/>
    <m/>
  </r>
  <r>
    <x v="1"/>
    <d v="2008-10-18T00:00:00"/>
    <n v="10"/>
    <x v="18"/>
    <n v="0"/>
    <x v="17"/>
    <s v="Heimat"/>
    <x v="19"/>
    <m/>
    <n v="30"/>
    <n v="30"/>
    <x v="17"/>
    <m/>
    <m/>
    <m/>
    <m/>
  </r>
  <r>
    <x v="1"/>
    <d v="2008-10-19T00:00:00"/>
    <n v="10"/>
    <x v="18"/>
    <n v="1"/>
    <x v="17"/>
    <s v="Heimat"/>
    <x v="19"/>
    <m/>
    <n v="20"/>
    <n v="20"/>
    <x v="17"/>
    <m/>
    <m/>
    <m/>
    <m/>
  </r>
  <r>
    <x v="1"/>
    <d v="2008-10-19T00:00:00"/>
    <n v="10"/>
    <x v="18"/>
    <n v="0"/>
    <x v="17"/>
    <s v="Heimat"/>
    <x v="19"/>
    <m/>
    <n v="18"/>
    <n v="18"/>
    <x v="17"/>
    <m/>
    <m/>
    <m/>
    <m/>
  </r>
  <r>
    <x v="1"/>
    <d v="2008-10-19T00:00:00"/>
    <n v="10"/>
    <x v="18"/>
    <n v="0"/>
    <x v="17"/>
    <s v="Breithorn"/>
    <x v="19"/>
    <m/>
    <n v="16"/>
    <n v="16"/>
    <x v="17"/>
    <m/>
    <m/>
    <m/>
    <m/>
  </r>
  <r>
    <x v="4"/>
    <d v="2008-12-27T00:00:00"/>
    <n v="12"/>
    <x v="18"/>
    <n v="1"/>
    <x v="19"/>
    <s v="Heimat"/>
    <x v="19"/>
    <m/>
    <n v="15"/>
    <n v="15"/>
    <x v="2"/>
    <s v="Einweisungsflug Hansi"/>
    <m/>
    <m/>
    <m/>
  </r>
  <r>
    <x v="4"/>
    <d v="2008-12-27T00:00:00"/>
    <n v="12"/>
    <x v="18"/>
    <n v="0"/>
    <x v="19"/>
    <s v="Heimat"/>
    <x v="19"/>
    <m/>
    <n v="15"/>
    <n v="15"/>
    <x v="2"/>
    <s v="Einweisungsflug Hansi"/>
    <m/>
    <m/>
    <m/>
  </r>
  <r>
    <x v="4"/>
    <d v="2008-12-27T00:00:00"/>
    <n v="12"/>
    <x v="18"/>
    <n v="0"/>
    <x v="19"/>
    <s v="Heimat"/>
    <x v="19"/>
    <m/>
    <n v="15"/>
    <n v="15"/>
    <x v="2"/>
    <s v="Jungfernflug mit Andrea ::))"/>
    <m/>
    <m/>
    <m/>
  </r>
  <r>
    <x v="3"/>
    <d v="2008-12-28T00:00:00"/>
    <n v="12"/>
    <x v="18"/>
    <n v="0"/>
    <x v="13"/>
    <s v="Steibenkreuz"/>
    <x v="88"/>
    <m/>
    <m/>
    <n v="0"/>
    <x v="2"/>
    <m/>
    <m/>
    <m/>
    <m/>
  </r>
  <r>
    <x v="3"/>
    <d v="2008-12-29T00:00:00"/>
    <n v="12"/>
    <x v="18"/>
    <n v="0"/>
    <x v="13"/>
    <s v="Eggishorn"/>
    <x v="24"/>
    <m/>
    <m/>
    <n v="0"/>
    <x v="2"/>
    <s v="mit Christian"/>
    <m/>
    <m/>
    <m/>
  </r>
  <r>
    <x v="3"/>
    <d v="2008-12-30T00:00:00"/>
    <n v="12"/>
    <x v="18"/>
    <n v="0"/>
    <x v="13"/>
    <s v="Steibenkreuz"/>
    <x v="88"/>
    <m/>
    <m/>
    <n v="0"/>
    <x v="2"/>
    <m/>
    <m/>
    <m/>
    <m/>
  </r>
  <r>
    <x v="4"/>
    <d v="2009-01-01T00:00:00"/>
    <n v="1"/>
    <x v="19"/>
    <n v="1"/>
    <x v="19"/>
    <s v="Heimat"/>
    <x v="19"/>
    <m/>
    <n v="15"/>
    <n v="15"/>
    <x v="2"/>
    <m/>
    <m/>
    <m/>
    <m/>
  </r>
  <r>
    <x v="4"/>
    <d v="2009-01-01T00:00:00"/>
    <n v="1"/>
    <x v="19"/>
    <n v="0"/>
    <x v="19"/>
    <s v="Heimat"/>
    <x v="19"/>
    <m/>
    <n v="15"/>
    <n v="15"/>
    <x v="2"/>
    <m/>
    <m/>
    <m/>
    <m/>
  </r>
  <r>
    <x v="4"/>
    <d v="2009-01-02T00:00:00"/>
    <n v="1"/>
    <x v="19"/>
    <n v="1"/>
    <x v="19"/>
    <s v="Heimat"/>
    <x v="19"/>
    <m/>
    <n v="15"/>
    <n v="15"/>
    <x v="2"/>
    <m/>
    <m/>
    <m/>
    <m/>
  </r>
  <r>
    <x v="4"/>
    <d v="2009-01-02T00:00:00"/>
    <n v="1"/>
    <x v="19"/>
    <n v="0"/>
    <x v="19"/>
    <s v="Heimat"/>
    <x v="19"/>
    <m/>
    <n v="15"/>
    <n v="15"/>
    <x v="2"/>
    <m/>
    <m/>
    <m/>
    <m/>
  </r>
  <r>
    <x v="4"/>
    <d v="2009-01-02T00:00:00"/>
    <n v="1"/>
    <x v="19"/>
    <n v="0"/>
    <x v="19"/>
    <s v="Steibenkreuz"/>
    <x v="19"/>
    <m/>
    <n v="15"/>
    <n v="15"/>
    <x v="2"/>
    <m/>
    <m/>
    <m/>
    <m/>
  </r>
  <r>
    <x v="4"/>
    <d v="2009-01-03T00:00:00"/>
    <n v="1"/>
    <x v="19"/>
    <n v="1"/>
    <x v="19"/>
    <s v="Heimat"/>
    <x v="19"/>
    <m/>
    <n v="20"/>
    <n v="20"/>
    <x v="2"/>
    <m/>
    <m/>
    <m/>
    <m/>
  </r>
  <r>
    <x v="4"/>
    <d v="2009-01-03T00:00:00"/>
    <n v="1"/>
    <x v="19"/>
    <n v="0"/>
    <x v="19"/>
    <s v="Heimat"/>
    <x v="19"/>
    <m/>
    <n v="20"/>
    <n v="20"/>
    <x v="2"/>
    <m/>
    <m/>
    <m/>
    <m/>
  </r>
  <r>
    <x v="3"/>
    <d v="2009-01-04T00:00:00"/>
    <n v="1"/>
    <x v="19"/>
    <n v="0"/>
    <x v="13"/>
    <s v="Eggishorn"/>
    <x v="24"/>
    <m/>
    <m/>
    <n v="0"/>
    <x v="2"/>
    <s v="mit Christian"/>
    <m/>
    <m/>
    <m/>
  </r>
  <r>
    <x v="3"/>
    <d v="2009-01-07T00:00:00"/>
    <n v="1"/>
    <x v="19"/>
    <n v="0"/>
    <x v="13"/>
    <s v="Eggishorn"/>
    <x v="24"/>
    <m/>
    <m/>
    <n v="0"/>
    <x v="2"/>
    <m/>
    <m/>
    <m/>
    <m/>
  </r>
  <r>
    <x v="4"/>
    <d v="2009-01-09T00:00:00"/>
    <n v="1"/>
    <x v="19"/>
    <n v="1"/>
    <x v="19"/>
    <s v="Heimat"/>
    <x v="19"/>
    <m/>
    <n v="15"/>
    <n v="15"/>
    <x v="2"/>
    <m/>
    <m/>
    <m/>
    <m/>
  </r>
  <r>
    <x v="4"/>
    <d v="2009-01-09T00:00:00"/>
    <n v="1"/>
    <x v="19"/>
    <n v="0"/>
    <x v="19"/>
    <s v="Heimat"/>
    <x v="19"/>
    <m/>
    <n v="50"/>
    <n v="50"/>
    <x v="2"/>
    <s v="erster Thermikflug mit Andrea:)"/>
    <m/>
    <m/>
    <m/>
  </r>
  <r>
    <x v="4"/>
    <d v="2009-01-10T00:00:00"/>
    <n v="1"/>
    <x v="19"/>
    <n v="1"/>
    <x v="19"/>
    <s v="Heimat"/>
    <x v="19"/>
    <m/>
    <n v="20"/>
    <n v="20"/>
    <x v="2"/>
    <m/>
    <m/>
    <m/>
    <m/>
  </r>
  <r>
    <x v="4"/>
    <d v="2009-01-10T00:00:00"/>
    <n v="1"/>
    <x v="19"/>
    <n v="0"/>
    <x v="19"/>
    <s v="Heimat"/>
    <x v="63"/>
    <m/>
    <n v="20"/>
    <n v="20"/>
    <x v="2"/>
    <m/>
    <m/>
    <m/>
    <m/>
  </r>
  <r>
    <x v="3"/>
    <d v="2009-01-10T00:00:00"/>
    <n v="1"/>
    <x v="19"/>
    <n v="0"/>
    <x v="13"/>
    <s v="Eggishorn"/>
    <x v="24"/>
    <m/>
    <m/>
    <n v="0"/>
    <x v="2"/>
    <m/>
    <m/>
    <m/>
    <m/>
  </r>
  <r>
    <x v="4"/>
    <d v="2009-01-11T00:00:00"/>
    <n v="1"/>
    <x v="19"/>
    <n v="1"/>
    <x v="19"/>
    <s v="Heimat"/>
    <x v="19"/>
    <m/>
    <n v="20"/>
    <n v="20"/>
    <x v="2"/>
    <m/>
    <m/>
    <m/>
    <m/>
  </r>
  <r>
    <x v="4"/>
    <d v="2009-01-11T00:00:00"/>
    <n v="1"/>
    <x v="19"/>
    <n v="0"/>
    <x v="19"/>
    <s v="Heimat"/>
    <x v="19"/>
    <m/>
    <n v="20"/>
    <n v="20"/>
    <x v="2"/>
    <m/>
    <m/>
    <m/>
    <m/>
  </r>
  <r>
    <x v="4"/>
    <d v="2009-01-17T00:00:00"/>
    <n v="1"/>
    <x v="19"/>
    <n v="1"/>
    <x v="19"/>
    <s v="Torym"/>
    <x v="89"/>
    <m/>
    <n v="15"/>
    <n v="15"/>
    <x v="2"/>
    <m/>
    <m/>
    <m/>
    <m/>
  </r>
  <r>
    <x v="4"/>
    <d v="2009-01-17T00:00:00"/>
    <n v="1"/>
    <x v="19"/>
    <n v="0"/>
    <x v="19"/>
    <s v="Torym"/>
    <x v="89"/>
    <m/>
    <n v="15"/>
    <n v="15"/>
    <x v="2"/>
    <m/>
    <m/>
    <m/>
    <m/>
  </r>
  <r>
    <x v="4"/>
    <d v="2009-01-31T00:00:00"/>
    <n v="1"/>
    <x v="19"/>
    <n v="1"/>
    <x v="19"/>
    <s v="Torym"/>
    <x v="89"/>
    <m/>
    <n v="15"/>
    <n v="15"/>
    <x v="2"/>
    <s v="Prüfungsflug"/>
    <m/>
    <m/>
    <m/>
  </r>
  <r>
    <x v="4"/>
    <d v="2009-01-31T00:00:00"/>
    <n v="1"/>
    <x v="19"/>
    <n v="0"/>
    <x v="19"/>
    <s v="Torym"/>
    <x v="89"/>
    <m/>
    <n v="15"/>
    <n v="15"/>
    <x v="2"/>
    <s v="Prüfungsflug"/>
    <m/>
    <m/>
    <m/>
  </r>
  <r>
    <x v="3"/>
    <d v="2009-02-21T00:00:00"/>
    <n v="2"/>
    <x v="19"/>
    <n v="0"/>
    <x v="13"/>
    <s v="Steibenkreuz"/>
    <x v="88"/>
    <m/>
    <m/>
    <n v="0"/>
    <x v="2"/>
    <m/>
    <m/>
    <m/>
    <m/>
  </r>
  <r>
    <x v="4"/>
    <d v="2009-02-28T00:00:00"/>
    <n v="2"/>
    <x v="19"/>
    <n v="1"/>
    <x v="19"/>
    <s v="Heimat"/>
    <x v="63"/>
    <m/>
    <n v="17"/>
    <n v="17"/>
    <x v="2"/>
    <m/>
    <m/>
    <m/>
    <m/>
  </r>
  <r>
    <x v="4"/>
    <d v="2009-02-28T00:00:00"/>
    <n v="2"/>
    <x v="19"/>
    <n v="0"/>
    <x v="19"/>
    <s v="Heimat"/>
    <x v="63"/>
    <m/>
    <n v="56"/>
    <n v="56"/>
    <x v="2"/>
    <m/>
    <m/>
    <m/>
    <m/>
  </r>
  <r>
    <x v="4"/>
    <d v="2009-03-22T00:00:00"/>
    <n v="3"/>
    <x v="19"/>
    <n v="1"/>
    <x v="19"/>
    <s v="Heimat"/>
    <x v="19"/>
    <m/>
    <n v="19"/>
    <n v="19"/>
    <x v="2"/>
    <m/>
    <m/>
    <m/>
    <m/>
  </r>
  <r>
    <x v="0"/>
    <d v="2009-03-28T00:00:00"/>
    <n v="3"/>
    <x v="19"/>
    <n v="1"/>
    <x v="17"/>
    <s v="Heimat"/>
    <x v="19"/>
    <m/>
    <n v="25"/>
    <n v="25"/>
    <x v="2"/>
    <m/>
    <m/>
    <m/>
    <m/>
  </r>
  <r>
    <x v="0"/>
    <d v="2009-04-04T00:00:00"/>
    <n v="4"/>
    <x v="19"/>
    <n v="1"/>
    <x v="17"/>
    <s v="Heimat"/>
    <x v="35"/>
    <m/>
    <n v="58"/>
    <n v="58"/>
    <x v="2"/>
    <m/>
    <m/>
    <m/>
    <m/>
  </r>
  <r>
    <x v="0"/>
    <d v="2009-04-05T00:00:00"/>
    <n v="4"/>
    <x v="19"/>
    <n v="1"/>
    <x v="17"/>
    <s v="Heimat"/>
    <x v="19"/>
    <n v="2"/>
    <n v="20"/>
    <n v="140"/>
    <x v="2"/>
    <s v="Baschi retour"/>
    <m/>
    <m/>
    <m/>
  </r>
  <r>
    <x v="0"/>
    <d v="2009-04-18T00:00:00"/>
    <n v="4"/>
    <x v="19"/>
    <n v="1"/>
    <x v="17"/>
    <s v="Heimat"/>
    <x v="19"/>
    <m/>
    <n v="39"/>
    <n v="39"/>
    <x v="2"/>
    <m/>
    <m/>
    <m/>
    <m/>
  </r>
  <r>
    <x v="4"/>
    <d v="2009-04-29T00:00:00"/>
    <n v="4"/>
    <x v="19"/>
    <n v="1"/>
    <x v="19"/>
    <s v="Mte Lema"/>
    <x v="41"/>
    <n v="1"/>
    <n v="18"/>
    <n v="78"/>
    <x v="9"/>
    <s v="Andrea kann keinen Druckausgleich machen"/>
    <m/>
    <m/>
    <m/>
  </r>
  <r>
    <x v="4"/>
    <d v="2009-04-30T00:00:00"/>
    <n v="4"/>
    <x v="19"/>
    <n v="1"/>
    <x v="19"/>
    <s v="Gornizzolo"/>
    <x v="90"/>
    <m/>
    <n v="27"/>
    <n v="27"/>
    <x v="9"/>
    <s v="Soaren über Granitabbruch"/>
    <m/>
    <m/>
    <m/>
  </r>
  <r>
    <x v="4"/>
    <d v="2009-05-01T00:00:00"/>
    <n v="5"/>
    <x v="19"/>
    <n v="1"/>
    <x v="19"/>
    <s v="Cimetta"/>
    <x v="91"/>
    <m/>
    <n v="42"/>
    <n v="42"/>
    <x v="9"/>
    <s v="Spirale mit Andrea "/>
    <m/>
    <n v="10.5"/>
    <m/>
  </r>
  <r>
    <x v="0"/>
    <d v="2009-05-01T00:00:00"/>
    <n v="5"/>
    <x v="19"/>
    <n v="0"/>
    <x v="17"/>
    <s v="Cimetta"/>
    <x v="91"/>
    <m/>
    <n v="47"/>
    <n v="47"/>
    <x v="9"/>
    <s v="Spirale"/>
    <m/>
    <n v="17.899999999999999"/>
    <m/>
  </r>
  <r>
    <x v="0"/>
    <d v="2009-05-03T00:00:00"/>
    <n v="5"/>
    <x v="19"/>
    <n v="1"/>
    <x v="17"/>
    <s v="Riederalp"/>
    <x v="19"/>
    <n v="2"/>
    <n v="52"/>
    <n v="172"/>
    <x v="2"/>
    <s v="mit Peter ins Goms"/>
    <n v="6.2"/>
    <n v="18.899999999999999"/>
    <m/>
  </r>
  <r>
    <x v="4"/>
    <d v="2009-05-21T00:00:00"/>
    <n v="5"/>
    <x v="19"/>
    <n v="1"/>
    <x v="19"/>
    <s v="Motta Naluns"/>
    <x v="92"/>
    <m/>
    <n v="7"/>
    <n v="7"/>
    <x v="2"/>
    <s v="1. Flug mit Andrea muttersehlenaleine"/>
    <m/>
    <m/>
    <m/>
  </r>
  <r>
    <x v="4"/>
    <d v="2009-05-23T00:00:00"/>
    <n v="5"/>
    <x v="19"/>
    <n v="1"/>
    <x v="19"/>
    <s v="Motta Naluns"/>
    <x v="92"/>
    <m/>
    <n v="14"/>
    <n v="14"/>
    <x v="2"/>
    <s v="Armin, Penni, Birgitte, Frank"/>
    <m/>
    <m/>
    <m/>
  </r>
  <r>
    <x v="4"/>
    <d v="2009-05-31T00:00:00"/>
    <n v="5"/>
    <x v="19"/>
    <n v="1"/>
    <x v="19"/>
    <s v="Riederalp"/>
    <x v="93"/>
    <m/>
    <n v="19"/>
    <n v="19"/>
    <x v="2"/>
    <m/>
    <m/>
    <m/>
    <m/>
  </r>
  <r>
    <x v="0"/>
    <d v="2009-06-22T00:00:00"/>
    <n v="6"/>
    <x v="19"/>
    <n v="1"/>
    <x v="17"/>
    <s v="Sonchaux"/>
    <x v="94"/>
    <m/>
    <n v="26"/>
    <n v="26"/>
    <x v="18"/>
    <m/>
    <m/>
    <m/>
    <m/>
  </r>
  <r>
    <x v="4"/>
    <d v="2009-06-22T00:00:00"/>
    <n v="6"/>
    <x v="19"/>
    <n v="0"/>
    <x v="19"/>
    <s v="Levandry"/>
    <x v="95"/>
    <m/>
    <n v="16"/>
    <n v="16"/>
    <x v="18"/>
    <m/>
    <m/>
    <m/>
    <m/>
  </r>
  <r>
    <x v="0"/>
    <d v="2009-06-24T00:00:00"/>
    <n v="6"/>
    <x v="19"/>
    <n v="1"/>
    <x v="17"/>
    <s v="Guri"/>
    <x v="96"/>
    <m/>
    <n v="29"/>
    <n v="29"/>
    <x v="18"/>
    <m/>
    <m/>
    <m/>
    <m/>
  </r>
  <r>
    <x v="4"/>
    <d v="2009-06-24T00:00:00"/>
    <n v="6"/>
    <x v="19"/>
    <n v="0"/>
    <x v="19"/>
    <s v="Guri"/>
    <x v="96"/>
    <m/>
    <n v="38"/>
    <n v="38"/>
    <x v="18"/>
    <m/>
    <m/>
    <m/>
    <m/>
  </r>
  <r>
    <x v="0"/>
    <d v="2009-06-25T00:00:00"/>
    <n v="6"/>
    <x v="19"/>
    <n v="1"/>
    <x v="17"/>
    <s v="First"/>
    <x v="5"/>
    <m/>
    <n v="48"/>
    <n v="48"/>
    <x v="18"/>
    <m/>
    <m/>
    <m/>
    <m/>
  </r>
  <r>
    <x v="4"/>
    <d v="2009-06-25T00:00:00"/>
    <n v="6"/>
    <x v="19"/>
    <n v="0"/>
    <x v="19"/>
    <s v="Mürren"/>
    <x v="97"/>
    <m/>
    <n v="8"/>
    <n v="8"/>
    <x v="18"/>
    <m/>
    <m/>
    <m/>
    <m/>
  </r>
  <r>
    <x v="4"/>
    <d v="2009-06-26T00:00:00"/>
    <n v="6"/>
    <x v="19"/>
    <n v="1"/>
    <x v="19"/>
    <s v="Muti"/>
    <x v="19"/>
    <m/>
    <n v="21"/>
    <n v="21"/>
    <x v="18"/>
    <m/>
    <m/>
    <m/>
    <m/>
  </r>
  <r>
    <x v="4"/>
    <d v="2009-06-28T00:00:00"/>
    <n v="6"/>
    <x v="19"/>
    <n v="1"/>
    <x v="20"/>
    <s v="Vounetz"/>
    <x v="98"/>
    <m/>
    <n v="11"/>
    <n v="11"/>
    <x v="2"/>
    <m/>
    <m/>
    <m/>
    <m/>
  </r>
  <r>
    <x v="0"/>
    <d v="2009-06-28T00:00:00"/>
    <n v="6"/>
    <x v="19"/>
    <n v="0"/>
    <x v="17"/>
    <s v="Vounetz"/>
    <x v="98"/>
    <m/>
    <n v="33"/>
    <n v="33"/>
    <x v="2"/>
    <m/>
    <m/>
    <m/>
    <m/>
  </r>
  <r>
    <x v="5"/>
    <d v="2009-07-09T00:00:00"/>
    <n v="7"/>
    <x v="19"/>
    <n v="1"/>
    <x v="19"/>
    <s v="Axalp"/>
    <x v="64"/>
    <m/>
    <n v="10"/>
    <n v="10"/>
    <x v="14"/>
    <s v="mit Andrea"/>
    <m/>
    <m/>
    <m/>
  </r>
  <r>
    <x v="0"/>
    <d v="2009-07-09T00:00:00"/>
    <n v="7"/>
    <x v="19"/>
    <n v="1"/>
    <x v="17"/>
    <s v="Axalp"/>
    <x v="64"/>
    <m/>
    <n v="13"/>
    <n v="13"/>
    <x v="2"/>
    <m/>
    <m/>
    <m/>
    <m/>
  </r>
  <r>
    <x v="4"/>
    <d v="2009-07-11T00:00:00"/>
    <n v="7"/>
    <x v="19"/>
    <n v="1"/>
    <x v="19"/>
    <s v="Chalet Ü50"/>
    <x v="19"/>
    <m/>
    <n v="58"/>
    <n v="58"/>
    <x v="2"/>
    <m/>
    <m/>
    <m/>
    <m/>
  </r>
  <r>
    <x v="0"/>
    <d v="2009-07-12T00:00:00"/>
    <n v="7"/>
    <x v="19"/>
    <n v="1"/>
    <x v="17"/>
    <s v="Heimat"/>
    <x v="19"/>
    <m/>
    <n v="39"/>
    <n v="39"/>
    <x v="2"/>
    <s v="Neuer Sitz mit Wendegurtzeug"/>
    <m/>
    <m/>
    <m/>
  </r>
  <r>
    <x v="0"/>
    <d v="2009-07-19T00:00:00"/>
    <n v="7"/>
    <x v="19"/>
    <n v="1"/>
    <x v="17"/>
    <s v="Heimat"/>
    <x v="19"/>
    <m/>
    <n v="29"/>
    <n v="29"/>
    <x v="2"/>
    <s v="Neuer Sitz mit Wendegurtzeug"/>
    <m/>
    <m/>
    <m/>
  </r>
  <r>
    <x v="0"/>
    <d v="2009-07-19T00:00:00"/>
    <n v="7"/>
    <x v="19"/>
    <n v="0"/>
    <x v="17"/>
    <s v="Fiescheralp"/>
    <x v="19"/>
    <n v="1"/>
    <n v="7"/>
    <n v="67"/>
    <x v="2"/>
    <m/>
    <m/>
    <m/>
    <m/>
  </r>
  <r>
    <x v="0"/>
    <d v="2009-07-25T00:00:00"/>
    <n v="7"/>
    <x v="19"/>
    <n v="1"/>
    <x v="17"/>
    <s v="Fiescheralp"/>
    <x v="35"/>
    <n v="1"/>
    <n v="2"/>
    <n v="62"/>
    <x v="2"/>
    <m/>
    <m/>
    <m/>
    <m/>
  </r>
  <r>
    <x v="4"/>
    <d v="2009-07-26T00:00:00"/>
    <n v="7"/>
    <x v="19"/>
    <n v="1"/>
    <x v="19"/>
    <s v="Chalet Ü50"/>
    <x v="80"/>
    <n v="1"/>
    <n v="49"/>
    <n v="109"/>
    <x v="2"/>
    <s v="Mit Andrea pinkeln"/>
    <m/>
    <m/>
    <m/>
  </r>
  <r>
    <x v="4"/>
    <d v="2009-08-01T00:00:00"/>
    <n v="8"/>
    <x v="19"/>
    <n v="1"/>
    <x v="19"/>
    <s v="Chalet Ü50"/>
    <x v="35"/>
    <m/>
    <n v="53"/>
    <n v="53"/>
    <x v="2"/>
    <s v="mit Andrea Gletscher gesehen"/>
    <m/>
    <m/>
    <m/>
  </r>
  <r>
    <x v="0"/>
    <d v="2009-08-09T00:00:00"/>
    <n v="8"/>
    <x v="19"/>
    <n v="1"/>
    <x v="17"/>
    <s v="Heimat"/>
    <x v="80"/>
    <m/>
    <n v="45"/>
    <n v="45"/>
    <x v="2"/>
    <m/>
    <m/>
    <m/>
    <m/>
  </r>
  <r>
    <x v="0"/>
    <d v="2009-08-28T00:00:00"/>
    <n v="8"/>
    <x v="19"/>
    <n v="1"/>
    <x v="17"/>
    <s v="Heimat"/>
    <x v="80"/>
    <n v="1"/>
    <n v="50"/>
    <n v="110"/>
    <x v="2"/>
    <s v="2. Anlauf"/>
    <m/>
    <m/>
    <m/>
  </r>
  <r>
    <x v="0"/>
    <d v="2009-08-30T00:00:00"/>
    <n v="8"/>
    <x v="19"/>
    <n v="1"/>
    <x v="17"/>
    <s v="Heimat"/>
    <x v="19"/>
    <m/>
    <n v="45"/>
    <n v="45"/>
    <x v="2"/>
    <m/>
    <m/>
    <m/>
    <m/>
  </r>
  <r>
    <x v="4"/>
    <d v="2009-09-06T00:00:00"/>
    <n v="9"/>
    <x v="19"/>
    <n v="1"/>
    <x v="19"/>
    <s v="First"/>
    <x v="5"/>
    <m/>
    <n v="30"/>
    <n v="30"/>
    <x v="2"/>
    <m/>
    <m/>
    <m/>
    <m/>
  </r>
  <r>
    <x v="0"/>
    <d v="2009-09-12T00:00:00"/>
    <n v="9"/>
    <x v="19"/>
    <n v="1"/>
    <x v="17"/>
    <s v="Heimat"/>
    <x v="19"/>
    <m/>
    <n v="20"/>
    <n v="20"/>
    <x v="2"/>
    <m/>
    <m/>
    <m/>
    <m/>
  </r>
  <r>
    <x v="0"/>
    <d v="2009-09-13T00:00:00"/>
    <n v="9"/>
    <x v="19"/>
    <n v="1"/>
    <x v="17"/>
    <s v="Heimat"/>
    <x v="19"/>
    <m/>
    <n v="29"/>
    <n v="29"/>
    <x v="2"/>
    <m/>
    <m/>
    <m/>
    <m/>
  </r>
  <r>
    <x v="4"/>
    <d v="2009-09-20T00:00:00"/>
    <n v="9"/>
    <x v="19"/>
    <n v="1"/>
    <x v="19"/>
    <s v="Heimat"/>
    <x v="19"/>
    <m/>
    <n v="32"/>
    <n v="32"/>
    <x v="2"/>
    <s v="Gletscher gesehen"/>
    <m/>
    <m/>
    <m/>
  </r>
  <r>
    <x v="4"/>
    <d v="2009-09-20T00:00:00"/>
    <n v="9"/>
    <x v="19"/>
    <n v="0"/>
    <x v="19"/>
    <s v="Heimat"/>
    <x v="19"/>
    <m/>
    <n v="22"/>
    <n v="22"/>
    <x v="2"/>
    <s v="7.9/-7.1"/>
    <m/>
    <m/>
    <m/>
  </r>
  <r>
    <x v="4"/>
    <d v="2009-09-26T00:00:00"/>
    <n v="9"/>
    <x v="19"/>
    <n v="1"/>
    <x v="19"/>
    <s v="Heimat"/>
    <x v="35"/>
    <m/>
    <n v="57"/>
    <n v="57"/>
    <x v="2"/>
    <m/>
    <m/>
    <m/>
    <m/>
  </r>
  <r>
    <x v="0"/>
    <d v="2009-09-27T00:00:00"/>
    <n v="9"/>
    <x v="19"/>
    <n v="1"/>
    <x v="17"/>
    <s v="Heimat"/>
    <x v="63"/>
    <n v="1"/>
    <n v="48"/>
    <n v="108"/>
    <x v="2"/>
    <s v="Siedelhorn"/>
    <m/>
    <m/>
    <m/>
  </r>
  <r>
    <x v="0"/>
    <d v="2009-10-03T00:00:00"/>
    <n v="10"/>
    <x v="19"/>
    <n v="1"/>
    <x v="17"/>
    <s v="Heimat"/>
    <x v="19"/>
    <m/>
    <n v="30"/>
    <n v="30"/>
    <x v="2"/>
    <s v="Remy/Renate bei uns"/>
    <m/>
    <m/>
    <m/>
  </r>
  <r>
    <x v="0"/>
    <d v="2009-10-23T00:00:00"/>
    <n v="10"/>
    <x v="19"/>
    <n v="1"/>
    <x v="21"/>
    <s v="Cuchi Corral"/>
    <x v="99"/>
    <m/>
    <n v="50"/>
    <n v="50"/>
    <x v="2"/>
    <s v="Andy Hediger / La Cumbre"/>
    <m/>
    <m/>
    <m/>
  </r>
  <r>
    <x v="4"/>
    <d v="2009-10-28T00:00:00"/>
    <n v="10"/>
    <x v="19"/>
    <n v="1"/>
    <x v="19"/>
    <s v="Cuchi Corral"/>
    <x v="99"/>
    <m/>
    <n v="7"/>
    <n v="7"/>
    <x v="2"/>
    <s v="Andy Hediger / La Cumbre"/>
    <m/>
    <m/>
    <m/>
  </r>
  <r>
    <x v="0"/>
    <d v="2009-10-28T00:00:00"/>
    <n v="10"/>
    <x v="19"/>
    <n v="0"/>
    <x v="21"/>
    <s v="Cuchi Corral"/>
    <x v="100"/>
    <m/>
    <n v="24"/>
    <n v="24"/>
    <x v="2"/>
    <s v="Andy Hediger / La Cumbre 9.9+, 9.5-"/>
    <m/>
    <m/>
    <m/>
  </r>
  <r>
    <x v="4"/>
    <d v="2010-01-23T00:00:00"/>
    <n v="1"/>
    <x v="20"/>
    <n v="1"/>
    <x v="19"/>
    <s v="Heimat"/>
    <x v="63"/>
    <m/>
    <n v="19"/>
    <n v="19"/>
    <x v="2"/>
    <m/>
    <m/>
    <m/>
    <m/>
  </r>
  <r>
    <x v="0"/>
    <d v="2010-03-08T00:00:00"/>
    <n v="3"/>
    <x v="20"/>
    <n v="1"/>
    <x v="17"/>
    <s v="Heimat"/>
    <x v="63"/>
    <m/>
    <n v="41"/>
    <n v="41"/>
    <x v="2"/>
    <m/>
    <m/>
    <m/>
    <m/>
  </r>
  <r>
    <x v="0"/>
    <d v="2010-04-09T00:00:00"/>
    <n v="4"/>
    <x v="20"/>
    <n v="1"/>
    <x v="17"/>
    <s v="Heimat"/>
    <x v="101"/>
    <m/>
    <n v="20"/>
    <n v="20"/>
    <x v="2"/>
    <m/>
    <m/>
    <m/>
    <m/>
  </r>
  <r>
    <x v="0"/>
    <d v="2010-04-10T00:00:00"/>
    <n v="4"/>
    <x v="20"/>
    <n v="1"/>
    <x v="17"/>
    <s v="Heimat"/>
    <x v="101"/>
    <m/>
    <n v="50"/>
    <n v="50"/>
    <x v="2"/>
    <m/>
    <m/>
    <m/>
    <m/>
  </r>
  <r>
    <x v="0"/>
    <d v="2010-04-10T00:00:00"/>
    <n v="4"/>
    <x v="20"/>
    <n v="0"/>
    <x v="17"/>
    <s v="Heimat"/>
    <x v="101"/>
    <m/>
    <n v="10"/>
    <n v="10"/>
    <x v="2"/>
    <m/>
    <m/>
    <m/>
    <m/>
  </r>
  <r>
    <x v="0"/>
    <d v="2010-04-10T00:00:00"/>
    <n v="4"/>
    <x v="20"/>
    <n v="0"/>
    <x v="17"/>
    <s v="Heimat"/>
    <x v="19"/>
    <m/>
    <n v="20"/>
    <n v="20"/>
    <x v="2"/>
    <m/>
    <m/>
    <m/>
    <m/>
  </r>
  <r>
    <x v="0"/>
    <d v="2010-04-16T00:00:00"/>
    <n v="4"/>
    <x v="20"/>
    <n v="1"/>
    <x v="17"/>
    <s v="Heimat"/>
    <x v="19"/>
    <m/>
    <n v="20"/>
    <n v="20"/>
    <x v="2"/>
    <m/>
    <m/>
    <m/>
    <m/>
  </r>
  <r>
    <x v="4"/>
    <d v="2010-04-17T00:00:00"/>
    <n v="4"/>
    <x v="20"/>
    <n v="1"/>
    <x v="19"/>
    <s v="Heimat"/>
    <x v="19"/>
    <n v="2"/>
    <n v="0"/>
    <n v="120"/>
    <x v="2"/>
    <s v="Siedelhorn retour"/>
    <m/>
    <m/>
    <m/>
  </r>
  <r>
    <x v="0"/>
    <d v="2010-05-24T00:00:00"/>
    <n v="5"/>
    <x v="20"/>
    <n v="1"/>
    <x v="17"/>
    <s v="Pizzorne"/>
    <x v="75"/>
    <m/>
    <n v="39"/>
    <n v="39"/>
    <x v="15"/>
    <m/>
    <m/>
    <m/>
    <m/>
  </r>
  <r>
    <x v="0"/>
    <d v="2010-05-24T00:00:00"/>
    <n v="5"/>
    <x v="20"/>
    <n v="0"/>
    <x v="17"/>
    <s v="Pizzorne"/>
    <x v="75"/>
    <n v="1"/>
    <n v="26"/>
    <n v="86"/>
    <x v="15"/>
    <m/>
    <m/>
    <m/>
    <m/>
  </r>
  <r>
    <x v="0"/>
    <d v="2010-05-25T00:00:00"/>
    <n v="5"/>
    <x v="20"/>
    <n v="1"/>
    <x v="17"/>
    <s v="Prato Fiori"/>
    <x v="77"/>
    <m/>
    <n v="30"/>
    <n v="30"/>
    <x v="15"/>
    <s v="Frontklapper"/>
    <m/>
    <m/>
    <m/>
  </r>
  <r>
    <x v="0"/>
    <d v="2010-05-25T00:00:00"/>
    <n v="5"/>
    <x v="20"/>
    <n v="0"/>
    <x v="17"/>
    <s v="Prato Fiori"/>
    <x v="77"/>
    <m/>
    <n v="15"/>
    <n v="15"/>
    <x v="15"/>
    <m/>
    <m/>
    <m/>
    <m/>
  </r>
  <r>
    <x v="0"/>
    <d v="2010-05-26T00:00:00"/>
    <n v="5"/>
    <x v="20"/>
    <n v="1"/>
    <x v="17"/>
    <s v="Pizzorne"/>
    <x v="75"/>
    <m/>
    <n v="40"/>
    <n v="40"/>
    <x v="15"/>
    <m/>
    <m/>
    <m/>
    <m/>
  </r>
  <r>
    <x v="4"/>
    <d v="2010-05-26T00:00:00"/>
    <n v="5"/>
    <x v="20"/>
    <n v="0"/>
    <x v="19"/>
    <s v="Pizzorne"/>
    <x v="75"/>
    <m/>
    <n v="30"/>
    <n v="30"/>
    <x v="15"/>
    <m/>
    <m/>
    <m/>
    <m/>
  </r>
  <r>
    <x v="4"/>
    <d v="2010-05-26T00:00:00"/>
    <n v="5"/>
    <x v="20"/>
    <n v="0"/>
    <x v="19"/>
    <s v="Diezimo"/>
    <x v="76"/>
    <m/>
    <n v="42"/>
    <n v="42"/>
    <x v="15"/>
    <m/>
    <m/>
    <m/>
    <m/>
  </r>
  <r>
    <x v="0"/>
    <d v="2010-05-27T00:00:00"/>
    <n v="5"/>
    <x v="20"/>
    <n v="1"/>
    <x v="17"/>
    <s v="Pizzorne"/>
    <x v="75"/>
    <m/>
    <n v="15"/>
    <n v="15"/>
    <x v="15"/>
    <m/>
    <m/>
    <m/>
    <m/>
  </r>
  <r>
    <x v="0"/>
    <d v="2010-05-28T00:00:00"/>
    <n v="5"/>
    <x v="20"/>
    <n v="1"/>
    <x v="17"/>
    <s v="Pizzorne"/>
    <x v="75"/>
    <m/>
    <n v="22"/>
    <n v="22"/>
    <x v="15"/>
    <m/>
    <m/>
    <m/>
    <m/>
  </r>
  <r>
    <x v="0"/>
    <d v="2010-05-28T00:00:00"/>
    <n v="5"/>
    <x v="20"/>
    <n v="0"/>
    <x v="17"/>
    <s v="Pizzorne"/>
    <x v="102"/>
    <m/>
    <n v="50"/>
    <n v="50"/>
    <x v="15"/>
    <m/>
    <m/>
    <m/>
    <m/>
  </r>
  <r>
    <x v="0"/>
    <d v="2010-06-04T00:00:00"/>
    <n v="6"/>
    <x v="20"/>
    <n v="1"/>
    <x v="17"/>
    <s v="Heimat"/>
    <x v="19"/>
    <m/>
    <n v="12"/>
    <n v="12"/>
    <x v="2"/>
    <m/>
    <m/>
    <m/>
    <m/>
  </r>
  <r>
    <x v="4"/>
    <d v="2010-06-05T00:00:00"/>
    <n v="6"/>
    <x v="20"/>
    <n v="1"/>
    <x v="19"/>
    <s v="Eggishorn"/>
    <x v="19"/>
    <m/>
    <n v="54"/>
    <n v="54"/>
    <x v="2"/>
    <s v="Jungfrau Stafette"/>
    <m/>
    <m/>
    <m/>
  </r>
  <r>
    <x v="0"/>
    <d v="2010-06-06T00:00:00"/>
    <n v="6"/>
    <x v="20"/>
    <n v="1"/>
    <x v="17"/>
    <s v="Heimat"/>
    <x v="35"/>
    <m/>
    <n v="47"/>
    <n v="47"/>
    <x v="2"/>
    <m/>
    <m/>
    <m/>
    <m/>
  </r>
  <r>
    <x v="0"/>
    <d v="2010-06-21T00:00:00"/>
    <n v="6"/>
    <x v="20"/>
    <n v="1"/>
    <x v="17"/>
    <s v="Obern"/>
    <x v="103"/>
    <m/>
    <n v="16"/>
    <n v="16"/>
    <x v="18"/>
    <m/>
    <m/>
    <m/>
    <m/>
  </r>
  <r>
    <x v="0"/>
    <d v="2010-06-22T00:00:00"/>
    <n v="6"/>
    <x v="20"/>
    <n v="1"/>
    <x v="17"/>
    <s v="Wispile"/>
    <x v="104"/>
    <m/>
    <n v="51"/>
    <n v="51"/>
    <x v="18"/>
    <m/>
    <m/>
    <m/>
    <m/>
  </r>
  <r>
    <x v="0"/>
    <d v="2010-06-22T00:00:00"/>
    <n v="6"/>
    <x v="20"/>
    <n v="0"/>
    <x v="17"/>
    <s v="Levandry"/>
    <x v="95"/>
    <m/>
    <n v="15"/>
    <n v="15"/>
    <x v="18"/>
    <m/>
    <m/>
    <m/>
    <m/>
  </r>
  <r>
    <x v="0"/>
    <d v="2010-06-23T00:00:00"/>
    <n v="6"/>
    <x v="20"/>
    <n v="1"/>
    <x v="17"/>
    <s v="Wispile"/>
    <x v="104"/>
    <n v="1"/>
    <n v="28"/>
    <n v="88"/>
    <x v="18"/>
    <m/>
    <m/>
    <m/>
    <m/>
  </r>
  <r>
    <x v="4"/>
    <d v="2010-06-23T00:00:00"/>
    <n v="6"/>
    <x v="20"/>
    <n v="0"/>
    <x v="19"/>
    <s v="Niesen"/>
    <x v="105"/>
    <m/>
    <n v="27"/>
    <n v="27"/>
    <x v="18"/>
    <m/>
    <m/>
    <m/>
    <m/>
  </r>
  <r>
    <x v="4"/>
    <d v="2010-06-24T00:00:00"/>
    <n v="6"/>
    <x v="20"/>
    <n v="1"/>
    <x v="19"/>
    <s v="First"/>
    <x v="5"/>
    <m/>
    <n v="56"/>
    <n v="56"/>
    <x v="18"/>
    <m/>
    <m/>
    <m/>
    <m/>
  </r>
  <r>
    <x v="4"/>
    <d v="2010-06-24T00:00:00"/>
    <n v="6"/>
    <x v="20"/>
    <n v="0"/>
    <x v="19"/>
    <s v="Schinige Platte"/>
    <x v="106"/>
    <m/>
    <n v="35"/>
    <n v="35"/>
    <x v="18"/>
    <m/>
    <m/>
    <m/>
    <m/>
  </r>
  <r>
    <x v="4"/>
    <d v="2010-06-25T00:00:00"/>
    <n v="6"/>
    <x v="20"/>
    <n v="1"/>
    <x v="19"/>
    <s v="Jungfraujoch"/>
    <x v="107"/>
    <m/>
    <n v="35"/>
    <n v="35"/>
    <x v="18"/>
    <m/>
    <m/>
    <m/>
    <m/>
  </r>
  <r>
    <x v="0"/>
    <d v="2010-06-26T00:00:00"/>
    <n v="6"/>
    <x v="20"/>
    <n v="1"/>
    <x v="17"/>
    <s v="Galfera"/>
    <x v="19"/>
    <n v="2"/>
    <n v="36"/>
    <n v="156"/>
    <x v="2"/>
    <m/>
    <m/>
    <m/>
    <m/>
  </r>
  <r>
    <x v="0"/>
    <d v="2010-06-27T00:00:00"/>
    <n v="6"/>
    <x v="20"/>
    <n v="1"/>
    <x v="17"/>
    <s v="Galfera"/>
    <x v="19"/>
    <n v="1"/>
    <n v="58"/>
    <n v="118"/>
    <x v="2"/>
    <m/>
    <m/>
    <m/>
    <m/>
  </r>
  <r>
    <x v="0"/>
    <d v="2010-06-28T00:00:00"/>
    <n v="6"/>
    <x v="20"/>
    <n v="1"/>
    <x v="17"/>
    <s v="Galfera"/>
    <x v="35"/>
    <n v="1"/>
    <n v="2"/>
    <n v="62"/>
    <x v="2"/>
    <m/>
    <m/>
    <m/>
    <m/>
  </r>
  <r>
    <x v="0"/>
    <d v="2010-07-02T00:00:00"/>
    <n v="7"/>
    <x v="20"/>
    <n v="1"/>
    <x v="17"/>
    <s v="Heimat"/>
    <x v="35"/>
    <n v="1"/>
    <n v="40"/>
    <n v="100"/>
    <x v="2"/>
    <m/>
    <m/>
    <m/>
    <m/>
  </r>
  <r>
    <x v="1"/>
    <d v="2010-07-03T00:00:00"/>
    <n v="7"/>
    <x v="20"/>
    <n v="1"/>
    <x v="17"/>
    <s v="Axalp"/>
    <x v="64"/>
    <m/>
    <n v="15"/>
    <n v="15"/>
    <x v="19"/>
    <m/>
    <m/>
    <m/>
    <m/>
  </r>
  <r>
    <x v="1"/>
    <d v="2010-07-03T00:00:00"/>
    <n v="7"/>
    <x v="20"/>
    <n v="0"/>
    <x v="17"/>
    <s v="Axalp"/>
    <x v="64"/>
    <m/>
    <n v="15"/>
    <n v="15"/>
    <x v="19"/>
    <m/>
    <m/>
    <m/>
    <m/>
  </r>
  <r>
    <x v="1"/>
    <d v="2010-07-03T00:00:00"/>
    <n v="7"/>
    <x v="20"/>
    <n v="0"/>
    <x v="17"/>
    <s v="Axalp"/>
    <x v="64"/>
    <m/>
    <n v="15"/>
    <n v="15"/>
    <x v="19"/>
    <m/>
    <m/>
    <m/>
    <m/>
  </r>
  <r>
    <x v="1"/>
    <d v="2010-07-04T00:00:00"/>
    <n v="7"/>
    <x v="20"/>
    <n v="1"/>
    <x v="17"/>
    <s v="Axalp"/>
    <x v="64"/>
    <m/>
    <n v="15"/>
    <n v="15"/>
    <x v="19"/>
    <m/>
    <m/>
    <m/>
    <m/>
  </r>
  <r>
    <x v="1"/>
    <d v="2010-07-04T00:00:00"/>
    <n v="7"/>
    <x v="20"/>
    <n v="0"/>
    <x v="17"/>
    <s v="Axalp"/>
    <x v="64"/>
    <m/>
    <n v="15"/>
    <n v="15"/>
    <x v="19"/>
    <m/>
    <m/>
    <m/>
    <m/>
  </r>
  <r>
    <x v="0"/>
    <d v="2010-07-06T00:00:00"/>
    <n v="7"/>
    <x v="20"/>
    <n v="1"/>
    <x v="17"/>
    <s v="Heimat"/>
    <x v="19"/>
    <m/>
    <n v="40"/>
    <n v="40"/>
    <x v="2"/>
    <m/>
    <m/>
    <m/>
    <m/>
  </r>
  <r>
    <x v="0"/>
    <d v="2010-07-07T00:00:00"/>
    <n v="7"/>
    <x v="20"/>
    <n v="1"/>
    <x v="17"/>
    <s v="Heimat"/>
    <x v="19"/>
    <n v="1"/>
    <n v="32"/>
    <n v="92"/>
    <x v="2"/>
    <m/>
    <m/>
    <m/>
    <m/>
  </r>
  <r>
    <x v="0"/>
    <d v="2010-07-09T00:00:00"/>
    <n v="7"/>
    <x v="20"/>
    <n v="1"/>
    <x v="17"/>
    <s v="Galfera"/>
    <x v="35"/>
    <n v="1"/>
    <n v="54"/>
    <n v="114"/>
    <x v="2"/>
    <m/>
    <m/>
    <m/>
    <m/>
  </r>
  <r>
    <x v="0"/>
    <d v="2010-07-18T00:00:00"/>
    <n v="7"/>
    <x v="20"/>
    <n v="1"/>
    <x v="17"/>
    <s v="Galfera"/>
    <x v="63"/>
    <m/>
    <n v="50"/>
    <n v="50"/>
    <x v="2"/>
    <m/>
    <m/>
    <m/>
    <m/>
  </r>
  <r>
    <x v="0"/>
    <d v="2010-07-31T00:00:00"/>
    <n v="7"/>
    <x v="20"/>
    <n v="1"/>
    <x v="17"/>
    <s v="Galfera"/>
    <x v="35"/>
    <n v="2"/>
    <n v="18"/>
    <n v="138"/>
    <x v="2"/>
    <m/>
    <m/>
    <m/>
    <m/>
  </r>
  <r>
    <x v="0"/>
    <d v="2010-07-31T00:00:00"/>
    <n v="7"/>
    <x v="20"/>
    <n v="0"/>
    <x v="17"/>
    <s v="Breithorn"/>
    <x v="19"/>
    <m/>
    <n v="53"/>
    <n v="53"/>
    <x v="2"/>
    <m/>
    <m/>
    <m/>
    <m/>
  </r>
  <r>
    <x v="0"/>
    <d v="2010-08-01T00:00:00"/>
    <n v="8"/>
    <x v="20"/>
    <n v="1"/>
    <x v="17"/>
    <s v="Galfera"/>
    <x v="63"/>
    <n v="1"/>
    <n v="49"/>
    <n v="109"/>
    <x v="2"/>
    <m/>
    <m/>
    <m/>
    <m/>
  </r>
  <r>
    <x v="0"/>
    <d v="2010-08-07T00:00:00"/>
    <n v="8"/>
    <x v="20"/>
    <n v="1"/>
    <x v="17"/>
    <s v="Galfera"/>
    <x v="63"/>
    <n v="2"/>
    <n v="1"/>
    <n v="121"/>
    <x v="2"/>
    <m/>
    <m/>
    <m/>
    <m/>
  </r>
  <r>
    <x v="4"/>
    <d v="2010-08-22T00:00:00"/>
    <n v="8"/>
    <x v="20"/>
    <n v="1"/>
    <x v="19"/>
    <s v="Chalet Ü50"/>
    <x v="19"/>
    <m/>
    <n v="30"/>
    <n v="30"/>
    <x v="2"/>
    <m/>
    <m/>
    <m/>
    <m/>
  </r>
  <r>
    <x v="0"/>
    <d v="2010-08-25T00:00:00"/>
    <n v="8"/>
    <x v="20"/>
    <n v="1"/>
    <x v="17"/>
    <s v="Steibenkreuz"/>
    <x v="22"/>
    <m/>
    <n v="58"/>
    <n v="58"/>
    <x v="2"/>
    <s v="Pascal"/>
    <m/>
    <m/>
    <m/>
  </r>
  <r>
    <x v="0"/>
    <d v="2010-08-26T00:00:00"/>
    <n v="8"/>
    <x v="20"/>
    <n v="1"/>
    <x v="17"/>
    <s v="Steibenkreuz"/>
    <x v="80"/>
    <m/>
    <n v="16"/>
    <n v="16"/>
    <x v="2"/>
    <m/>
    <m/>
    <m/>
    <m/>
  </r>
  <r>
    <x v="4"/>
    <d v="2010-08-29T00:00:00"/>
    <n v="8"/>
    <x v="20"/>
    <n v="1"/>
    <x v="19"/>
    <s v="Chalet Ü50"/>
    <x v="19"/>
    <m/>
    <n v="34"/>
    <n v="34"/>
    <x v="2"/>
    <s v="Stefan&amp;Angi"/>
    <m/>
    <m/>
    <m/>
  </r>
  <r>
    <x v="0"/>
    <d v="2010-09-01T00:00:00"/>
    <n v="9"/>
    <x v="20"/>
    <n v="1"/>
    <x v="17"/>
    <s v="Heimat"/>
    <x v="19"/>
    <m/>
    <n v="19"/>
    <n v="19"/>
    <x v="2"/>
    <s v="Neuer Sitz getestet"/>
    <m/>
    <m/>
    <m/>
  </r>
  <r>
    <x v="0"/>
    <d v="2010-09-01T00:00:00"/>
    <n v="9"/>
    <x v="20"/>
    <n v="0"/>
    <x v="17"/>
    <s v="Heimat"/>
    <x v="19"/>
    <m/>
    <n v="43"/>
    <n v="43"/>
    <x v="2"/>
    <s v="Neuer Sitz getestet"/>
    <m/>
    <m/>
    <m/>
  </r>
  <r>
    <x v="0"/>
    <d v="2010-09-02T00:00:00"/>
    <n v="9"/>
    <x v="20"/>
    <n v="1"/>
    <x v="17"/>
    <s v="Heimat"/>
    <x v="19"/>
    <m/>
    <n v="11"/>
    <n v="11"/>
    <x v="2"/>
    <m/>
    <m/>
    <m/>
    <m/>
  </r>
  <r>
    <x v="0"/>
    <d v="2010-09-02T00:00:00"/>
    <n v="9"/>
    <x v="20"/>
    <n v="0"/>
    <x v="17"/>
    <s v="Heimat"/>
    <x v="19"/>
    <m/>
    <n v="31"/>
    <n v="31"/>
    <x v="2"/>
    <m/>
    <m/>
    <m/>
    <m/>
  </r>
  <r>
    <x v="0"/>
    <d v="2010-09-03T00:00:00"/>
    <n v="9"/>
    <x v="20"/>
    <n v="1"/>
    <x v="22"/>
    <s v="Heimat"/>
    <x v="19"/>
    <m/>
    <n v="20"/>
    <n v="20"/>
    <x v="2"/>
    <s v="beschleunigter Klapper--&gt; Notschirm"/>
    <m/>
    <m/>
    <m/>
  </r>
  <r>
    <x v="0"/>
    <d v="2010-09-03T00:00:00"/>
    <n v="9"/>
    <x v="20"/>
    <n v="0"/>
    <x v="17"/>
    <s v="Heimat"/>
    <x v="19"/>
    <m/>
    <n v="23"/>
    <n v="23"/>
    <x v="2"/>
    <m/>
    <m/>
    <m/>
    <m/>
  </r>
  <r>
    <x v="0"/>
    <d v="2010-09-04T00:00:00"/>
    <n v="9"/>
    <x v="20"/>
    <n v="1"/>
    <x v="17"/>
    <s v="Heimat"/>
    <x v="35"/>
    <m/>
    <n v="50"/>
    <n v="50"/>
    <x v="2"/>
    <m/>
    <m/>
    <m/>
    <m/>
  </r>
  <r>
    <x v="4"/>
    <d v="2010-09-05T00:00:00"/>
    <n v="9"/>
    <x v="20"/>
    <n v="1"/>
    <x v="19"/>
    <s v="Rodella"/>
    <x v="60"/>
    <m/>
    <n v="53"/>
    <n v="53"/>
    <x v="13"/>
    <s v="Hansi, Dieter+Ilona, Penny+Armin, Albert+Crista, Claude, Stefan, Nico, Angi, Max, Andrea"/>
    <m/>
    <m/>
    <m/>
  </r>
  <r>
    <x v="0"/>
    <d v="2010-09-06T00:00:00"/>
    <n v="9"/>
    <x v="20"/>
    <n v="1"/>
    <x v="17"/>
    <s v="Rodella"/>
    <x v="60"/>
    <m/>
    <n v="37"/>
    <n v="37"/>
    <x v="13"/>
    <m/>
    <m/>
    <m/>
    <m/>
  </r>
  <r>
    <x v="4"/>
    <d v="2010-09-06T00:00:00"/>
    <n v="9"/>
    <x v="20"/>
    <n v="0"/>
    <x v="19"/>
    <s v="Rosengarten"/>
    <x v="67"/>
    <m/>
    <n v="9"/>
    <n v="9"/>
    <x v="13"/>
    <m/>
    <m/>
    <m/>
    <m/>
  </r>
  <r>
    <x v="0"/>
    <d v="2010-09-09T00:00:00"/>
    <n v="9"/>
    <x v="20"/>
    <n v="1"/>
    <x v="17"/>
    <s v="Rodella"/>
    <x v="60"/>
    <m/>
    <n v="38"/>
    <n v="38"/>
    <x v="13"/>
    <m/>
    <m/>
    <m/>
    <m/>
  </r>
  <r>
    <x v="0"/>
    <d v="2010-09-09T00:00:00"/>
    <n v="9"/>
    <x v="20"/>
    <n v="0"/>
    <x v="17"/>
    <s v="Rodella"/>
    <x v="60"/>
    <m/>
    <n v="29"/>
    <n v="29"/>
    <x v="13"/>
    <m/>
    <m/>
    <m/>
    <m/>
  </r>
  <r>
    <x v="0"/>
    <d v="2010-09-10T00:00:00"/>
    <n v="9"/>
    <x v="20"/>
    <n v="1"/>
    <x v="17"/>
    <s v="da Beppi"/>
    <x v="32"/>
    <n v="1"/>
    <n v="49"/>
    <n v="109"/>
    <x v="13"/>
    <m/>
    <m/>
    <m/>
    <m/>
  </r>
  <r>
    <x v="0"/>
    <d v="2010-09-10T00:00:00"/>
    <n v="9"/>
    <x v="20"/>
    <n v="0"/>
    <x v="17"/>
    <s v="Casette"/>
    <x v="32"/>
    <n v="1"/>
    <n v="26"/>
    <n v="86"/>
    <x v="13"/>
    <m/>
    <m/>
    <m/>
    <m/>
  </r>
  <r>
    <x v="0"/>
    <d v="2010-09-12T00:00:00"/>
    <n v="9"/>
    <x v="20"/>
    <n v="1"/>
    <x v="17"/>
    <s v="Galfera"/>
    <x v="19"/>
    <m/>
    <n v="15"/>
    <n v="15"/>
    <x v="2"/>
    <s v="Nani auf Kühboden"/>
    <m/>
    <m/>
    <m/>
  </r>
  <r>
    <x v="0"/>
    <d v="2010-10-09T00:00:00"/>
    <n v="10"/>
    <x v="20"/>
    <n v="1"/>
    <x v="17"/>
    <s v="Heimat"/>
    <x v="19"/>
    <m/>
    <n v="15"/>
    <n v="15"/>
    <x v="2"/>
    <m/>
    <m/>
    <m/>
    <m/>
  </r>
  <r>
    <x v="0"/>
    <d v="2010-10-10T00:00:00"/>
    <n v="10"/>
    <x v="20"/>
    <n v="1"/>
    <x v="17"/>
    <s v="Heimat"/>
    <x v="19"/>
    <m/>
    <n v="26"/>
    <n v="26"/>
    <x v="2"/>
    <s v="Neuer Sitz Wendegurtzeug"/>
    <m/>
    <m/>
    <m/>
  </r>
  <r>
    <x v="0"/>
    <d v="2010-10-10T00:00:00"/>
    <n v="10"/>
    <x v="20"/>
    <n v="0"/>
    <x v="17"/>
    <s v="Heimat"/>
    <x v="19"/>
    <m/>
    <n v="11"/>
    <n v="11"/>
    <x v="2"/>
    <m/>
    <m/>
    <m/>
    <m/>
  </r>
  <r>
    <x v="0"/>
    <d v="2010-10-25T00:00:00"/>
    <n v="10"/>
    <x v="20"/>
    <n v="1"/>
    <x v="17"/>
    <s v="Chalves W"/>
    <x v="71"/>
    <m/>
    <n v="7"/>
    <n v="7"/>
    <x v="5"/>
    <m/>
    <m/>
    <m/>
    <m/>
  </r>
  <r>
    <x v="0"/>
    <d v="2010-10-25T00:00:00"/>
    <n v="10"/>
    <x v="20"/>
    <n v="0"/>
    <x v="17"/>
    <s v="Chalves W"/>
    <x v="71"/>
    <m/>
    <n v="28"/>
    <n v="28"/>
    <x v="5"/>
    <m/>
    <m/>
    <m/>
    <m/>
  </r>
  <r>
    <x v="0"/>
    <d v="2010-10-26T00:00:00"/>
    <n v="10"/>
    <x v="20"/>
    <n v="1"/>
    <x v="17"/>
    <s v="Chalves S"/>
    <x v="71"/>
    <m/>
    <n v="11"/>
    <n v="11"/>
    <x v="5"/>
    <m/>
    <m/>
    <m/>
    <m/>
  </r>
  <r>
    <x v="0"/>
    <d v="2010-10-26T00:00:00"/>
    <n v="10"/>
    <x v="20"/>
    <n v="0"/>
    <x v="17"/>
    <s v="Chalvet W"/>
    <x v="71"/>
    <n v="1"/>
    <n v="21"/>
    <n v="81"/>
    <x v="5"/>
    <m/>
    <m/>
    <m/>
    <m/>
  </r>
  <r>
    <x v="0"/>
    <d v="2010-10-26T00:00:00"/>
    <n v="10"/>
    <x v="20"/>
    <n v="0"/>
    <x v="17"/>
    <s v="Chalvet W"/>
    <x v="71"/>
    <m/>
    <n v="52"/>
    <n v="52"/>
    <x v="5"/>
    <m/>
    <m/>
    <m/>
    <m/>
  </r>
  <r>
    <x v="0"/>
    <d v="2010-10-27T00:00:00"/>
    <n v="10"/>
    <x v="20"/>
    <n v="1"/>
    <x v="17"/>
    <s v="Gourdon/Site de l'ambarniere"/>
    <x v="72"/>
    <m/>
    <n v="44"/>
    <n v="44"/>
    <x v="5"/>
    <m/>
    <m/>
    <m/>
    <m/>
  </r>
  <r>
    <x v="0"/>
    <d v="2010-10-27T00:00:00"/>
    <n v="10"/>
    <x v="20"/>
    <n v="0"/>
    <x v="17"/>
    <s v="Mt Gros"/>
    <x v="26"/>
    <n v="1"/>
    <n v="0"/>
    <n v="60"/>
    <x v="5"/>
    <m/>
    <m/>
    <m/>
    <m/>
  </r>
  <r>
    <x v="0"/>
    <d v="2010-10-28T00:00:00"/>
    <n v="10"/>
    <x v="20"/>
    <n v="1"/>
    <x v="17"/>
    <s v="Mt Gros"/>
    <x v="26"/>
    <m/>
    <n v="22"/>
    <n v="22"/>
    <x v="5"/>
    <m/>
    <m/>
    <m/>
    <m/>
  </r>
  <r>
    <x v="0"/>
    <d v="2010-10-29T00:00:00"/>
    <n v="10"/>
    <x v="20"/>
    <n v="1"/>
    <x v="17"/>
    <s v="Mt Gros"/>
    <x v="26"/>
    <m/>
    <n v="20"/>
    <n v="20"/>
    <x v="5"/>
    <s v="Baden im Mittelmeer"/>
    <m/>
    <m/>
    <m/>
  </r>
  <r>
    <x v="4"/>
    <d v="2011-01-01T00:00:00"/>
    <n v="1"/>
    <x v="21"/>
    <n v="1"/>
    <x v="19"/>
    <s v="Heimat"/>
    <x v="63"/>
    <m/>
    <n v="15"/>
    <n v="15"/>
    <x v="2"/>
    <s v="Neujahrsflug mit Andrea::))"/>
    <m/>
    <m/>
    <m/>
  </r>
  <r>
    <x v="0"/>
    <d v="2011-01-16T00:00:00"/>
    <n v="1"/>
    <x v="21"/>
    <n v="1"/>
    <x v="17"/>
    <s v="Heimat"/>
    <x v="63"/>
    <n v="1"/>
    <n v="19"/>
    <n v="79"/>
    <x v="2"/>
    <m/>
    <m/>
    <m/>
    <m/>
  </r>
  <r>
    <x v="0"/>
    <d v="2011-03-02T00:00:00"/>
    <n v="3"/>
    <x v="21"/>
    <n v="1"/>
    <x v="17"/>
    <s v="Heimat"/>
    <x v="19"/>
    <m/>
    <n v="16"/>
    <n v="16"/>
    <x v="2"/>
    <m/>
    <m/>
    <m/>
    <m/>
  </r>
  <r>
    <x v="0"/>
    <d v="2011-03-04T00:00:00"/>
    <n v="3"/>
    <x v="21"/>
    <n v="1"/>
    <x v="17"/>
    <s v="Heimat"/>
    <x v="19"/>
    <m/>
    <n v="46"/>
    <n v="46"/>
    <x v="2"/>
    <m/>
    <m/>
    <m/>
    <m/>
  </r>
  <r>
    <x v="0"/>
    <d v="2011-03-05T00:00:00"/>
    <n v="3"/>
    <x v="21"/>
    <n v="1"/>
    <x v="17"/>
    <s v="Heimat"/>
    <x v="19"/>
    <n v="1"/>
    <n v="20"/>
    <n v="80"/>
    <x v="2"/>
    <m/>
    <m/>
    <m/>
    <m/>
  </r>
  <r>
    <x v="0"/>
    <d v="2011-03-07T00:00:00"/>
    <n v="3"/>
    <x v="21"/>
    <n v="1"/>
    <x v="17"/>
    <s v="Heimat"/>
    <x v="63"/>
    <m/>
    <n v="58"/>
    <n v="58"/>
    <x v="2"/>
    <m/>
    <m/>
    <m/>
    <m/>
  </r>
  <r>
    <x v="0"/>
    <d v="2011-03-08T00:00:00"/>
    <n v="3"/>
    <x v="21"/>
    <n v="1"/>
    <x v="17"/>
    <s v="Heimat"/>
    <x v="35"/>
    <n v="1"/>
    <n v="38"/>
    <n v="98"/>
    <x v="2"/>
    <s v="mit Pascal"/>
    <n v="8.3000000000000007"/>
    <m/>
    <m/>
  </r>
  <r>
    <x v="0"/>
    <d v="2011-03-09T00:00:00"/>
    <n v="3"/>
    <x v="21"/>
    <n v="1"/>
    <x v="17"/>
    <s v="Heimat"/>
    <x v="35"/>
    <n v="2"/>
    <n v="0"/>
    <n v="120"/>
    <x v="2"/>
    <s v="mit Pascal"/>
    <m/>
    <m/>
    <m/>
  </r>
  <r>
    <x v="0"/>
    <d v="2011-03-10T00:00:00"/>
    <n v="3"/>
    <x v="21"/>
    <n v="1"/>
    <x v="17"/>
    <s v="Heimat"/>
    <x v="35"/>
    <n v="1"/>
    <n v="0"/>
    <n v="60"/>
    <x v="2"/>
    <s v="mit Pascal"/>
    <m/>
    <m/>
    <m/>
  </r>
  <r>
    <x v="0"/>
    <d v="2011-03-11T00:00:00"/>
    <n v="3"/>
    <x v="21"/>
    <n v="1"/>
    <x v="17"/>
    <s v="Heimat"/>
    <x v="35"/>
    <n v="2"/>
    <n v="1"/>
    <n v="121"/>
    <x v="2"/>
    <m/>
    <m/>
    <m/>
    <m/>
  </r>
  <r>
    <x v="0"/>
    <d v="2011-03-25T00:00:00"/>
    <n v="3"/>
    <x v="21"/>
    <n v="1"/>
    <x v="23"/>
    <s v="Heimat"/>
    <x v="19"/>
    <n v="1"/>
    <n v="40"/>
    <n v="100"/>
    <x v="2"/>
    <s v="Andrea voraus zum Baschi :)"/>
    <n v="10"/>
    <m/>
    <m/>
  </r>
  <r>
    <x v="0"/>
    <d v="2011-03-26T00:00:00"/>
    <n v="3"/>
    <x v="21"/>
    <n v="1"/>
    <x v="23"/>
    <s v="Heimat"/>
    <x v="19"/>
    <m/>
    <n v="25"/>
    <n v="25"/>
    <x v="2"/>
    <m/>
    <m/>
    <m/>
    <m/>
  </r>
  <r>
    <x v="0"/>
    <d v="2011-04-02T00:00:00"/>
    <n v="4"/>
    <x v="21"/>
    <n v="1"/>
    <x v="23"/>
    <s v="Heimat"/>
    <x v="19"/>
    <n v="2"/>
    <n v="7"/>
    <n v="127"/>
    <x v="2"/>
    <s v="Armin hat Sigma 8 am 1. und 3.4. geflogen"/>
    <m/>
    <m/>
    <m/>
  </r>
  <r>
    <x v="4"/>
    <d v="2011-04-03T00:00:00"/>
    <n v="4"/>
    <x v="21"/>
    <n v="1"/>
    <x v="19"/>
    <s v="Heimat"/>
    <x v="19"/>
    <m/>
    <n v="38"/>
    <n v="38"/>
    <x v="2"/>
    <s v="Fehlstart, Zerrung"/>
    <m/>
    <m/>
    <m/>
  </r>
  <r>
    <x v="0"/>
    <d v="2011-04-09T00:00:00"/>
    <n v="4"/>
    <x v="21"/>
    <n v="1"/>
    <x v="23"/>
    <s v="Heimat"/>
    <x v="19"/>
    <n v="1"/>
    <n v="10"/>
    <n v="70"/>
    <x v="2"/>
    <m/>
    <m/>
    <m/>
    <m/>
  </r>
  <r>
    <x v="0"/>
    <d v="2011-04-10T00:00:00"/>
    <n v="4"/>
    <x v="21"/>
    <n v="1"/>
    <x v="23"/>
    <s v="Heimat"/>
    <x v="19"/>
    <m/>
    <n v="46"/>
    <n v="46"/>
    <x v="2"/>
    <m/>
    <m/>
    <m/>
    <m/>
  </r>
  <r>
    <x v="0"/>
    <d v="2011-04-21T00:00:00"/>
    <n v="4"/>
    <x v="21"/>
    <n v="1"/>
    <x v="23"/>
    <s v="Heimat"/>
    <x v="63"/>
    <m/>
    <n v="8"/>
    <n v="8"/>
    <x v="2"/>
    <m/>
    <m/>
    <m/>
    <m/>
  </r>
  <r>
    <x v="0"/>
    <d v="2011-04-23T00:00:00"/>
    <n v="4"/>
    <x v="21"/>
    <n v="1"/>
    <x v="23"/>
    <s v="Heimat"/>
    <x v="19"/>
    <m/>
    <n v="14"/>
    <n v="14"/>
    <x v="2"/>
    <m/>
    <m/>
    <m/>
    <m/>
  </r>
  <r>
    <x v="0"/>
    <d v="2011-04-24T00:00:00"/>
    <n v="4"/>
    <x v="21"/>
    <n v="1"/>
    <x v="23"/>
    <s v="Heimat"/>
    <x v="19"/>
    <n v="1"/>
    <n v="37"/>
    <n v="97"/>
    <x v="2"/>
    <m/>
    <m/>
    <m/>
    <m/>
  </r>
  <r>
    <x v="0"/>
    <d v="2011-05-07T00:00:00"/>
    <n v="5"/>
    <x v="21"/>
    <n v="1"/>
    <x v="23"/>
    <s v="Grenchenberg S"/>
    <x v="108"/>
    <m/>
    <n v="41"/>
    <n v="41"/>
    <x v="2"/>
    <s v="mit Stefan Ammeter"/>
    <m/>
    <m/>
    <m/>
  </r>
  <r>
    <x v="0"/>
    <d v="2011-05-28T00:00:00"/>
    <n v="5"/>
    <x v="21"/>
    <n v="1"/>
    <x v="23"/>
    <s v="Muti"/>
    <x v="19"/>
    <m/>
    <n v="43"/>
    <n v="43"/>
    <x v="2"/>
    <m/>
    <m/>
    <m/>
    <m/>
  </r>
  <r>
    <x v="0"/>
    <d v="2011-05-29T00:00:00"/>
    <n v="5"/>
    <x v="21"/>
    <n v="1"/>
    <x v="23"/>
    <s v="Pizzorne"/>
    <x v="75"/>
    <n v="1"/>
    <n v="26"/>
    <n v="86"/>
    <x v="15"/>
    <m/>
    <m/>
    <m/>
    <m/>
  </r>
  <r>
    <x v="0"/>
    <d v="2011-05-30T00:00:00"/>
    <n v="5"/>
    <x v="21"/>
    <n v="1"/>
    <x v="23"/>
    <s v="Prato Fiori"/>
    <x v="77"/>
    <m/>
    <n v="30"/>
    <n v="30"/>
    <x v="15"/>
    <m/>
    <m/>
    <m/>
    <m/>
  </r>
  <r>
    <x v="0"/>
    <d v="2011-05-30T00:00:00"/>
    <n v="5"/>
    <x v="21"/>
    <n v="0"/>
    <x v="23"/>
    <s v="Prato Fiori"/>
    <x v="77"/>
    <n v="1"/>
    <n v="9"/>
    <n v="69"/>
    <x v="15"/>
    <m/>
    <m/>
    <m/>
    <m/>
  </r>
  <r>
    <x v="0"/>
    <d v="2011-05-30T00:00:00"/>
    <n v="5"/>
    <x v="21"/>
    <n v="0"/>
    <x v="23"/>
    <s v="Diezimo"/>
    <x v="76"/>
    <n v="1"/>
    <n v="37"/>
    <n v="97"/>
    <x v="15"/>
    <m/>
    <m/>
    <m/>
    <m/>
  </r>
  <r>
    <x v="4"/>
    <d v="2011-05-31T00:00:00"/>
    <n v="5"/>
    <x v="21"/>
    <n v="1"/>
    <x v="19"/>
    <s v="Pizzorne"/>
    <x v="75"/>
    <m/>
    <n v="20"/>
    <n v="20"/>
    <x v="15"/>
    <m/>
    <m/>
    <m/>
    <m/>
  </r>
  <r>
    <x v="0"/>
    <d v="2011-06-12T00:00:00"/>
    <n v="6"/>
    <x v="21"/>
    <n v="1"/>
    <x v="23"/>
    <s v="Heimat"/>
    <x v="35"/>
    <n v="1"/>
    <n v="21"/>
    <n v="81"/>
    <x v="2"/>
    <m/>
    <m/>
    <m/>
    <m/>
  </r>
  <r>
    <x v="0"/>
    <d v="2011-06-26T00:00:00"/>
    <n v="6"/>
    <x v="21"/>
    <n v="1"/>
    <x v="23"/>
    <s v="Galfera"/>
    <x v="19"/>
    <n v="1"/>
    <n v="20"/>
    <n v="80"/>
    <x v="2"/>
    <m/>
    <m/>
    <m/>
    <m/>
  </r>
  <r>
    <x v="0"/>
    <d v="2011-06-27T00:00:00"/>
    <n v="6"/>
    <x v="21"/>
    <n v="1"/>
    <x v="23"/>
    <s v="Jllhorn"/>
    <x v="109"/>
    <n v="1"/>
    <n v="22"/>
    <n v="82"/>
    <x v="18"/>
    <m/>
    <m/>
    <m/>
    <m/>
  </r>
  <r>
    <x v="0"/>
    <d v="2011-06-27T00:00:00"/>
    <n v="6"/>
    <x v="21"/>
    <n v="0"/>
    <x v="23"/>
    <s v="Sonchaux"/>
    <x v="94"/>
    <n v="1"/>
    <n v="4"/>
    <n v="64"/>
    <x v="18"/>
    <s v="Rochers de Naye mit Dieter"/>
    <m/>
    <m/>
    <m/>
  </r>
  <r>
    <x v="4"/>
    <d v="2011-06-28T00:00:00"/>
    <n v="6"/>
    <x v="21"/>
    <n v="1"/>
    <x v="19"/>
    <s v="Scex Rouge"/>
    <x v="110"/>
    <m/>
    <n v="46"/>
    <n v="46"/>
    <x v="18"/>
    <m/>
    <m/>
    <m/>
    <m/>
  </r>
  <r>
    <x v="0"/>
    <d v="2011-06-28T00:00:00"/>
    <n v="6"/>
    <x v="21"/>
    <n v="0"/>
    <x v="23"/>
    <s v="Scex Rouge"/>
    <x v="104"/>
    <n v="1"/>
    <n v="5"/>
    <n v="65"/>
    <x v="18"/>
    <m/>
    <m/>
    <m/>
    <m/>
  </r>
  <r>
    <x v="0"/>
    <d v="2011-07-01T00:00:00"/>
    <n v="7"/>
    <x v="21"/>
    <n v="1"/>
    <x v="23"/>
    <s v="Mürren"/>
    <x v="97"/>
    <m/>
    <n v="14"/>
    <n v="14"/>
    <x v="18"/>
    <m/>
    <m/>
    <m/>
    <m/>
  </r>
  <r>
    <x v="0"/>
    <d v="2011-07-02T00:00:00"/>
    <n v="7"/>
    <x v="21"/>
    <n v="1"/>
    <x v="23"/>
    <s v="Heimat"/>
    <x v="19"/>
    <m/>
    <n v="56"/>
    <n v="56"/>
    <x v="2"/>
    <m/>
    <m/>
    <m/>
    <m/>
  </r>
  <r>
    <x v="0"/>
    <d v="2011-07-03T00:00:00"/>
    <n v="7"/>
    <x v="21"/>
    <n v="1"/>
    <x v="23"/>
    <s v="Heimat"/>
    <x v="19"/>
    <n v="2"/>
    <n v="35"/>
    <n v="155"/>
    <x v="2"/>
    <m/>
    <m/>
    <m/>
    <m/>
  </r>
  <r>
    <x v="1"/>
    <d v="2011-07-09T00:00:00"/>
    <n v="7"/>
    <x v="21"/>
    <n v="1"/>
    <x v="23"/>
    <s v="Axalp"/>
    <x v="111"/>
    <m/>
    <n v="15"/>
    <n v="15"/>
    <x v="19"/>
    <m/>
    <m/>
    <m/>
    <m/>
  </r>
  <r>
    <x v="1"/>
    <d v="2011-07-09T00:00:00"/>
    <n v="7"/>
    <x v="21"/>
    <n v="0"/>
    <x v="23"/>
    <s v="Axalp"/>
    <x v="111"/>
    <m/>
    <n v="15"/>
    <n v="15"/>
    <x v="19"/>
    <m/>
    <m/>
    <m/>
    <m/>
  </r>
  <r>
    <x v="1"/>
    <d v="2011-07-09T00:00:00"/>
    <n v="7"/>
    <x v="21"/>
    <n v="0"/>
    <x v="23"/>
    <s v="Axalp"/>
    <x v="111"/>
    <m/>
    <n v="10"/>
    <n v="10"/>
    <x v="19"/>
    <m/>
    <m/>
    <n v="-20"/>
    <m/>
  </r>
  <r>
    <x v="1"/>
    <d v="2011-07-10T00:00:00"/>
    <n v="7"/>
    <x v="21"/>
    <n v="1"/>
    <x v="23"/>
    <s v="Axalp"/>
    <x v="64"/>
    <m/>
    <n v="8"/>
    <n v="8"/>
    <x v="19"/>
    <s v="Neuer Notschirm nötig"/>
    <m/>
    <m/>
    <m/>
  </r>
  <r>
    <x v="0"/>
    <d v="2011-07-22T00:00:00"/>
    <n v="7"/>
    <x v="21"/>
    <n v="1"/>
    <x v="23"/>
    <s v="Heimat"/>
    <x v="19"/>
    <m/>
    <n v="39"/>
    <n v="39"/>
    <x v="2"/>
    <m/>
    <m/>
    <m/>
    <m/>
  </r>
  <r>
    <x v="0"/>
    <d v="2011-07-25T00:00:00"/>
    <n v="7"/>
    <x v="21"/>
    <n v="1"/>
    <x v="23"/>
    <s v="Heimat"/>
    <x v="19"/>
    <m/>
    <n v="55"/>
    <n v="55"/>
    <x v="2"/>
    <m/>
    <m/>
    <m/>
    <m/>
  </r>
  <r>
    <x v="0"/>
    <d v="2011-07-29T00:00:00"/>
    <n v="7"/>
    <x v="21"/>
    <n v="1"/>
    <x v="23"/>
    <s v="Heimat"/>
    <x v="63"/>
    <m/>
    <n v="35"/>
    <n v="35"/>
    <x v="2"/>
    <m/>
    <m/>
    <m/>
    <m/>
  </r>
  <r>
    <x v="0"/>
    <d v="2011-07-29T00:00:00"/>
    <n v="7"/>
    <x v="21"/>
    <n v="0"/>
    <x v="23"/>
    <s v="Heimat"/>
    <x v="19"/>
    <n v="1"/>
    <n v="28"/>
    <n v="88"/>
    <x v="2"/>
    <s v="Eggerberg"/>
    <m/>
    <m/>
    <m/>
  </r>
  <r>
    <x v="0"/>
    <d v="2011-07-30T00:00:00"/>
    <n v="7"/>
    <x v="21"/>
    <n v="1"/>
    <x v="23"/>
    <s v="Heimat"/>
    <x v="35"/>
    <n v="1"/>
    <n v="17"/>
    <n v="77"/>
    <x v="2"/>
    <m/>
    <m/>
    <m/>
    <m/>
  </r>
  <r>
    <x v="0"/>
    <d v="2011-07-30T00:00:00"/>
    <n v="7"/>
    <x v="21"/>
    <n v="0"/>
    <x v="23"/>
    <s v="Heimat"/>
    <x v="19"/>
    <m/>
    <n v="15"/>
    <n v="15"/>
    <x v="2"/>
    <m/>
    <m/>
    <m/>
    <m/>
  </r>
  <r>
    <x v="0"/>
    <d v="2011-07-31T00:00:00"/>
    <n v="7"/>
    <x v="21"/>
    <n v="1"/>
    <x v="23"/>
    <s v="Heimat"/>
    <x v="35"/>
    <n v="1"/>
    <n v="27"/>
    <n v="87"/>
    <x v="2"/>
    <m/>
    <m/>
    <m/>
    <m/>
  </r>
  <r>
    <x v="0"/>
    <d v="2011-08-01T00:00:00"/>
    <n v="8"/>
    <x v="21"/>
    <n v="1"/>
    <x v="23"/>
    <s v="Galfera"/>
    <x v="19"/>
    <n v="2"/>
    <n v="3"/>
    <n v="123"/>
    <x v="2"/>
    <s v="Grimsel"/>
    <m/>
    <m/>
    <m/>
  </r>
  <r>
    <x v="0"/>
    <d v="2011-08-02T00:00:00"/>
    <n v="8"/>
    <x v="21"/>
    <n v="1"/>
    <x v="23"/>
    <s v="Galfera"/>
    <x v="19"/>
    <n v="2"/>
    <n v="30"/>
    <n v="150"/>
    <x v="2"/>
    <s v="Sidelhorn mit Markus + Ernesto"/>
    <m/>
    <m/>
    <m/>
  </r>
  <r>
    <x v="0"/>
    <d v="2011-08-04T00:00:00"/>
    <n v="8"/>
    <x v="21"/>
    <n v="1"/>
    <x v="23"/>
    <s v="Heimat"/>
    <x v="19"/>
    <n v="1"/>
    <n v="27"/>
    <n v="87"/>
    <x v="2"/>
    <m/>
    <m/>
    <m/>
    <m/>
  </r>
  <r>
    <x v="0"/>
    <d v="2011-08-05T00:00:00"/>
    <n v="8"/>
    <x v="21"/>
    <n v="1"/>
    <x v="23"/>
    <s v="Galfera"/>
    <x v="19"/>
    <m/>
    <n v="37"/>
    <n v="37"/>
    <x v="2"/>
    <m/>
    <m/>
    <m/>
    <m/>
  </r>
  <r>
    <x v="0"/>
    <d v="2011-08-06T00:00:00"/>
    <n v="8"/>
    <x v="21"/>
    <n v="1"/>
    <x v="23"/>
    <s v="Galfera"/>
    <x v="63"/>
    <m/>
    <n v="13"/>
    <n v="13"/>
    <x v="2"/>
    <m/>
    <m/>
    <m/>
    <m/>
  </r>
  <r>
    <x v="0"/>
    <d v="2011-08-12T00:00:00"/>
    <n v="8"/>
    <x v="21"/>
    <n v="1"/>
    <x v="23"/>
    <s v="Heimat"/>
    <x v="19"/>
    <n v="1"/>
    <n v="2"/>
    <n v="62"/>
    <x v="2"/>
    <m/>
    <m/>
    <m/>
    <m/>
  </r>
  <r>
    <x v="0"/>
    <d v="2011-08-13T00:00:00"/>
    <n v="8"/>
    <x v="21"/>
    <n v="1"/>
    <x v="23"/>
    <s v="Galfera"/>
    <x v="35"/>
    <n v="2"/>
    <n v="7"/>
    <n v="127"/>
    <x v="2"/>
    <m/>
    <m/>
    <m/>
    <m/>
  </r>
  <r>
    <x v="0"/>
    <d v="2011-08-22T00:00:00"/>
    <n v="8"/>
    <x v="21"/>
    <n v="1"/>
    <x v="23"/>
    <s v="Galfera"/>
    <x v="19"/>
    <n v="2"/>
    <n v="33"/>
    <n v="153"/>
    <x v="2"/>
    <m/>
    <m/>
    <m/>
    <n v="3894"/>
  </r>
  <r>
    <x v="0"/>
    <d v="2011-10-15T00:00:00"/>
    <n v="10"/>
    <x v="21"/>
    <n v="1"/>
    <x v="23"/>
    <s v="Heimat"/>
    <x v="19"/>
    <m/>
    <n v="19"/>
    <n v="19"/>
    <x v="2"/>
    <s v="Saisonabschluss inkl. 4x Hybrid"/>
    <m/>
    <m/>
    <m/>
  </r>
  <r>
    <x v="0"/>
    <d v="2011-10-15T00:00:00"/>
    <n v="10"/>
    <x v="21"/>
    <n v="0"/>
    <x v="23"/>
    <s v="Heimat"/>
    <x v="19"/>
    <m/>
    <n v="27"/>
    <n v="27"/>
    <x v="2"/>
    <s v="Saisonabschluss inkl. 4x Hybrid"/>
    <m/>
    <m/>
    <m/>
  </r>
  <r>
    <x v="0"/>
    <d v="2011-10-16T00:00:00"/>
    <n v="10"/>
    <x v="21"/>
    <n v="1"/>
    <x v="23"/>
    <s v="Heimat"/>
    <x v="19"/>
    <m/>
    <n v="18"/>
    <n v="18"/>
    <x v="2"/>
    <s v="Saisonabschluss inkl. 4x Hybrid"/>
    <m/>
    <m/>
    <m/>
  </r>
  <r>
    <x v="0"/>
    <d v="2011-10-16T00:00:00"/>
    <n v="10"/>
    <x v="21"/>
    <n v="0"/>
    <x v="23"/>
    <s v="Heimat"/>
    <x v="19"/>
    <m/>
    <n v="18"/>
    <n v="18"/>
    <x v="2"/>
    <s v="Saisonabschluss inkl. 4x Hybrid"/>
    <m/>
    <m/>
    <m/>
  </r>
  <r>
    <x v="0"/>
    <d v="2011-10-22T00:00:00"/>
    <n v="10"/>
    <x v="21"/>
    <n v="1"/>
    <x v="23"/>
    <s v="Heimat"/>
    <x v="19"/>
    <m/>
    <n v="22"/>
    <n v="22"/>
    <x v="2"/>
    <m/>
    <m/>
    <m/>
    <m/>
  </r>
  <r>
    <x v="0"/>
    <d v="2011-10-23T00:00:00"/>
    <n v="10"/>
    <x v="21"/>
    <n v="1"/>
    <x v="23"/>
    <s v="Heimat"/>
    <x v="19"/>
    <m/>
    <n v="27"/>
    <n v="27"/>
    <x v="2"/>
    <m/>
    <m/>
    <m/>
    <m/>
  </r>
  <r>
    <x v="0"/>
    <d v="2011-10-29T00:00:00"/>
    <n v="10"/>
    <x v="21"/>
    <n v="1"/>
    <x v="23"/>
    <s v="Heimat"/>
    <x v="19"/>
    <m/>
    <n v="21"/>
    <n v="21"/>
    <x v="2"/>
    <m/>
    <m/>
    <m/>
    <m/>
  </r>
  <r>
    <x v="0"/>
    <d v="2011-10-29T00:00:00"/>
    <n v="10"/>
    <x v="21"/>
    <n v="0"/>
    <x v="23"/>
    <s v="Heimat"/>
    <x v="19"/>
    <m/>
    <n v="18"/>
    <n v="18"/>
    <x v="2"/>
    <m/>
    <m/>
    <m/>
    <m/>
  </r>
  <r>
    <x v="0"/>
    <d v="2011-10-30T00:00:00"/>
    <n v="10"/>
    <x v="21"/>
    <n v="1"/>
    <x v="23"/>
    <s v="Heimat"/>
    <x v="19"/>
    <m/>
    <n v="21"/>
    <n v="21"/>
    <x v="2"/>
    <m/>
    <m/>
    <m/>
    <m/>
  </r>
  <r>
    <x v="0"/>
    <d v="2011-12-27T00:00:00"/>
    <n v="12"/>
    <x v="21"/>
    <n v="1"/>
    <x v="23"/>
    <s v="Heimat"/>
    <x v="19"/>
    <m/>
    <n v="18"/>
    <n v="18"/>
    <x v="2"/>
    <m/>
    <m/>
    <m/>
    <m/>
  </r>
  <r>
    <x v="0"/>
    <d v="2011-12-28T00:00:00"/>
    <n v="12"/>
    <x v="21"/>
    <n v="1"/>
    <x v="23"/>
    <s v="Heimat"/>
    <x v="19"/>
    <m/>
    <n v="26"/>
    <n v="26"/>
    <x v="2"/>
    <m/>
    <m/>
    <m/>
    <m/>
  </r>
  <r>
    <x v="0"/>
    <d v="2012-02-24T00:00:00"/>
    <n v="2"/>
    <x v="22"/>
    <n v="1"/>
    <x v="23"/>
    <s v="Crêt du Midi"/>
    <x v="112"/>
    <m/>
    <n v="17"/>
    <n v="17"/>
    <x v="2"/>
    <s v="Bei Mathieu und Carine"/>
    <m/>
    <m/>
    <m/>
  </r>
  <r>
    <x v="0"/>
    <d v="2012-02-24T00:00:00"/>
    <n v="2"/>
    <x v="22"/>
    <n v="0"/>
    <x v="23"/>
    <s v="Crêt du Midi"/>
    <x v="112"/>
    <m/>
    <n v="26"/>
    <n v="26"/>
    <x v="2"/>
    <m/>
    <m/>
    <m/>
    <m/>
  </r>
  <r>
    <x v="0"/>
    <d v="2012-02-25T00:00:00"/>
    <n v="2"/>
    <x v="22"/>
    <n v="1"/>
    <x v="23"/>
    <s v="Crêt du Midi"/>
    <x v="113"/>
    <m/>
    <n v="13"/>
    <n v="13"/>
    <x v="2"/>
    <m/>
    <m/>
    <m/>
    <m/>
  </r>
  <r>
    <x v="0"/>
    <d v="2012-02-25T00:00:00"/>
    <n v="2"/>
    <x v="22"/>
    <n v="0"/>
    <x v="23"/>
    <s v="Chandolin, le Rotsé"/>
    <x v="114"/>
    <m/>
    <n v="15"/>
    <n v="15"/>
    <x v="2"/>
    <m/>
    <m/>
    <m/>
    <m/>
  </r>
  <r>
    <x v="0"/>
    <d v="2012-02-26T00:00:00"/>
    <n v="2"/>
    <x v="22"/>
    <n v="1"/>
    <x v="23"/>
    <s v="Crêt du Midi"/>
    <x v="112"/>
    <m/>
    <n v="15"/>
    <n v="15"/>
    <x v="2"/>
    <s v="via Roc d'Orzival"/>
    <m/>
    <m/>
    <m/>
  </r>
  <r>
    <x v="0"/>
    <d v="2012-02-26T00:00:00"/>
    <n v="2"/>
    <x v="22"/>
    <n v="0"/>
    <x v="23"/>
    <s v="Crêt du Midi"/>
    <x v="112"/>
    <n v="1"/>
    <n v="0"/>
    <n v="60"/>
    <x v="2"/>
    <m/>
    <m/>
    <m/>
    <m/>
  </r>
  <r>
    <x v="0"/>
    <d v="2012-02-28T00:00:00"/>
    <n v="2"/>
    <x v="22"/>
    <n v="1"/>
    <x v="23"/>
    <s v="Heimat"/>
    <x v="115"/>
    <m/>
    <n v="11"/>
    <n v="11"/>
    <x v="2"/>
    <m/>
    <m/>
    <m/>
    <m/>
  </r>
  <r>
    <x v="0"/>
    <d v="2012-02-28T00:00:00"/>
    <n v="2"/>
    <x v="22"/>
    <n v="0"/>
    <x v="23"/>
    <s v="Heimat"/>
    <x v="63"/>
    <m/>
    <n v="59"/>
    <n v="59"/>
    <x v="2"/>
    <m/>
    <m/>
    <m/>
    <m/>
  </r>
  <r>
    <x v="0"/>
    <d v="2012-02-29T00:00:00"/>
    <n v="2"/>
    <x v="22"/>
    <n v="1"/>
    <x v="23"/>
    <s v="Heimat"/>
    <x v="59"/>
    <m/>
    <n v="17"/>
    <n v="17"/>
    <x v="2"/>
    <m/>
    <m/>
    <m/>
    <m/>
  </r>
  <r>
    <x v="0"/>
    <d v="2012-02-29T00:00:00"/>
    <n v="2"/>
    <x v="22"/>
    <n v="0"/>
    <x v="23"/>
    <s v="Heimat"/>
    <x v="63"/>
    <m/>
    <n v="48"/>
    <n v="48"/>
    <x v="2"/>
    <m/>
    <m/>
    <m/>
    <m/>
  </r>
  <r>
    <x v="0"/>
    <d v="2012-03-01T00:00:00"/>
    <n v="3"/>
    <x v="22"/>
    <n v="1"/>
    <x v="23"/>
    <s v="Heimat"/>
    <x v="19"/>
    <n v="1"/>
    <n v="42"/>
    <n v="102"/>
    <x v="2"/>
    <s v="Andrea 2x Top Landing :)"/>
    <m/>
    <m/>
    <m/>
  </r>
  <r>
    <x v="0"/>
    <d v="2012-03-02T00:00:00"/>
    <n v="3"/>
    <x v="22"/>
    <n v="1"/>
    <x v="23"/>
    <s v="Heimat"/>
    <x v="35"/>
    <n v="1"/>
    <n v="12"/>
    <n v="72"/>
    <x v="2"/>
    <m/>
    <m/>
    <m/>
    <m/>
  </r>
  <r>
    <x v="0"/>
    <d v="2012-03-03T00:00:00"/>
    <n v="3"/>
    <x v="22"/>
    <n v="1"/>
    <x v="23"/>
    <s v="Heimat"/>
    <x v="35"/>
    <n v="1"/>
    <n v="11"/>
    <n v="71"/>
    <x v="2"/>
    <m/>
    <m/>
    <m/>
    <m/>
  </r>
  <r>
    <x v="0"/>
    <d v="2012-03-13T00:00:00"/>
    <n v="3"/>
    <x v="22"/>
    <n v="1"/>
    <x v="23"/>
    <s v="Heimat"/>
    <x v="63"/>
    <m/>
    <n v="42"/>
    <n v="42"/>
    <x v="2"/>
    <m/>
    <m/>
    <m/>
    <m/>
  </r>
  <r>
    <x v="0"/>
    <d v="2012-03-14T00:00:00"/>
    <n v="3"/>
    <x v="22"/>
    <n v="1"/>
    <x v="23"/>
    <s v="Heimat"/>
    <x v="63"/>
    <n v="2"/>
    <n v="14"/>
    <n v="134"/>
    <x v="2"/>
    <s v="mit Ernesto bis Reckingen--&gt;Bellwald--&gt;Eggerhorn"/>
    <m/>
    <m/>
    <m/>
  </r>
  <r>
    <x v="0"/>
    <d v="2012-03-15T00:00:00"/>
    <n v="3"/>
    <x v="22"/>
    <n v="1"/>
    <x v="23"/>
    <s v="Heimat"/>
    <x v="35"/>
    <n v="1"/>
    <n v="28"/>
    <n v="88"/>
    <x v="2"/>
    <m/>
    <m/>
    <m/>
    <m/>
  </r>
  <r>
    <x v="0"/>
    <d v="2012-03-16T00:00:00"/>
    <n v="3"/>
    <x v="22"/>
    <n v="1"/>
    <x v="23"/>
    <s v="Heimat"/>
    <x v="63"/>
    <n v="3"/>
    <n v="18"/>
    <n v="198"/>
    <x v="2"/>
    <s v="mit Ernesto bis Höhe Sidelhorn, zurück bis fast Bettmeralp auf 3000m, dann noch Eggerberg:)"/>
    <m/>
    <m/>
    <m/>
  </r>
  <r>
    <x v="0"/>
    <d v="2012-03-23T00:00:00"/>
    <n v="3"/>
    <x v="22"/>
    <n v="1"/>
    <x v="23"/>
    <s v="Heimat"/>
    <x v="80"/>
    <m/>
    <n v="52"/>
    <n v="52"/>
    <x v="2"/>
    <s v="mit Andrea ~("/>
    <m/>
    <m/>
    <m/>
  </r>
  <r>
    <x v="0"/>
    <d v="2012-03-24T00:00:00"/>
    <n v="3"/>
    <x v="22"/>
    <n v="1"/>
    <x v="23"/>
    <s v="Heimat"/>
    <x v="35"/>
    <m/>
    <n v="58"/>
    <n v="58"/>
    <x v="2"/>
    <s v="mit Andrea :)"/>
    <m/>
    <m/>
    <m/>
  </r>
  <r>
    <x v="0"/>
    <d v="2012-05-11T00:00:00"/>
    <n v="5"/>
    <x v="22"/>
    <n v="1"/>
    <x v="23"/>
    <s v="Heimat"/>
    <x v="19"/>
    <n v="2"/>
    <n v="7"/>
    <n v="127"/>
    <x v="2"/>
    <m/>
    <m/>
    <m/>
    <m/>
  </r>
  <r>
    <x v="0"/>
    <d v="2012-05-14T00:00:00"/>
    <n v="5"/>
    <x v="22"/>
    <n v="1"/>
    <x v="23"/>
    <s v="Roncolla"/>
    <x v="116"/>
    <n v="1"/>
    <n v="7"/>
    <n v="67"/>
    <x v="15"/>
    <m/>
    <m/>
    <m/>
    <m/>
  </r>
  <r>
    <x v="0"/>
    <d v="2012-05-14T00:00:00"/>
    <n v="5"/>
    <x v="22"/>
    <n v="0"/>
    <x v="23"/>
    <s v="Mte Cornizzolo"/>
    <x v="117"/>
    <n v="1"/>
    <n v="6"/>
    <n v="66"/>
    <x v="15"/>
    <m/>
    <m/>
    <m/>
    <m/>
  </r>
  <r>
    <x v="0"/>
    <d v="2012-05-15T00:00:00"/>
    <n v="5"/>
    <x v="22"/>
    <n v="1"/>
    <x v="23"/>
    <s v="Roncolla"/>
    <x v="116"/>
    <m/>
    <n v="56"/>
    <n v="56"/>
    <x v="15"/>
    <m/>
    <m/>
    <m/>
    <m/>
  </r>
  <r>
    <x v="0"/>
    <d v="2012-05-16T00:00:00"/>
    <n v="5"/>
    <x v="22"/>
    <n v="1"/>
    <x v="23"/>
    <s v="Pizzorne"/>
    <x v="75"/>
    <m/>
    <n v="43"/>
    <n v="43"/>
    <x v="15"/>
    <m/>
    <m/>
    <m/>
    <m/>
  </r>
  <r>
    <x v="0"/>
    <d v="2012-05-17T00:00:00"/>
    <n v="5"/>
    <x v="22"/>
    <n v="1"/>
    <x v="23"/>
    <s v="Prato Fiori"/>
    <x v="118"/>
    <m/>
    <n v="43"/>
    <n v="43"/>
    <x v="15"/>
    <m/>
    <m/>
    <m/>
    <m/>
  </r>
  <r>
    <x v="0"/>
    <d v="2012-05-17T00:00:00"/>
    <n v="5"/>
    <x v="22"/>
    <n v="0"/>
    <x v="23"/>
    <s v="Diezimo"/>
    <x v="76"/>
    <m/>
    <n v="46"/>
    <n v="46"/>
    <x v="15"/>
    <m/>
    <m/>
    <m/>
    <m/>
  </r>
  <r>
    <x v="0"/>
    <d v="2012-05-18T00:00:00"/>
    <n v="5"/>
    <x v="22"/>
    <n v="1"/>
    <x v="23"/>
    <s v="Pizzorne"/>
    <x v="75"/>
    <m/>
    <n v="51"/>
    <n v="51"/>
    <x v="15"/>
    <m/>
    <m/>
    <m/>
    <m/>
  </r>
  <r>
    <x v="0"/>
    <d v="2012-05-18T00:00:00"/>
    <n v="5"/>
    <x v="22"/>
    <n v="0"/>
    <x v="23"/>
    <s v="Diezimo"/>
    <x v="76"/>
    <m/>
    <n v="15"/>
    <n v="15"/>
    <x v="15"/>
    <m/>
    <m/>
    <m/>
    <m/>
  </r>
  <r>
    <x v="0"/>
    <d v="2012-05-26T00:00:00"/>
    <n v="5"/>
    <x v="22"/>
    <n v="1"/>
    <x v="23"/>
    <s v="Muti"/>
    <x v="35"/>
    <n v="1"/>
    <n v="6"/>
    <n v="66"/>
    <x v="2"/>
    <m/>
    <m/>
    <m/>
    <m/>
  </r>
  <r>
    <x v="0"/>
    <d v="2012-05-27T00:00:00"/>
    <n v="5"/>
    <x v="22"/>
    <n v="1"/>
    <x v="23"/>
    <s v="Muti"/>
    <x v="35"/>
    <m/>
    <n v="58"/>
    <n v="58"/>
    <x v="2"/>
    <s v="mit Nico; Henselers, Zeiters, Nico, Hübi zum z'Nacht"/>
    <m/>
    <m/>
    <m/>
  </r>
  <r>
    <x v="0"/>
    <d v="2012-05-28T00:00:00"/>
    <n v="5"/>
    <x v="22"/>
    <n v="1"/>
    <x v="23"/>
    <s v="Muti"/>
    <x v="35"/>
    <n v="1"/>
    <n v="0"/>
    <n v="60"/>
    <x v="2"/>
    <s v="Henselers Kids Passagierflüge:)"/>
    <m/>
    <m/>
    <m/>
  </r>
  <r>
    <x v="1"/>
    <d v="2012-06-07T00:00:00"/>
    <n v="6"/>
    <x v="22"/>
    <n v="1"/>
    <x v="17"/>
    <s v="Dune du Pily"/>
    <x v="119"/>
    <m/>
    <n v="0"/>
    <n v="0"/>
    <x v="20"/>
    <s v="mit Mathieu, Carine, Jeanpiere, Lorella"/>
    <m/>
    <m/>
    <m/>
  </r>
  <r>
    <x v="0"/>
    <d v="2012-06-14T00:00:00"/>
    <n v="6"/>
    <x v="22"/>
    <n v="1"/>
    <x v="23"/>
    <s v="Heimat"/>
    <x v="35"/>
    <m/>
    <n v="45"/>
    <n v="45"/>
    <x v="2"/>
    <m/>
    <m/>
    <m/>
    <m/>
  </r>
  <r>
    <x v="0"/>
    <d v="2012-06-15T00:00:00"/>
    <n v="6"/>
    <x v="22"/>
    <n v="1"/>
    <x v="23"/>
    <s v="Heimat"/>
    <x v="19"/>
    <m/>
    <n v="25"/>
    <n v="25"/>
    <x v="2"/>
    <m/>
    <m/>
    <m/>
    <m/>
  </r>
  <r>
    <x v="0"/>
    <d v="2012-06-16T00:00:00"/>
    <n v="6"/>
    <x v="22"/>
    <n v="1"/>
    <x v="23"/>
    <s v="Heimat"/>
    <x v="63"/>
    <m/>
    <n v="13"/>
    <n v="13"/>
    <x v="2"/>
    <m/>
    <m/>
    <m/>
    <m/>
  </r>
  <r>
    <x v="0"/>
    <d v="2012-06-17T00:00:00"/>
    <n v="6"/>
    <x v="22"/>
    <n v="1"/>
    <x v="23"/>
    <s v="Heimat"/>
    <x v="120"/>
    <n v="1"/>
    <n v="55"/>
    <n v="115"/>
    <x v="2"/>
    <m/>
    <m/>
    <m/>
    <m/>
  </r>
  <r>
    <x v="0"/>
    <d v="2012-06-23T00:00:00"/>
    <n v="6"/>
    <x v="22"/>
    <n v="1"/>
    <x v="23"/>
    <s v="Heimat"/>
    <x v="121"/>
    <m/>
    <n v="41"/>
    <n v="41"/>
    <x v="2"/>
    <m/>
    <m/>
    <m/>
    <m/>
  </r>
  <r>
    <x v="0"/>
    <d v="2012-06-24T00:00:00"/>
    <n v="6"/>
    <x v="22"/>
    <n v="1"/>
    <x v="23"/>
    <s v="Heimat"/>
    <x v="63"/>
    <m/>
    <n v="36"/>
    <n v="36"/>
    <x v="2"/>
    <m/>
    <m/>
    <m/>
    <m/>
  </r>
  <r>
    <x v="0"/>
    <d v="2012-07-07T00:00:00"/>
    <n v="7"/>
    <x v="22"/>
    <n v="1"/>
    <x v="23"/>
    <s v="Galfera"/>
    <x v="19"/>
    <n v="1"/>
    <n v="7"/>
    <n v="67"/>
    <x v="2"/>
    <m/>
    <m/>
    <m/>
    <m/>
  </r>
  <r>
    <x v="0"/>
    <d v="2012-07-31T00:00:00"/>
    <n v="7"/>
    <x v="22"/>
    <n v="1"/>
    <x v="23"/>
    <s v="Galfera"/>
    <x v="19"/>
    <n v="1"/>
    <n v="14"/>
    <n v="74"/>
    <x v="2"/>
    <m/>
    <m/>
    <m/>
    <m/>
  </r>
  <r>
    <x v="0"/>
    <d v="2012-08-01T00:00:00"/>
    <n v="8"/>
    <x v="22"/>
    <n v="1"/>
    <x v="23"/>
    <s v="Heimat"/>
    <x v="19"/>
    <m/>
    <n v="36"/>
    <n v="36"/>
    <x v="2"/>
    <m/>
    <m/>
    <m/>
    <m/>
  </r>
  <r>
    <x v="4"/>
    <d v="2012-08-04T00:00:00"/>
    <n v="8"/>
    <x v="22"/>
    <n v="1"/>
    <x v="19"/>
    <s v="Chalet Ü50"/>
    <x v="19"/>
    <m/>
    <n v="27"/>
    <n v="27"/>
    <x v="2"/>
    <m/>
    <m/>
    <m/>
    <m/>
  </r>
  <r>
    <x v="0"/>
    <d v="2012-08-10T00:00:00"/>
    <n v="8"/>
    <x v="22"/>
    <n v="1"/>
    <x v="23"/>
    <s v="Heimat"/>
    <x v="35"/>
    <n v="1"/>
    <n v="45"/>
    <n v="105"/>
    <x v="2"/>
    <m/>
    <m/>
    <m/>
    <m/>
  </r>
  <r>
    <x v="0"/>
    <d v="2012-08-10T00:00:00"/>
    <n v="8"/>
    <x v="22"/>
    <n v="0"/>
    <x v="23"/>
    <s v="Muti"/>
    <x v="19"/>
    <m/>
    <n v="10"/>
    <n v="10"/>
    <x v="2"/>
    <m/>
    <m/>
    <m/>
    <m/>
  </r>
  <r>
    <x v="0"/>
    <d v="2012-08-11T00:00:00"/>
    <n v="8"/>
    <x v="22"/>
    <n v="1"/>
    <x v="23"/>
    <s v="Heimat"/>
    <x v="35"/>
    <n v="1"/>
    <n v="20"/>
    <n v="80"/>
    <x v="2"/>
    <m/>
    <m/>
    <m/>
    <m/>
  </r>
  <r>
    <x v="0"/>
    <d v="2012-08-12T00:00:00"/>
    <n v="8"/>
    <x v="22"/>
    <n v="1"/>
    <x v="23"/>
    <s v="Heimat"/>
    <x v="19"/>
    <m/>
    <n v="50"/>
    <n v="50"/>
    <x v="2"/>
    <m/>
    <m/>
    <m/>
    <m/>
  </r>
  <r>
    <x v="0"/>
    <d v="2012-08-18T00:00:00"/>
    <n v="8"/>
    <x v="22"/>
    <n v="1"/>
    <x v="23"/>
    <s v="Steibenkreuz"/>
    <x v="27"/>
    <n v="2"/>
    <n v="21"/>
    <n v="141"/>
    <x v="2"/>
    <s v="Mit Andrea --&gt; Baschi"/>
    <m/>
    <m/>
    <m/>
  </r>
  <r>
    <x v="0"/>
    <d v="2012-08-19T00:00:00"/>
    <n v="8"/>
    <x v="22"/>
    <n v="1"/>
    <x v="23"/>
    <s v="Steibenkreuz"/>
    <x v="35"/>
    <n v="1"/>
    <n v="51"/>
    <n v="111"/>
    <x v="2"/>
    <m/>
    <m/>
    <m/>
    <m/>
  </r>
  <r>
    <x v="0"/>
    <d v="2012-08-27T00:00:00"/>
    <n v="8"/>
    <x v="22"/>
    <n v="1"/>
    <x v="23"/>
    <s v="First"/>
    <x v="5"/>
    <n v="1"/>
    <n v="19"/>
    <n v="79"/>
    <x v="2"/>
    <m/>
    <m/>
    <m/>
    <m/>
  </r>
  <r>
    <x v="0"/>
    <d v="2012-08-28T00:00:00"/>
    <n v="8"/>
    <x v="22"/>
    <n v="1"/>
    <x v="23"/>
    <s v="First"/>
    <x v="5"/>
    <m/>
    <n v="18"/>
    <n v="18"/>
    <x v="2"/>
    <s v="Mit Edi"/>
    <n v="9.6"/>
    <n v="10.199999999999999"/>
    <m/>
  </r>
  <r>
    <x v="0"/>
    <d v="2012-08-29T00:00:00"/>
    <n v="8"/>
    <x v="22"/>
    <n v="1"/>
    <x v="23"/>
    <s v="Heimat"/>
    <x v="63"/>
    <m/>
    <n v="36"/>
    <n v="36"/>
    <x v="2"/>
    <m/>
    <m/>
    <m/>
    <m/>
  </r>
  <r>
    <x v="0"/>
    <d v="2012-09-03T00:00:00"/>
    <n v="9"/>
    <x v="22"/>
    <n v="1"/>
    <x v="23"/>
    <s v="Heimat"/>
    <x v="19"/>
    <m/>
    <n v="19"/>
    <n v="19"/>
    <x v="2"/>
    <m/>
    <m/>
    <m/>
    <m/>
  </r>
  <r>
    <x v="0"/>
    <d v="2012-09-04T00:00:00"/>
    <n v="9"/>
    <x v="22"/>
    <n v="1"/>
    <x v="23"/>
    <s v="Heimat"/>
    <x v="19"/>
    <n v="1"/>
    <n v="0"/>
    <n v="60"/>
    <x v="2"/>
    <m/>
    <m/>
    <m/>
    <m/>
  </r>
  <r>
    <x v="0"/>
    <d v="2012-09-05T00:00:00"/>
    <n v="9"/>
    <x v="22"/>
    <n v="1"/>
    <x v="23"/>
    <s v="Heimat"/>
    <x v="19"/>
    <m/>
    <n v="20"/>
    <n v="20"/>
    <x v="2"/>
    <m/>
    <m/>
    <m/>
    <m/>
  </r>
  <r>
    <x v="0"/>
    <d v="2012-09-05T00:00:00"/>
    <n v="9"/>
    <x v="22"/>
    <n v="0"/>
    <x v="24"/>
    <s v="Heimat"/>
    <x v="19"/>
    <m/>
    <n v="11"/>
    <n v="11"/>
    <x v="2"/>
    <m/>
    <m/>
    <m/>
    <m/>
  </r>
  <r>
    <x v="0"/>
    <d v="2012-09-06T00:00:00"/>
    <n v="9"/>
    <x v="22"/>
    <n v="1"/>
    <x v="23"/>
    <s v="Heimat"/>
    <x v="63"/>
    <m/>
    <n v="35"/>
    <n v="35"/>
    <x v="2"/>
    <m/>
    <m/>
    <m/>
    <m/>
  </r>
  <r>
    <x v="0"/>
    <d v="2012-09-07T00:00:00"/>
    <n v="9"/>
    <x v="22"/>
    <n v="1"/>
    <x v="23"/>
    <s v="Galfera"/>
    <x v="19"/>
    <n v="1"/>
    <n v="0"/>
    <n v="60"/>
    <x v="2"/>
    <m/>
    <m/>
    <m/>
    <m/>
  </r>
  <r>
    <x v="0"/>
    <d v="2012-09-08T00:00:00"/>
    <n v="9"/>
    <x v="22"/>
    <n v="1"/>
    <x v="23"/>
    <s v="Galfera"/>
    <x v="19"/>
    <n v="4"/>
    <n v="8"/>
    <n v="248"/>
    <x v="2"/>
    <s v="Siedelhorn"/>
    <m/>
    <m/>
    <m/>
  </r>
  <r>
    <x v="0"/>
    <d v="2012-09-09T00:00:00"/>
    <n v="9"/>
    <x v="22"/>
    <n v="1"/>
    <x v="23"/>
    <s v="Belvedere"/>
    <x v="60"/>
    <n v="1"/>
    <n v="17"/>
    <n v="77"/>
    <x v="13"/>
    <m/>
    <m/>
    <m/>
    <m/>
  </r>
  <r>
    <x v="0"/>
    <d v="2012-09-10T00:00:00"/>
    <n v="9"/>
    <x v="22"/>
    <n v="1"/>
    <x v="23"/>
    <s v="Rodella"/>
    <x v="60"/>
    <n v="1"/>
    <n v="36"/>
    <n v="96"/>
    <x v="13"/>
    <m/>
    <m/>
    <m/>
    <m/>
  </r>
  <r>
    <x v="0"/>
    <d v="2012-09-10T00:00:00"/>
    <n v="9"/>
    <x v="22"/>
    <n v="0"/>
    <x v="23"/>
    <s v="Rosengarten"/>
    <x v="67"/>
    <m/>
    <n v="20"/>
    <n v="20"/>
    <x v="13"/>
    <m/>
    <m/>
    <m/>
    <m/>
  </r>
  <r>
    <x v="0"/>
    <d v="2012-09-11T00:00:00"/>
    <n v="9"/>
    <x v="22"/>
    <n v="1"/>
    <x v="23"/>
    <s v="Rodella"/>
    <x v="61"/>
    <m/>
    <n v="11"/>
    <n v="11"/>
    <x v="13"/>
    <m/>
    <m/>
    <m/>
    <m/>
  </r>
  <r>
    <x v="0"/>
    <d v="2012-09-11T00:00:00"/>
    <n v="9"/>
    <x v="22"/>
    <n v="0"/>
    <x v="23"/>
    <s v="Rodella"/>
    <x v="60"/>
    <m/>
    <n v="58"/>
    <n v="58"/>
    <x v="13"/>
    <m/>
    <m/>
    <m/>
    <m/>
  </r>
  <r>
    <x v="0"/>
    <d v="2012-09-13T00:00:00"/>
    <n v="9"/>
    <x v="22"/>
    <n v="1"/>
    <x v="23"/>
    <s v="Bassano Casetta"/>
    <x v="122"/>
    <m/>
    <n v="18"/>
    <n v="18"/>
    <x v="13"/>
    <m/>
    <m/>
    <m/>
    <m/>
  </r>
  <r>
    <x v="0"/>
    <d v="2012-09-13T00:00:00"/>
    <n v="9"/>
    <x v="22"/>
    <n v="0"/>
    <x v="23"/>
    <s v="Bassano Casetta"/>
    <x v="122"/>
    <m/>
    <n v="33"/>
    <n v="33"/>
    <x v="13"/>
    <m/>
    <m/>
    <m/>
    <m/>
  </r>
  <r>
    <x v="0"/>
    <d v="2012-09-14T00:00:00"/>
    <n v="9"/>
    <x v="22"/>
    <n v="1"/>
    <x v="23"/>
    <s v="Bassano Casetta"/>
    <x v="122"/>
    <n v="1"/>
    <n v="14"/>
    <n v="74"/>
    <x v="13"/>
    <m/>
    <m/>
    <m/>
    <m/>
  </r>
  <r>
    <x v="0"/>
    <d v="2012-09-14T00:00:00"/>
    <n v="9"/>
    <x v="22"/>
    <n v="0"/>
    <x v="23"/>
    <s v="Bassano Casetta"/>
    <x v="122"/>
    <m/>
    <n v="36"/>
    <n v="36"/>
    <x v="13"/>
    <m/>
    <m/>
    <m/>
    <m/>
  </r>
  <r>
    <x v="0"/>
    <d v="2012-09-14T00:00:00"/>
    <n v="9"/>
    <x v="22"/>
    <n v="0"/>
    <x v="23"/>
    <s v="Bassano Casetta"/>
    <x v="122"/>
    <n v="1"/>
    <n v="34"/>
    <n v="94"/>
    <x v="13"/>
    <m/>
    <m/>
    <m/>
    <m/>
  </r>
  <r>
    <x v="0"/>
    <d v="2012-09-16T00:00:00"/>
    <n v="9"/>
    <x v="22"/>
    <n v="1"/>
    <x v="23"/>
    <s v="Galfera"/>
    <x v="19"/>
    <m/>
    <n v="34"/>
    <n v="34"/>
    <x v="2"/>
    <m/>
    <m/>
    <m/>
    <m/>
  </r>
  <r>
    <x v="0"/>
    <d v="2012-09-23T00:00:00"/>
    <n v="9"/>
    <x v="22"/>
    <n v="1"/>
    <x v="23"/>
    <s v="Elfer"/>
    <x v="123"/>
    <m/>
    <n v="11"/>
    <n v="11"/>
    <x v="2"/>
    <s v="mit Ernesto"/>
    <m/>
    <m/>
    <m/>
  </r>
  <r>
    <x v="0"/>
    <d v="2012-09-28T00:00:00"/>
    <n v="9"/>
    <x v="22"/>
    <n v="1"/>
    <x v="23"/>
    <s v="Heimat"/>
    <x v="19"/>
    <m/>
    <n v="38"/>
    <n v="38"/>
    <x v="2"/>
    <m/>
    <m/>
    <m/>
    <m/>
  </r>
  <r>
    <x v="0"/>
    <d v="2012-10-06T00:00:00"/>
    <n v="10"/>
    <x v="22"/>
    <n v="1"/>
    <x v="23"/>
    <s v="Muti"/>
    <x v="19"/>
    <m/>
    <n v="10"/>
    <n v="10"/>
    <x v="2"/>
    <s v="ins Muti gelaufen"/>
    <m/>
    <m/>
    <m/>
  </r>
  <r>
    <x v="0"/>
    <d v="2013-02-09T00:00:00"/>
    <n v="2"/>
    <x v="23"/>
    <n v="1"/>
    <x v="23"/>
    <s v="Crêt du Midi"/>
    <x v="112"/>
    <m/>
    <n v="31"/>
    <n v="31"/>
    <x v="2"/>
    <s v="mit Mathieu, Andrea Biplace"/>
    <m/>
    <m/>
    <m/>
  </r>
  <r>
    <x v="0"/>
    <d v="2013-02-10T00:00:00"/>
    <n v="2"/>
    <x v="23"/>
    <n v="1"/>
    <x v="24"/>
    <s v="Corne de Sorebois"/>
    <x v="124"/>
    <m/>
    <n v="20"/>
    <n v="20"/>
    <x v="2"/>
    <s v="mit Mathieu, Andrea Biplace"/>
    <m/>
    <m/>
    <m/>
  </r>
  <r>
    <x v="0"/>
    <d v="2013-02-10T00:00:00"/>
    <n v="2"/>
    <x v="23"/>
    <n v="0"/>
    <x v="24"/>
    <s v="Corne de Sorebois"/>
    <x v="125"/>
    <m/>
    <n v="20"/>
    <n v="20"/>
    <x v="2"/>
    <s v="mit Mathieu, Andrea Biplace"/>
    <m/>
    <m/>
    <m/>
  </r>
  <r>
    <x v="0"/>
    <d v="2013-02-26T00:00:00"/>
    <n v="2"/>
    <x v="23"/>
    <n v="1"/>
    <x v="24"/>
    <s v="Belalp"/>
    <x v="126"/>
    <m/>
    <n v="10"/>
    <n v="10"/>
    <x v="2"/>
    <m/>
    <m/>
    <m/>
    <m/>
  </r>
  <r>
    <x v="0"/>
    <d v="2013-02-26T00:00:00"/>
    <n v="2"/>
    <x v="23"/>
    <n v="0"/>
    <x v="24"/>
    <s v="Belalp"/>
    <x v="126"/>
    <m/>
    <n v="10"/>
    <n v="10"/>
    <x v="2"/>
    <m/>
    <m/>
    <m/>
    <m/>
  </r>
  <r>
    <x v="0"/>
    <d v="2013-02-26T00:00:00"/>
    <n v="2"/>
    <x v="23"/>
    <n v="0"/>
    <x v="24"/>
    <s v="Belalp"/>
    <x v="126"/>
    <m/>
    <n v="10"/>
    <n v="10"/>
    <x v="2"/>
    <m/>
    <m/>
    <m/>
    <m/>
  </r>
  <r>
    <x v="0"/>
    <d v="2013-02-26T00:00:00"/>
    <n v="2"/>
    <x v="23"/>
    <n v="0"/>
    <x v="24"/>
    <s v="Belalp"/>
    <x v="127"/>
    <m/>
    <n v="30"/>
    <n v="30"/>
    <x v="2"/>
    <m/>
    <m/>
    <m/>
    <m/>
  </r>
  <r>
    <x v="0"/>
    <d v="2013-02-27T00:00:00"/>
    <n v="2"/>
    <x v="23"/>
    <n v="1"/>
    <x v="24"/>
    <s v="Heimat"/>
    <x v="19"/>
    <m/>
    <n v="8"/>
    <n v="8"/>
    <x v="2"/>
    <s v="Andrea fliegt PI"/>
    <m/>
    <m/>
    <m/>
  </r>
  <r>
    <x v="0"/>
    <d v="2013-02-27T00:00:00"/>
    <n v="2"/>
    <x v="23"/>
    <n v="0"/>
    <x v="24"/>
    <s v="Heimat"/>
    <x v="19"/>
    <m/>
    <n v="8"/>
    <n v="8"/>
    <x v="2"/>
    <m/>
    <m/>
    <m/>
    <m/>
  </r>
  <r>
    <x v="0"/>
    <d v="2013-02-28T00:00:00"/>
    <n v="2"/>
    <x v="23"/>
    <n v="1"/>
    <x v="23"/>
    <s v="Heimat"/>
    <x v="63"/>
    <m/>
    <n v="25"/>
    <n v="25"/>
    <x v="2"/>
    <s v="Mirage 3 Testflüge"/>
    <m/>
    <m/>
    <m/>
  </r>
  <r>
    <x v="0"/>
    <d v="2013-03-01T00:00:00"/>
    <n v="3"/>
    <x v="23"/>
    <n v="1"/>
    <x v="23"/>
    <s v="Heimat"/>
    <x v="19"/>
    <n v="1"/>
    <n v="24"/>
    <n v="84"/>
    <x v="2"/>
    <s v="Baschi retour"/>
    <m/>
    <m/>
    <m/>
  </r>
  <r>
    <x v="4"/>
    <d v="2013-03-02T00:00:00"/>
    <n v="3"/>
    <x v="23"/>
    <n v="1"/>
    <x v="19"/>
    <s v="Heimat"/>
    <x v="63"/>
    <m/>
    <n v="17"/>
    <n v="17"/>
    <x v="2"/>
    <m/>
    <m/>
    <m/>
    <m/>
  </r>
  <r>
    <x v="0"/>
    <d v="2013-03-11T00:00:00"/>
    <n v="3"/>
    <x v="23"/>
    <n v="1"/>
    <x v="23"/>
    <s v="Castala"/>
    <x v="128"/>
    <m/>
    <n v="24"/>
    <n v="24"/>
    <x v="21"/>
    <s v="Hostel la Curva, Adra"/>
    <m/>
    <m/>
    <m/>
  </r>
  <r>
    <x v="0"/>
    <d v="2013-03-14T00:00:00"/>
    <n v="3"/>
    <x v="23"/>
    <n v="1"/>
    <x v="23"/>
    <s v="Valle de Abdalajis (nord)"/>
    <x v="129"/>
    <m/>
    <n v="23"/>
    <n v="23"/>
    <x v="21"/>
    <m/>
    <m/>
    <m/>
    <m/>
  </r>
  <r>
    <x v="0"/>
    <d v="2013-03-14T00:00:00"/>
    <n v="3"/>
    <x v="23"/>
    <n v="0"/>
    <x v="23"/>
    <s v="Teba"/>
    <x v="130"/>
    <m/>
    <n v="7"/>
    <n v="7"/>
    <x v="21"/>
    <m/>
    <m/>
    <m/>
    <m/>
  </r>
  <r>
    <x v="0"/>
    <d v="2013-03-14T00:00:00"/>
    <n v="3"/>
    <x v="23"/>
    <n v="0"/>
    <x v="23"/>
    <s v="Teba"/>
    <x v="130"/>
    <m/>
    <n v="35"/>
    <n v="35"/>
    <x v="21"/>
    <m/>
    <m/>
    <m/>
    <m/>
  </r>
  <r>
    <x v="0"/>
    <d v="2013-03-15T00:00:00"/>
    <n v="3"/>
    <x v="23"/>
    <n v="1"/>
    <x v="23"/>
    <s v="Sierra de Lijar SW"/>
    <x v="131"/>
    <n v="2"/>
    <n v="2"/>
    <n v="122"/>
    <x v="21"/>
    <m/>
    <m/>
    <m/>
    <m/>
  </r>
  <r>
    <x v="0"/>
    <d v="2013-03-15T00:00:00"/>
    <n v="3"/>
    <x v="23"/>
    <n v="0"/>
    <x v="23"/>
    <s v="Sierra de Lijar W"/>
    <x v="132"/>
    <m/>
    <n v="33"/>
    <n v="33"/>
    <x v="21"/>
    <m/>
    <m/>
    <m/>
    <m/>
  </r>
  <r>
    <x v="0"/>
    <d v="2013-04-01T00:00:00"/>
    <n v="4"/>
    <x v="23"/>
    <n v="1"/>
    <x v="23"/>
    <s v="Heimat"/>
    <x v="35"/>
    <n v="1"/>
    <n v="7"/>
    <n v="67"/>
    <x v="2"/>
    <s v="mit Nico"/>
    <m/>
    <m/>
    <m/>
  </r>
  <r>
    <x v="0"/>
    <d v="2013-04-13T00:00:00"/>
    <n v="4"/>
    <x v="23"/>
    <n v="1"/>
    <x v="23"/>
    <s v="Heimat"/>
    <x v="19"/>
    <m/>
    <n v="20"/>
    <n v="20"/>
    <x v="2"/>
    <m/>
    <m/>
    <m/>
    <m/>
  </r>
  <r>
    <x v="0"/>
    <d v="2013-04-14T00:00:00"/>
    <n v="4"/>
    <x v="23"/>
    <n v="1"/>
    <x v="23"/>
    <s v="Heimat"/>
    <x v="19"/>
    <n v="1"/>
    <n v="36"/>
    <n v="96"/>
    <x v="2"/>
    <s v="Baschi retour"/>
    <m/>
    <m/>
    <m/>
  </r>
  <r>
    <x v="0"/>
    <d v="2013-05-08T00:00:00"/>
    <n v="5"/>
    <x v="23"/>
    <n v="1"/>
    <x v="23"/>
    <s v="San Fermo"/>
    <x v="133"/>
    <m/>
    <n v="13"/>
    <n v="13"/>
    <x v="22"/>
    <m/>
    <m/>
    <m/>
    <m/>
  </r>
  <r>
    <x v="0"/>
    <d v="2013-05-09T00:00:00"/>
    <n v="5"/>
    <x v="23"/>
    <n v="1"/>
    <x v="23"/>
    <s v="Bassano da Bepi"/>
    <x v="122"/>
    <n v="1"/>
    <n v="49"/>
    <n v="109"/>
    <x v="22"/>
    <m/>
    <m/>
    <m/>
    <m/>
  </r>
  <r>
    <x v="0"/>
    <d v="2013-05-09T00:00:00"/>
    <n v="5"/>
    <x v="23"/>
    <n v="0"/>
    <x v="23"/>
    <s v="Bassano da Bepi"/>
    <x v="122"/>
    <m/>
    <n v="10"/>
    <n v="10"/>
    <x v="22"/>
    <m/>
    <m/>
    <m/>
    <m/>
  </r>
  <r>
    <x v="0"/>
    <d v="2013-05-10T00:00:00"/>
    <n v="5"/>
    <x v="23"/>
    <n v="1"/>
    <x v="23"/>
    <s v="Bassano Panettone"/>
    <x v="122"/>
    <m/>
    <n v="21"/>
    <n v="21"/>
    <x v="22"/>
    <m/>
    <m/>
    <m/>
    <m/>
  </r>
  <r>
    <x v="0"/>
    <d v="2013-05-12T00:00:00"/>
    <n v="5"/>
    <x v="23"/>
    <n v="1"/>
    <x v="23"/>
    <s v="Bassano Panettone"/>
    <x v="122"/>
    <n v="1"/>
    <n v="38"/>
    <n v="98"/>
    <x v="22"/>
    <m/>
    <m/>
    <m/>
    <m/>
  </r>
  <r>
    <x v="0"/>
    <d v="2013-05-27T00:00:00"/>
    <n v="5"/>
    <x v="23"/>
    <n v="1"/>
    <x v="23"/>
    <s v="Roncolla"/>
    <x v="134"/>
    <m/>
    <n v="9"/>
    <n v="9"/>
    <x v="15"/>
    <m/>
    <m/>
    <m/>
    <m/>
  </r>
  <r>
    <x v="0"/>
    <d v="2013-05-27T00:00:00"/>
    <n v="5"/>
    <x v="23"/>
    <n v="0"/>
    <x v="23"/>
    <s v="Cornizolo"/>
    <x v="117"/>
    <m/>
    <n v="47"/>
    <n v="47"/>
    <x v="15"/>
    <m/>
    <m/>
    <m/>
    <m/>
  </r>
  <r>
    <x v="0"/>
    <d v="2013-05-27T00:00:00"/>
    <n v="5"/>
    <x v="23"/>
    <n v="0"/>
    <x v="23"/>
    <s v="Valcava"/>
    <x v="134"/>
    <m/>
    <n v="39"/>
    <n v="39"/>
    <x v="15"/>
    <m/>
    <m/>
    <m/>
    <m/>
  </r>
  <r>
    <x v="0"/>
    <d v="2013-05-28T00:00:00"/>
    <n v="5"/>
    <x v="23"/>
    <n v="1"/>
    <x v="23"/>
    <s v="San Fermo"/>
    <x v="135"/>
    <m/>
    <n v="12"/>
    <n v="12"/>
    <x v="15"/>
    <m/>
    <m/>
    <m/>
    <m/>
  </r>
  <r>
    <x v="0"/>
    <d v="2013-05-28T00:00:00"/>
    <n v="5"/>
    <x v="23"/>
    <n v="0"/>
    <x v="23"/>
    <s v="Pizzorne"/>
    <x v="75"/>
    <m/>
    <n v="12"/>
    <n v="12"/>
    <x v="15"/>
    <m/>
    <m/>
    <m/>
    <m/>
  </r>
  <r>
    <x v="0"/>
    <d v="2013-06-08T00:00:00"/>
    <n v="6"/>
    <x v="23"/>
    <n v="1"/>
    <x v="23"/>
    <s v="Heimat"/>
    <x v="35"/>
    <n v="1"/>
    <n v="14"/>
    <n v="74"/>
    <x v="2"/>
    <m/>
    <m/>
    <m/>
    <m/>
  </r>
  <r>
    <x v="0"/>
    <d v="2013-06-13T00:00:00"/>
    <n v="6"/>
    <x v="23"/>
    <n v="1"/>
    <x v="23"/>
    <s v="Heimat"/>
    <x v="35"/>
    <n v="1"/>
    <n v="5"/>
    <n v="65"/>
    <x v="2"/>
    <m/>
    <m/>
    <m/>
    <m/>
  </r>
  <r>
    <x v="0"/>
    <d v="2013-06-14T00:00:00"/>
    <n v="6"/>
    <x v="23"/>
    <n v="1"/>
    <x v="23"/>
    <s v="Chalet Ü50"/>
    <x v="19"/>
    <m/>
    <n v="30"/>
    <n v="30"/>
    <x v="2"/>
    <m/>
    <m/>
    <m/>
    <m/>
  </r>
  <r>
    <x v="0"/>
    <d v="2013-06-15T00:00:00"/>
    <n v="6"/>
    <x v="23"/>
    <n v="1"/>
    <x v="23"/>
    <s v="Muti"/>
    <x v="19"/>
    <m/>
    <n v="15"/>
    <n v="15"/>
    <x v="2"/>
    <m/>
    <m/>
    <m/>
    <m/>
  </r>
  <r>
    <x v="0"/>
    <d v="2013-06-15T00:00:00"/>
    <n v="6"/>
    <x v="23"/>
    <n v="0"/>
    <x v="24"/>
    <s v="Muti"/>
    <x v="19"/>
    <m/>
    <n v="10"/>
    <n v="10"/>
    <x v="2"/>
    <m/>
    <m/>
    <m/>
    <m/>
  </r>
  <r>
    <x v="0"/>
    <d v="2013-06-16T00:00:00"/>
    <n v="6"/>
    <x v="23"/>
    <n v="1"/>
    <x v="23"/>
    <s v="Heimat"/>
    <x v="19"/>
    <n v="1"/>
    <n v="2"/>
    <n v="62"/>
    <x v="2"/>
    <m/>
    <m/>
    <m/>
    <m/>
  </r>
  <r>
    <x v="0"/>
    <d v="2013-06-30T00:00:00"/>
    <n v="6"/>
    <x v="23"/>
    <n v="1"/>
    <x v="23"/>
    <s v="Heimat"/>
    <x v="19"/>
    <m/>
    <n v="37"/>
    <n v="37"/>
    <x v="2"/>
    <m/>
    <m/>
    <m/>
    <m/>
  </r>
  <r>
    <x v="0"/>
    <d v="2013-07-05T00:00:00"/>
    <n v="7"/>
    <x v="23"/>
    <n v="1"/>
    <x v="23"/>
    <s v="First"/>
    <x v="5"/>
    <m/>
    <n v="27"/>
    <n v="27"/>
    <x v="2"/>
    <m/>
    <m/>
    <m/>
    <m/>
  </r>
  <r>
    <x v="0"/>
    <d v="2013-07-06T00:00:00"/>
    <n v="7"/>
    <x v="23"/>
    <n v="1"/>
    <x v="23"/>
    <s v="Jungfraujoch"/>
    <x v="17"/>
    <m/>
    <n v="31"/>
    <n v="31"/>
    <x v="2"/>
    <m/>
    <m/>
    <m/>
    <m/>
  </r>
  <r>
    <x v="0"/>
    <d v="2013-07-06T00:00:00"/>
    <n v="7"/>
    <x v="23"/>
    <n v="0"/>
    <x v="23"/>
    <s v="First"/>
    <x v="5"/>
    <m/>
    <n v="44"/>
    <n v="44"/>
    <x v="2"/>
    <m/>
    <m/>
    <m/>
    <m/>
  </r>
  <r>
    <x v="0"/>
    <d v="2013-07-07T00:00:00"/>
    <n v="7"/>
    <x v="23"/>
    <n v="1"/>
    <x v="23"/>
    <s v="First"/>
    <x v="5"/>
    <m/>
    <n v="33"/>
    <n v="33"/>
    <x v="2"/>
    <m/>
    <m/>
    <m/>
    <m/>
  </r>
  <r>
    <x v="0"/>
    <d v="2013-07-13T00:00:00"/>
    <n v="7"/>
    <x v="23"/>
    <n v="1"/>
    <x v="23"/>
    <s v="Galfera"/>
    <x v="35"/>
    <n v="1"/>
    <n v="37"/>
    <n v="97"/>
    <x v="2"/>
    <m/>
    <m/>
    <m/>
    <m/>
  </r>
  <r>
    <x v="0"/>
    <d v="2013-07-14T00:00:00"/>
    <n v="7"/>
    <x v="23"/>
    <n v="1"/>
    <x v="23"/>
    <s v="Galfera"/>
    <x v="19"/>
    <n v="1"/>
    <n v="40"/>
    <n v="100"/>
    <x v="2"/>
    <m/>
    <m/>
    <m/>
    <m/>
  </r>
  <r>
    <x v="0"/>
    <d v="2013-07-19T00:00:00"/>
    <n v="7"/>
    <x v="23"/>
    <n v="1"/>
    <x v="23"/>
    <s v="Heimat"/>
    <x v="19"/>
    <m/>
    <n v="23"/>
    <n v="23"/>
    <x v="2"/>
    <m/>
    <m/>
    <m/>
    <m/>
  </r>
  <r>
    <x v="4"/>
    <d v="2013-07-20T00:00:00"/>
    <n v="7"/>
    <x v="23"/>
    <n v="1"/>
    <x v="19"/>
    <s v="Chalet Ü50"/>
    <x v="35"/>
    <n v="1"/>
    <n v="40"/>
    <n v="100"/>
    <x v="2"/>
    <s v="via Sidelhorn"/>
    <m/>
    <m/>
    <m/>
  </r>
  <r>
    <x v="0"/>
    <d v="2013-07-21T00:00:00"/>
    <n v="7"/>
    <x v="23"/>
    <n v="1"/>
    <x v="23"/>
    <s v="Chalet Ü50"/>
    <x v="120"/>
    <n v="1"/>
    <n v="15"/>
    <n v="75"/>
    <x v="2"/>
    <m/>
    <m/>
    <m/>
    <m/>
  </r>
  <r>
    <x v="0"/>
    <d v="2013-07-26T00:00:00"/>
    <n v="7"/>
    <x v="23"/>
    <n v="1"/>
    <x v="23"/>
    <s v="Galfera"/>
    <x v="35"/>
    <n v="1"/>
    <n v="36"/>
    <n v="96"/>
    <x v="2"/>
    <m/>
    <m/>
    <m/>
    <m/>
  </r>
  <r>
    <x v="0"/>
    <d v="2013-07-27T00:00:00"/>
    <n v="7"/>
    <x v="23"/>
    <n v="1"/>
    <x v="23"/>
    <s v="Galfera"/>
    <x v="80"/>
    <n v="1"/>
    <n v="6"/>
    <n v="66"/>
    <x v="2"/>
    <s v="mit Andrea"/>
    <m/>
    <m/>
    <m/>
  </r>
  <r>
    <x v="0"/>
    <d v="2013-07-31T00:00:00"/>
    <n v="7"/>
    <x v="23"/>
    <n v="1"/>
    <x v="23"/>
    <s v="Heimat"/>
    <x v="35"/>
    <n v="1"/>
    <n v="43"/>
    <n v="103"/>
    <x v="2"/>
    <m/>
    <m/>
    <m/>
    <m/>
  </r>
  <r>
    <x v="0"/>
    <d v="2013-08-01T00:00:00"/>
    <n v="8"/>
    <x v="23"/>
    <n v="1"/>
    <x v="23"/>
    <s v="Galfera"/>
    <x v="19"/>
    <n v="3"/>
    <n v="39"/>
    <n v="219"/>
    <x v="2"/>
    <s v="3x Sidelhorn"/>
    <m/>
    <m/>
    <m/>
  </r>
  <r>
    <x v="0"/>
    <d v="2013-08-10T00:00:00"/>
    <n v="8"/>
    <x v="23"/>
    <n v="1"/>
    <x v="23"/>
    <s v="Bassano da Bepi"/>
    <x v="122"/>
    <m/>
    <n v="40"/>
    <n v="40"/>
    <x v="2"/>
    <m/>
    <m/>
    <m/>
    <m/>
  </r>
  <r>
    <x v="0"/>
    <d v="2013-08-11T00:00:00"/>
    <n v="8"/>
    <x v="23"/>
    <n v="1"/>
    <x v="23"/>
    <s v="Galfera"/>
    <x v="63"/>
    <n v="2"/>
    <n v="19"/>
    <n v="139"/>
    <x v="2"/>
    <s v="Clubmeisterschaft"/>
    <m/>
    <m/>
    <m/>
  </r>
  <r>
    <x v="0"/>
    <d v="2013-08-12T00:00:00"/>
    <n v="8"/>
    <x v="23"/>
    <n v="1"/>
    <x v="23"/>
    <s v="Galfera"/>
    <x v="80"/>
    <n v="1"/>
    <n v="3"/>
    <n v="63"/>
    <x v="2"/>
    <m/>
    <m/>
    <m/>
    <m/>
  </r>
  <r>
    <x v="0"/>
    <d v="2013-08-14T00:00:00"/>
    <n v="8"/>
    <x v="23"/>
    <n v="1"/>
    <x v="23"/>
    <s v="Heimat"/>
    <x v="19"/>
    <n v="1"/>
    <n v="16"/>
    <n v="76"/>
    <x v="2"/>
    <m/>
    <m/>
    <m/>
    <m/>
  </r>
  <r>
    <x v="0"/>
    <d v="2013-08-15T00:00:00"/>
    <n v="8"/>
    <x v="23"/>
    <n v="1"/>
    <x v="23"/>
    <s v="Galfera"/>
    <x v="19"/>
    <n v="2"/>
    <n v="29"/>
    <n v="149"/>
    <x v="2"/>
    <m/>
    <m/>
    <m/>
    <m/>
  </r>
  <r>
    <x v="0"/>
    <d v="2013-08-16T00:00:00"/>
    <n v="8"/>
    <x v="23"/>
    <n v="1"/>
    <x v="23"/>
    <s v="Galfera"/>
    <x v="35"/>
    <n v="1"/>
    <n v="29"/>
    <n v="89"/>
    <x v="2"/>
    <s v="mit Andrea"/>
    <m/>
    <m/>
    <m/>
  </r>
  <r>
    <x v="0"/>
    <d v="2013-08-17T00:00:00"/>
    <n v="8"/>
    <x v="23"/>
    <n v="1"/>
    <x v="23"/>
    <s v="Galfera"/>
    <x v="80"/>
    <m/>
    <n v="46"/>
    <n v="46"/>
    <x v="2"/>
    <m/>
    <m/>
    <m/>
    <m/>
  </r>
  <r>
    <x v="0"/>
    <d v="2013-08-23T00:00:00"/>
    <n v="8"/>
    <x v="23"/>
    <n v="1"/>
    <x v="23"/>
    <s v="Heimat"/>
    <x v="121"/>
    <m/>
    <n v="31"/>
    <n v="31"/>
    <x v="2"/>
    <m/>
    <m/>
    <m/>
    <m/>
  </r>
  <r>
    <x v="0"/>
    <d v="2013-08-30T00:00:00"/>
    <n v="8"/>
    <x v="23"/>
    <n v="1"/>
    <x v="23"/>
    <s v="Heimat"/>
    <x v="35"/>
    <n v="1"/>
    <n v="25"/>
    <n v="85"/>
    <x v="2"/>
    <m/>
    <m/>
    <m/>
    <m/>
  </r>
  <r>
    <x v="4"/>
    <d v="2013-08-31T00:00:00"/>
    <n v="8"/>
    <x v="23"/>
    <n v="1"/>
    <x v="19"/>
    <s v="Chalet Ü50"/>
    <x v="19"/>
    <m/>
    <n v="25"/>
    <n v="25"/>
    <x v="2"/>
    <m/>
    <m/>
    <m/>
    <m/>
  </r>
  <r>
    <x v="0"/>
    <d v="2013-08-31T00:00:00"/>
    <n v="8"/>
    <x v="23"/>
    <n v="0"/>
    <x v="23"/>
    <s v="Breithorn"/>
    <x v="19"/>
    <n v="1"/>
    <n v="17"/>
    <n v="77"/>
    <x v="2"/>
    <m/>
    <m/>
    <m/>
    <m/>
  </r>
  <r>
    <x v="0"/>
    <d v="2013-09-08T00:00:00"/>
    <n v="9"/>
    <x v="23"/>
    <n v="1"/>
    <x v="23"/>
    <s v="Bassano da Bepi"/>
    <x v="122"/>
    <m/>
    <n v="21"/>
    <n v="21"/>
    <x v="13"/>
    <s v="Andrea, Nico, Patrizia, Philip, Ambros, Marco, Hansi, Mariette"/>
    <m/>
    <m/>
    <m/>
  </r>
  <r>
    <x v="0"/>
    <d v="2013-09-09T00:00:00"/>
    <n v="9"/>
    <x v="23"/>
    <n v="1"/>
    <x v="23"/>
    <s v="Bassano Antenna"/>
    <x v="122"/>
    <n v="1"/>
    <n v="0"/>
    <n v="60"/>
    <x v="13"/>
    <m/>
    <m/>
    <m/>
    <m/>
  </r>
  <r>
    <x v="0"/>
    <d v="2013-09-09T00:00:00"/>
    <n v="9"/>
    <x v="23"/>
    <n v="0"/>
    <x v="23"/>
    <s v="Bassano Casetta"/>
    <x v="122"/>
    <m/>
    <n v="48"/>
    <n v="48"/>
    <x v="13"/>
    <m/>
    <m/>
    <m/>
    <m/>
  </r>
  <r>
    <x v="0"/>
    <d v="2013-09-10T00:00:00"/>
    <n v="9"/>
    <x v="23"/>
    <n v="1"/>
    <x v="23"/>
    <s v="Bassano Antenna"/>
    <x v="122"/>
    <m/>
    <n v="38"/>
    <n v="38"/>
    <x v="13"/>
    <m/>
    <m/>
    <m/>
    <m/>
  </r>
  <r>
    <x v="0"/>
    <d v="2013-09-11T00:00:00"/>
    <n v="9"/>
    <x v="23"/>
    <n v="1"/>
    <x v="23"/>
    <s v="Rodella"/>
    <x v="60"/>
    <n v="1"/>
    <n v="15"/>
    <n v="75"/>
    <x v="13"/>
    <m/>
    <m/>
    <m/>
    <m/>
  </r>
  <r>
    <x v="0"/>
    <d v="2013-09-11T00:00:00"/>
    <n v="9"/>
    <x v="23"/>
    <n v="0"/>
    <x v="23"/>
    <s v="Rodella"/>
    <x v="60"/>
    <n v="1"/>
    <n v="2"/>
    <n v="62"/>
    <x v="13"/>
    <m/>
    <m/>
    <m/>
    <m/>
  </r>
  <r>
    <x v="0"/>
    <d v="2013-09-12T00:00:00"/>
    <n v="9"/>
    <x v="23"/>
    <n v="1"/>
    <x v="23"/>
    <s v="Rodella"/>
    <x v="60"/>
    <n v="1"/>
    <n v="4"/>
    <n v="64"/>
    <x v="13"/>
    <m/>
    <m/>
    <m/>
    <m/>
  </r>
  <r>
    <x v="0"/>
    <d v="2013-09-13T00:00:00"/>
    <n v="9"/>
    <x v="23"/>
    <n v="1"/>
    <x v="23"/>
    <s v="Bassano da Bepi"/>
    <x v="122"/>
    <n v="1"/>
    <n v="10"/>
    <n v="70"/>
    <x v="13"/>
    <m/>
    <m/>
    <m/>
    <m/>
  </r>
  <r>
    <x v="0"/>
    <d v="2013-09-14T00:00:00"/>
    <n v="9"/>
    <x v="23"/>
    <n v="1"/>
    <x v="23"/>
    <s v="Mte Generoso West"/>
    <x v="69"/>
    <n v="1"/>
    <n v="6"/>
    <n v="66"/>
    <x v="13"/>
    <m/>
    <m/>
    <m/>
    <m/>
  </r>
  <r>
    <x v="0"/>
    <d v="2013-10-18T00:00:00"/>
    <n v="10"/>
    <x v="23"/>
    <n v="1"/>
    <x v="23"/>
    <s v="Heimat"/>
    <x v="59"/>
    <m/>
    <n v="6"/>
    <n v="6"/>
    <x v="2"/>
    <m/>
    <m/>
    <m/>
    <m/>
  </r>
  <r>
    <x v="0"/>
    <d v="2013-10-18T00:00:00"/>
    <n v="10"/>
    <x v="23"/>
    <n v="0"/>
    <x v="23"/>
    <s v="Heimat"/>
    <x v="63"/>
    <m/>
    <n v="35"/>
    <n v="35"/>
    <x v="2"/>
    <m/>
    <m/>
    <m/>
    <m/>
  </r>
  <r>
    <x v="0"/>
    <d v="2013-10-19T00:00:00"/>
    <n v="10"/>
    <x v="23"/>
    <n v="1"/>
    <x v="23"/>
    <s v="Galfera"/>
    <x v="19"/>
    <m/>
    <n v="27"/>
    <n v="27"/>
    <x v="2"/>
    <s v="Saisonabschluss"/>
    <m/>
    <m/>
    <m/>
  </r>
  <r>
    <x v="0"/>
    <d v="2013-10-19T00:00:00"/>
    <n v="10"/>
    <x v="23"/>
    <n v="0"/>
    <x v="23"/>
    <s v="Galfera"/>
    <x v="19"/>
    <m/>
    <n v="44"/>
    <n v="44"/>
    <x v="2"/>
    <s v="Saisonabschluss"/>
    <m/>
    <m/>
    <m/>
  </r>
  <r>
    <x v="0"/>
    <d v="2013-10-19T00:00:00"/>
    <n v="10"/>
    <x v="23"/>
    <n v="0"/>
    <x v="23"/>
    <s v="Heimat"/>
    <x v="19"/>
    <m/>
    <n v="30"/>
    <n v="30"/>
    <x v="2"/>
    <s v="Saisonabschluss"/>
    <m/>
    <m/>
    <m/>
  </r>
  <r>
    <x v="0"/>
    <d v="2013-10-25T00:00:00"/>
    <n v="10"/>
    <x v="23"/>
    <n v="1"/>
    <x v="24"/>
    <s v="Steibenkreuz"/>
    <x v="63"/>
    <m/>
    <n v="15"/>
    <n v="15"/>
    <x v="2"/>
    <s v="1. Hike and Fly"/>
    <m/>
    <m/>
    <m/>
  </r>
  <r>
    <x v="0"/>
    <d v="2013-12-21T00:00:00"/>
    <n v="12"/>
    <x v="23"/>
    <n v="1"/>
    <x v="23"/>
    <s v="Heimat"/>
    <x v="19"/>
    <m/>
    <n v="12"/>
    <n v="12"/>
    <x v="2"/>
    <m/>
    <m/>
    <m/>
    <m/>
  </r>
  <r>
    <x v="0"/>
    <d v="2013-12-21T00:00:00"/>
    <n v="12"/>
    <x v="23"/>
    <n v="0"/>
    <x v="23"/>
    <s v="Heimat"/>
    <x v="19"/>
    <m/>
    <n v="44"/>
    <n v="44"/>
    <x v="2"/>
    <m/>
    <m/>
    <m/>
    <m/>
  </r>
  <r>
    <x v="0"/>
    <d v="2014-03-12T00:00:00"/>
    <n v="3"/>
    <x v="24"/>
    <n v="1"/>
    <x v="23"/>
    <s v="Steibenkreuz"/>
    <x v="35"/>
    <m/>
    <n v="43"/>
    <n v="43"/>
    <x v="2"/>
    <m/>
    <m/>
    <m/>
    <m/>
  </r>
  <r>
    <x v="0"/>
    <d v="2014-03-13T00:00:00"/>
    <n v="3"/>
    <x v="24"/>
    <n v="1"/>
    <x v="23"/>
    <s v="Steibenkreuz"/>
    <x v="63"/>
    <n v="1"/>
    <n v="2"/>
    <n v="62"/>
    <x v="2"/>
    <m/>
    <m/>
    <m/>
    <m/>
  </r>
  <r>
    <x v="0"/>
    <d v="2014-03-14T00:00:00"/>
    <n v="3"/>
    <x v="24"/>
    <n v="1"/>
    <x v="23"/>
    <s v="Heimat"/>
    <x v="35"/>
    <n v="1"/>
    <n v="22"/>
    <n v="82"/>
    <x v="2"/>
    <m/>
    <m/>
    <m/>
    <m/>
  </r>
  <r>
    <x v="0"/>
    <d v="2014-03-17T00:00:00"/>
    <n v="3"/>
    <x v="24"/>
    <n v="1"/>
    <x v="23"/>
    <s v="Heimat"/>
    <x v="35"/>
    <n v="1"/>
    <n v="43"/>
    <n v="103"/>
    <x v="2"/>
    <m/>
    <m/>
    <m/>
    <m/>
  </r>
  <r>
    <x v="0"/>
    <d v="2014-03-30T00:00:00"/>
    <n v="3"/>
    <x v="24"/>
    <n v="1"/>
    <x v="23"/>
    <s v="Heimat"/>
    <x v="63"/>
    <n v="1"/>
    <n v="8"/>
    <n v="68"/>
    <x v="2"/>
    <s v="Lendenwirbelbruch (18.3. Schulterprellung)"/>
    <m/>
    <m/>
    <m/>
  </r>
  <r>
    <x v="0"/>
    <d v="2014-05-18T00:00:00"/>
    <n v="5"/>
    <x v="24"/>
    <n v="1"/>
    <x v="23"/>
    <s v="Heimat"/>
    <x v="19"/>
    <m/>
    <n v="17"/>
    <n v="17"/>
    <x v="2"/>
    <m/>
    <m/>
    <m/>
    <m/>
  </r>
  <r>
    <x v="0"/>
    <d v="2014-05-30T00:00:00"/>
    <n v="5"/>
    <x v="24"/>
    <n v="1"/>
    <x v="23"/>
    <s v="Linhares"/>
    <x v="136"/>
    <m/>
    <n v="53"/>
    <n v="53"/>
    <x v="23"/>
    <s v="Michael, Vreni, Federico"/>
    <m/>
    <m/>
    <m/>
  </r>
  <r>
    <x v="0"/>
    <d v="2014-05-30T00:00:00"/>
    <n v="5"/>
    <x v="24"/>
    <n v="0"/>
    <x v="23"/>
    <s v="Linhares"/>
    <x v="136"/>
    <m/>
    <n v="30"/>
    <n v="30"/>
    <x v="23"/>
    <m/>
    <m/>
    <m/>
    <m/>
  </r>
  <r>
    <x v="0"/>
    <d v="2014-05-30T00:00:00"/>
    <n v="5"/>
    <x v="24"/>
    <n v="0"/>
    <x v="23"/>
    <s v="Linhares"/>
    <x v="137"/>
    <m/>
    <n v="37"/>
    <n v="37"/>
    <x v="23"/>
    <m/>
    <m/>
    <m/>
    <m/>
  </r>
  <r>
    <x v="0"/>
    <d v="2014-05-31T00:00:00"/>
    <n v="5"/>
    <x v="24"/>
    <n v="1"/>
    <x v="23"/>
    <s v="Mte Alegra N"/>
    <x v="138"/>
    <n v="1"/>
    <n v="2"/>
    <n v="62"/>
    <x v="23"/>
    <m/>
    <m/>
    <m/>
    <m/>
  </r>
  <r>
    <x v="0"/>
    <d v="2014-05-31T00:00:00"/>
    <n v="5"/>
    <x v="24"/>
    <n v="0"/>
    <x v="23"/>
    <s v="Mte Alegra N"/>
    <x v="138"/>
    <m/>
    <n v="52"/>
    <n v="52"/>
    <x v="23"/>
    <m/>
    <m/>
    <m/>
    <m/>
  </r>
  <r>
    <x v="0"/>
    <d v="2014-06-01T00:00:00"/>
    <n v="6"/>
    <x v="24"/>
    <n v="1"/>
    <x v="23"/>
    <s v="Mte Alegra E"/>
    <x v="139"/>
    <m/>
    <n v="50"/>
    <n v="50"/>
    <x v="23"/>
    <m/>
    <m/>
    <m/>
    <m/>
  </r>
  <r>
    <x v="0"/>
    <d v="2014-06-01T00:00:00"/>
    <n v="6"/>
    <x v="24"/>
    <n v="0"/>
    <x v="23"/>
    <s v="Mte Alegra N"/>
    <x v="140"/>
    <n v="1"/>
    <n v="26"/>
    <n v="86"/>
    <x v="23"/>
    <m/>
    <m/>
    <m/>
    <m/>
  </r>
  <r>
    <x v="0"/>
    <d v="2014-06-02T00:00:00"/>
    <n v="6"/>
    <x v="24"/>
    <n v="1"/>
    <x v="23"/>
    <s v="Mte Alegra E"/>
    <x v="139"/>
    <m/>
    <n v="20"/>
    <n v="20"/>
    <x v="23"/>
    <m/>
    <m/>
    <m/>
    <m/>
  </r>
  <r>
    <x v="0"/>
    <d v="2014-06-02T00:00:00"/>
    <n v="6"/>
    <x v="24"/>
    <n v="0"/>
    <x v="23"/>
    <s v="Mte Alegra N"/>
    <x v="138"/>
    <m/>
    <n v="28"/>
    <n v="28"/>
    <x v="23"/>
    <m/>
    <m/>
    <m/>
    <m/>
  </r>
  <r>
    <x v="0"/>
    <d v="2014-06-02T00:00:00"/>
    <n v="6"/>
    <x v="24"/>
    <n v="0"/>
    <x v="23"/>
    <s v="Mte Alegra N"/>
    <x v="138"/>
    <m/>
    <n v="14"/>
    <n v="14"/>
    <x v="23"/>
    <m/>
    <m/>
    <m/>
    <m/>
  </r>
  <r>
    <x v="0"/>
    <d v="2014-06-03T00:00:00"/>
    <n v="6"/>
    <x v="24"/>
    <n v="1"/>
    <x v="23"/>
    <s v="Linhares"/>
    <x v="136"/>
    <m/>
    <n v="56"/>
    <n v="56"/>
    <x v="23"/>
    <m/>
    <m/>
    <m/>
    <m/>
  </r>
  <r>
    <x v="0"/>
    <d v="2014-06-03T00:00:00"/>
    <n v="6"/>
    <x v="24"/>
    <n v="0"/>
    <x v="23"/>
    <s v="Linhares"/>
    <x v="136"/>
    <n v="1"/>
    <n v="57"/>
    <n v="117"/>
    <x v="23"/>
    <m/>
    <m/>
    <m/>
    <m/>
  </r>
  <r>
    <x v="0"/>
    <d v="2014-06-04T00:00:00"/>
    <n v="6"/>
    <x v="24"/>
    <n v="1"/>
    <x v="23"/>
    <s v="Linhares"/>
    <x v="136"/>
    <m/>
    <n v="34"/>
    <n v="34"/>
    <x v="23"/>
    <m/>
    <m/>
    <m/>
    <m/>
  </r>
  <r>
    <x v="0"/>
    <d v="2014-06-04T00:00:00"/>
    <n v="6"/>
    <x v="24"/>
    <n v="0"/>
    <x v="23"/>
    <s v="Linhares"/>
    <x v="136"/>
    <n v="1"/>
    <n v="9"/>
    <n v="69"/>
    <x v="23"/>
    <m/>
    <m/>
    <m/>
    <m/>
  </r>
  <r>
    <x v="0"/>
    <d v="2014-06-05T00:00:00"/>
    <n v="6"/>
    <x v="24"/>
    <n v="1"/>
    <x v="23"/>
    <s v="Porte Espada"/>
    <x v="141"/>
    <m/>
    <n v="28"/>
    <n v="28"/>
    <x v="23"/>
    <m/>
    <m/>
    <m/>
    <m/>
  </r>
  <r>
    <x v="0"/>
    <d v="2014-06-08T00:00:00"/>
    <n v="6"/>
    <x v="24"/>
    <n v="1"/>
    <x v="25"/>
    <s v="Galfera"/>
    <x v="35"/>
    <n v="1"/>
    <n v="25"/>
    <n v="85"/>
    <x v="2"/>
    <s v="mit Andrea :)"/>
    <m/>
    <m/>
    <m/>
  </r>
  <r>
    <x v="0"/>
    <d v="2014-06-09T00:00:00"/>
    <n v="6"/>
    <x v="24"/>
    <n v="1"/>
    <x v="25"/>
    <s v="Heimat"/>
    <x v="35"/>
    <n v="1"/>
    <n v="37"/>
    <n v="97"/>
    <x v="2"/>
    <m/>
    <m/>
    <m/>
    <m/>
  </r>
  <r>
    <x v="0"/>
    <d v="2014-06-21T00:00:00"/>
    <n v="6"/>
    <x v="24"/>
    <n v="1"/>
    <x v="25"/>
    <s v="Heimat"/>
    <x v="19"/>
    <m/>
    <n v="52"/>
    <n v="52"/>
    <x v="2"/>
    <m/>
    <m/>
    <m/>
    <m/>
  </r>
  <r>
    <x v="0"/>
    <d v="2014-06-22T00:00:00"/>
    <n v="6"/>
    <x v="24"/>
    <n v="1"/>
    <x v="25"/>
    <s v="Heimat"/>
    <x v="63"/>
    <m/>
    <n v="46"/>
    <n v="46"/>
    <x v="2"/>
    <m/>
    <m/>
    <m/>
    <m/>
  </r>
  <r>
    <x v="0"/>
    <d v="2014-07-16T00:00:00"/>
    <n v="7"/>
    <x v="24"/>
    <n v="1"/>
    <x v="25"/>
    <s v="Galfera"/>
    <x v="19"/>
    <n v="1"/>
    <n v="20"/>
    <n v="80"/>
    <x v="2"/>
    <m/>
    <m/>
    <m/>
    <m/>
  </r>
  <r>
    <x v="0"/>
    <d v="2014-07-18T00:00:00"/>
    <n v="7"/>
    <x v="24"/>
    <n v="1"/>
    <x v="25"/>
    <s v="Heimat"/>
    <x v="19"/>
    <n v="1"/>
    <n v="6"/>
    <n v="66"/>
    <x v="2"/>
    <m/>
    <m/>
    <m/>
    <m/>
  </r>
  <r>
    <x v="0"/>
    <d v="2014-07-19T00:00:00"/>
    <n v="7"/>
    <x v="24"/>
    <n v="1"/>
    <x v="25"/>
    <s v="Galfera"/>
    <x v="19"/>
    <m/>
    <n v="44"/>
    <n v="44"/>
    <x v="2"/>
    <m/>
    <m/>
    <m/>
    <m/>
  </r>
  <r>
    <x v="0"/>
    <d v="2014-08-01T00:00:00"/>
    <n v="8"/>
    <x v="24"/>
    <n v="1"/>
    <x v="25"/>
    <s v="Chalet Ü50"/>
    <x v="19"/>
    <m/>
    <n v="30"/>
    <n v="30"/>
    <x v="2"/>
    <m/>
    <m/>
    <m/>
    <m/>
  </r>
  <r>
    <x v="0"/>
    <d v="2014-08-08T00:00:00"/>
    <n v="8"/>
    <x v="24"/>
    <n v="1"/>
    <x v="25"/>
    <s v="Heimat"/>
    <x v="19"/>
    <m/>
    <n v="43"/>
    <n v="43"/>
    <x v="2"/>
    <m/>
    <m/>
    <m/>
    <m/>
  </r>
  <r>
    <x v="0"/>
    <d v="2014-08-09T00:00:00"/>
    <n v="8"/>
    <x v="24"/>
    <n v="1"/>
    <x v="24"/>
    <s v="Muti"/>
    <x v="19"/>
    <m/>
    <n v="15"/>
    <n v="15"/>
    <x v="2"/>
    <m/>
    <m/>
    <m/>
    <m/>
  </r>
  <r>
    <x v="0"/>
    <d v="2014-08-21T00:00:00"/>
    <n v="8"/>
    <x v="24"/>
    <n v="1"/>
    <x v="25"/>
    <s v="Heimat"/>
    <x v="63"/>
    <m/>
    <n v="29"/>
    <n v="29"/>
    <x v="2"/>
    <m/>
    <m/>
    <m/>
    <m/>
  </r>
  <r>
    <x v="0"/>
    <d v="2014-08-30T00:00:00"/>
    <n v="8"/>
    <x v="24"/>
    <n v="1"/>
    <x v="25"/>
    <s v="Muti"/>
    <x v="19"/>
    <m/>
    <n v="24"/>
    <n v="24"/>
    <x v="2"/>
    <m/>
    <m/>
    <m/>
    <m/>
  </r>
  <r>
    <x v="0"/>
    <d v="2014-09-06T00:00:00"/>
    <n v="9"/>
    <x v="24"/>
    <n v="1"/>
    <x v="25"/>
    <s v="Motta Naluns"/>
    <x v="92"/>
    <m/>
    <n v="19"/>
    <n v="19"/>
    <x v="13"/>
    <s v="Philipp+Patrizia, Stefan+Jeaninne, Hansi+Mariette, Nico, Hans, Nicolle, Hübi, Andrea"/>
    <m/>
    <m/>
    <m/>
  </r>
  <r>
    <x v="0"/>
    <d v="2014-09-07T00:00:00"/>
    <n v="9"/>
    <x v="24"/>
    <n v="1"/>
    <x v="25"/>
    <s v="Watles Prämajur"/>
    <x v="142"/>
    <m/>
    <n v="33"/>
    <n v="33"/>
    <x v="13"/>
    <m/>
    <m/>
    <m/>
    <m/>
  </r>
  <r>
    <x v="0"/>
    <d v="2014-09-07T00:00:00"/>
    <n v="9"/>
    <x v="24"/>
    <n v="0"/>
    <x v="25"/>
    <s v="Watles Hotel"/>
    <x v="142"/>
    <m/>
    <n v="23"/>
    <n v="23"/>
    <x v="13"/>
    <m/>
    <m/>
    <m/>
    <m/>
  </r>
  <r>
    <x v="0"/>
    <d v="2014-09-07T00:00:00"/>
    <n v="9"/>
    <x v="24"/>
    <n v="0"/>
    <x v="25"/>
    <s v="Watles Hotel"/>
    <x v="142"/>
    <m/>
    <n v="16"/>
    <n v="16"/>
    <x v="13"/>
    <m/>
    <m/>
    <m/>
    <m/>
  </r>
  <r>
    <x v="0"/>
    <d v="2014-09-08T00:00:00"/>
    <n v="9"/>
    <x v="24"/>
    <n v="1"/>
    <x v="25"/>
    <s v="Rodella"/>
    <x v="60"/>
    <n v="1"/>
    <n v="37"/>
    <n v="97"/>
    <x v="13"/>
    <m/>
    <m/>
    <m/>
    <m/>
  </r>
  <r>
    <x v="0"/>
    <d v="2014-09-08T00:00:00"/>
    <n v="9"/>
    <x v="24"/>
    <n v="0"/>
    <x v="25"/>
    <s v="Rosengarten"/>
    <x v="143"/>
    <m/>
    <n v="24"/>
    <n v="24"/>
    <x v="13"/>
    <m/>
    <m/>
    <m/>
    <m/>
  </r>
  <r>
    <x v="0"/>
    <d v="2014-09-09T00:00:00"/>
    <n v="9"/>
    <x v="24"/>
    <n v="1"/>
    <x v="25"/>
    <s v="Rodella"/>
    <x v="60"/>
    <m/>
    <n v="48"/>
    <n v="48"/>
    <x v="13"/>
    <m/>
    <m/>
    <m/>
    <m/>
  </r>
  <r>
    <x v="0"/>
    <d v="2014-09-10T00:00:00"/>
    <n v="9"/>
    <x v="24"/>
    <n v="1"/>
    <x v="25"/>
    <s v="Rodella"/>
    <x v="60"/>
    <n v="1"/>
    <n v="8"/>
    <n v="68"/>
    <x v="13"/>
    <m/>
    <m/>
    <m/>
    <m/>
  </r>
  <r>
    <x v="0"/>
    <d v="2014-09-11T00:00:00"/>
    <n v="9"/>
    <x v="24"/>
    <n v="1"/>
    <x v="25"/>
    <s v="Rodella"/>
    <x v="60"/>
    <m/>
    <n v="20"/>
    <n v="20"/>
    <x v="13"/>
    <m/>
    <m/>
    <m/>
    <m/>
  </r>
  <r>
    <x v="0"/>
    <d v="2014-09-14T00:00:00"/>
    <n v="9"/>
    <x v="24"/>
    <n v="1"/>
    <x v="25"/>
    <s v="Heimat"/>
    <x v="19"/>
    <n v="1"/>
    <m/>
    <n v="60"/>
    <x v="2"/>
    <m/>
    <m/>
    <m/>
    <m/>
  </r>
  <r>
    <x v="0"/>
    <d v="2014-09-26T00:00:00"/>
    <n v="9"/>
    <x v="24"/>
    <n v="1"/>
    <x v="25"/>
    <s v="Heimat"/>
    <x v="63"/>
    <m/>
    <n v="20"/>
    <n v="20"/>
    <x v="2"/>
    <m/>
    <m/>
    <m/>
    <m/>
  </r>
  <r>
    <x v="0"/>
    <d v="2014-09-27T00:00:00"/>
    <n v="9"/>
    <x v="24"/>
    <n v="1"/>
    <x v="25"/>
    <s v="Galfera"/>
    <x v="19"/>
    <n v="3"/>
    <m/>
    <n v="180"/>
    <x v="2"/>
    <s v="Sidelhorn"/>
    <m/>
    <m/>
    <m/>
  </r>
  <r>
    <x v="0"/>
    <d v="2014-10-03T00:00:00"/>
    <n v="10"/>
    <x v="24"/>
    <n v="1"/>
    <x v="25"/>
    <s v="Heimat"/>
    <x v="35"/>
    <n v="1"/>
    <n v="26"/>
    <n v="86"/>
    <x v="2"/>
    <m/>
    <m/>
    <m/>
    <m/>
  </r>
  <r>
    <x v="0"/>
    <d v="2014-10-04T00:00:00"/>
    <n v="10"/>
    <x v="24"/>
    <n v="1"/>
    <x v="25"/>
    <s v="Heimat"/>
    <x v="35"/>
    <n v="1"/>
    <n v="8"/>
    <n v="68"/>
    <x v="2"/>
    <s v="mit Ernesto"/>
    <m/>
    <m/>
    <m/>
  </r>
  <r>
    <x v="1"/>
    <d v="2014-10-18T00:00:00"/>
    <n v="10"/>
    <x v="24"/>
    <n v="1"/>
    <x v="25"/>
    <s v="Galfera"/>
    <x v="19"/>
    <m/>
    <n v="32"/>
    <n v="32"/>
    <x v="17"/>
    <m/>
    <m/>
    <m/>
    <m/>
  </r>
  <r>
    <x v="1"/>
    <d v="2014-10-18T00:00:00"/>
    <n v="10"/>
    <x v="24"/>
    <n v="0"/>
    <x v="25"/>
    <s v="Salzgäb"/>
    <x v="144"/>
    <m/>
    <n v="17"/>
    <n v="17"/>
    <x v="17"/>
    <s v="dann hochgelaufen"/>
    <m/>
    <m/>
    <m/>
  </r>
  <r>
    <x v="1"/>
    <d v="2014-10-18T00:00:00"/>
    <n v="10"/>
    <x v="24"/>
    <n v="0"/>
    <x v="25"/>
    <s v="Ernergale"/>
    <x v="19"/>
    <m/>
    <n v="36"/>
    <n v="36"/>
    <x v="17"/>
    <m/>
    <m/>
    <m/>
    <m/>
  </r>
  <r>
    <x v="1"/>
    <d v="2014-10-19T00:00:00"/>
    <n v="10"/>
    <x v="24"/>
    <n v="1"/>
    <x v="25"/>
    <s v="Salzgäb"/>
    <x v="19"/>
    <m/>
    <n v="38"/>
    <n v="38"/>
    <x v="17"/>
    <m/>
    <m/>
    <m/>
    <m/>
  </r>
  <r>
    <x v="0"/>
    <d v="2014-10-26T00:00:00"/>
    <n v="10"/>
    <x v="24"/>
    <n v="1"/>
    <x v="23"/>
    <s v="Babadag"/>
    <x v="145"/>
    <m/>
    <n v="50"/>
    <n v="50"/>
    <x v="24"/>
    <m/>
    <m/>
    <m/>
    <m/>
  </r>
  <r>
    <x v="0"/>
    <d v="2014-10-27T00:00:00"/>
    <n v="10"/>
    <x v="24"/>
    <n v="1"/>
    <x v="23"/>
    <s v="Babadag"/>
    <x v="145"/>
    <m/>
    <n v="23"/>
    <n v="23"/>
    <x v="24"/>
    <m/>
    <m/>
    <m/>
    <m/>
  </r>
  <r>
    <x v="0"/>
    <d v="2014-10-27T00:00:00"/>
    <n v="10"/>
    <x v="24"/>
    <n v="0"/>
    <x v="23"/>
    <s v="Babadag"/>
    <x v="145"/>
    <n v="1"/>
    <n v="43"/>
    <n v="103"/>
    <x v="24"/>
    <m/>
    <m/>
    <m/>
    <m/>
  </r>
  <r>
    <x v="0"/>
    <d v="2014-10-28T00:00:00"/>
    <n v="10"/>
    <x v="24"/>
    <n v="1"/>
    <x v="23"/>
    <s v="Babadag"/>
    <x v="145"/>
    <m/>
    <n v="35"/>
    <n v="35"/>
    <x v="24"/>
    <m/>
    <m/>
    <m/>
    <m/>
  </r>
  <r>
    <x v="0"/>
    <d v="2014-10-28T00:00:00"/>
    <n v="10"/>
    <x v="24"/>
    <n v="0"/>
    <x v="23"/>
    <s v="Babadag"/>
    <x v="145"/>
    <m/>
    <n v="24"/>
    <n v="24"/>
    <x v="24"/>
    <m/>
    <m/>
    <m/>
    <m/>
  </r>
  <r>
    <x v="0"/>
    <d v="2014-10-29T00:00:00"/>
    <n v="10"/>
    <x v="24"/>
    <n v="1"/>
    <x v="23"/>
    <s v="Babadag"/>
    <x v="145"/>
    <m/>
    <n v="24"/>
    <n v="24"/>
    <x v="24"/>
    <m/>
    <m/>
    <m/>
    <m/>
  </r>
  <r>
    <x v="0"/>
    <d v="2014-10-29T00:00:00"/>
    <n v="10"/>
    <x v="24"/>
    <n v="0"/>
    <x v="23"/>
    <s v="Babadag"/>
    <x v="145"/>
    <m/>
    <n v="14"/>
    <n v="14"/>
    <x v="24"/>
    <m/>
    <m/>
    <m/>
    <m/>
  </r>
  <r>
    <x v="0"/>
    <d v="2014-10-30T00:00:00"/>
    <n v="10"/>
    <x v="24"/>
    <n v="1"/>
    <x v="23"/>
    <s v="Babadag"/>
    <x v="145"/>
    <m/>
    <n v="22"/>
    <n v="22"/>
    <x v="24"/>
    <m/>
    <m/>
    <m/>
    <m/>
  </r>
  <r>
    <x v="0"/>
    <d v="2014-10-30T00:00:00"/>
    <n v="10"/>
    <x v="24"/>
    <n v="0"/>
    <x v="23"/>
    <s v="Babadag"/>
    <x v="145"/>
    <m/>
    <n v="35"/>
    <n v="35"/>
    <x v="24"/>
    <m/>
    <m/>
    <m/>
    <m/>
  </r>
  <r>
    <x v="0"/>
    <d v="2014-10-30T00:00:00"/>
    <n v="10"/>
    <x v="24"/>
    <n v="0"/>
    <x v="23"/>
    <s v="Babadag"/>
    <x v="145"/>
    <m/>
    <n v="45"/>
    <n v="45"/>
    <x v="24"/>
    <m/>
    <m/>
    <m/>
    <m/>
  </r>
  <r>
    <x v="0"/>
    <d v="2014-10-31T00:00:00"/>
    <n v="10"/>
    <x v="24"/>
    <n v="1"/>
    <x v="23"/>
    <s v="Babadag"/>
    <x v="146"/>
    <m/>
    <n v="51"/>
    <n v="51"/>
    <x v="24"/>
    <m/>
    <m/>
    <m/>
    <m/>
  </r>
  <r>
    <x v="0"/>
    <d v="2014-11-01T00:00:00"/>
    <n v="11"/>
    <x v="24"/>
    <n v="1"/>
    <x v="23"/>
    <s v="Babadag"/>
    <x v="145"/>
    <n v="1"/>
    <n v="17"/>
    <n v="77"/>
    <x v="24"/>
    <m/>
    <m/>
    <m/>
    <m/>
  </r>
  <r>
    <x v="0"/>
    <d v="2014-11-01T00:00:00"/>
    <n v="11"/>
    <x v="24"/>
    <n v="0"/>
    <x v="23"/>
    <s v="Babadag"/>
    <x v="145"/>
    <n v="2"/>
    <n v="14"/>
    <n v="134"/>
    <x v="24"/>
    <m/>
    <m/>
    <m/>
    <m/>
  </r>
  <r>
    <x v="0"/>
    <d v="2014-11-02T00:00:00"/>
    <n v="11"/>
    <x v="24"/>
    <n v="1"/>
    <x v="23"/>
    <s v="Babadag"/>
    <x v="145"/>
    <n v="1"/>
    <n v="15"/>
    <n v="75"/>
    <x v="24"/>
    <m/>
    <m/>
    <m/>
    <m/>
  </r>
  <r>
    <x v="0"/>
    <d v="2014-11-02T00:00:00"/>
    <n v="11"/>
    <x v="24"/>
    <n v="0"/>
    <x v="23"/>
    <s v="Babadag"/>
    <x v="145"/>
    <n v="1"/>
    <n v="20"/>
    <n v="80"/>
    <x v="24"/>
    <m/>
    <m/>
    <m/>
    <m/>
  </r>
  <r>
    <x v="0"/>
    <d v="2014-11-08T00:00:00"/>
    <n v="11"/>
    <x v="24"/>
    <n v="1"/>
    <x v="25"/>
    <s v="Engersch/Jeizinen"/>
    <x v="103"/>
    <m/>
    <n v="18"/>
    <n v="18"/>
    <x v="2"/>
    <m/>
    <m/>
    <m/>
    <m/>
  </r>
  <r>
    <x v="0"/>
    <d v="2014-11-08T00:00:00"/>
    <n v="11"/>
    <x v="24"/>
    <n v="0"/>
    <x v="25"/>
    <s v="Vercorin"/>
    <x v="147"/>
    <m/>
    <n v="11"/>
    <n v="11"/>
    <x v="2"/>
    <m/>
    <m/>
    <m/>
    <m/>
  </r>
  <r>
    <x v="0"/>
    <d v="2014-11-21T00:00:00"/>
    <n v="11"/>
    <x v="24"/>
    <n v="1"/>
    <x v="25"/>
    <s v="Heimat"/>
    <x v="63"/>
    <m/>
    <n v="17"/>
    <n v="17"/>
    <x v="25"/>
    <m/>
    <m/>
    <m/>
    <m/>
  </r>
  <r>
    <x v="0"/>
    <d v="2015-03-10T00:00:00"/>
    <n v="3"/>
    <x v="25"/>
    <n v="1"/>
    <x v="25"/>
    <s v="Steibenkreuz"/>
    <x v="63"/>
    <m/>
    <n v="32"/>
    <n v="32"/>
    <x v="2"/>
    <m/>
    <m/>
    <m/>
    <m/>
  </r>
  <r>
    <x v="0"/>
    <d v="2015-03-13T00:00:00"/>
    <n v="3"/>
    <x v="25"/>
    <n v="1"/>
    <x v="25"/>
    <s v="Steibenkreuz"/>
    <x v="148"/>
    <m/>
    <n v="43"/>
    <n v="43"/>
    <x v="2"/>
    <m/>
    <m/>
    <m/>
    <m/>
  </r>
  <r>
    <x v="0"/>
    <d v="2015-04-10T00:00:00"/>
    <n v="4"/>
    <x v="25"/>
    <n v="1"/>
    <x v="25"/>
    <s v="Heimat"/>
    <x v="59"/>
    <m/>
    <n v="9"/>
    <n v="9"/>
    <x v="2"/>
    <s v="Andrea Toplandung"/>
    <m/>
    <m/>
    <m/>
  </r>
  <r>
    <x v="0"/>
    <d v="2015-04-12T00:00:00"/>
    <n v="4"/>
    <x v="25"/>
    <n v="1"/>
    <x v="25"/>
    <s v="Heimat"/>
    <x v="19"/>
    <n v="1"/>
    <n v="18"/>
    <n v="78"/>
    <x v="2"/>
    <m/>
    <m/>
    <m/>
    <m/>
  </r>
  <r>
    <x v="0"/>
    <d v="2015-04-24T00:00:00"/>
    <n v="4"/>
    <x v="25"/>
    <n v="1"/>
    <x v="25"/>
    <s v="Heimat"/>
    <x v="63"/>
    <m/>
    <n v="36"/>
    <n v="36"/>
    <x v="2"/>
    <m/>
    <m/>
    <m/>
    <m/>
  </r>
  <r>
    <x v="0"/>
    <d v="2015-05-16T00:00:00"/>
    <n v="5"/>
    <x v="25"/>
    <n v="1"/>
    <x v="25"/>
    <s v="Heimat"/>
    <x v="19"/>
    <m/>
    <n v="11"/>
    <n v="11"/>
    <x v="2"/>
    <m/>
    <m/>
    <m/>
    <m/>
  </r>
  <r>
    <x v="0"/>
    <d v="2015-05-16T00:00:00"/>
    <n v="5"/>
    <x v="25"/>
    <n v="0"/>
    <x v="25"/>
    <s v="Mutti"/>
    <x v="19"/>
    <m/>
    <n v="26"/>
    <n v="26"/>
    <x v="2"/>
    <m/>
    <m/>
    <m/>
    <m/>
  </r>
  <r>
    <x v="0"/>
    <d v="2015-05-17T00:00:00"/>
    <n v="5"/>
    <x v="25"/>
    <n v="1"/>
    <x v="25"/>
    <s v="Mutti"/>
    <x v="19"/>
    <m/>
    <n v="55"/>
    <n v="55"/>
    <x v="2"/>
    <m/>
    <m/>
    <m/>
    <m/>
  </r>
  <r>
    <x v="0"/>
    <d v="2015-05-23T00:00:00"/>
    <n v="5"/>
    <x v="25"/>
    <n v="1"/>
    <x v="25"/>
    <s v="Mte Alegra E"/>
    <x v="139"/>
    <m/>
    <n v="21"/>
    <n v="21"/>
    <x v="23"/>
    <s v="Michael, Vreni, Federico, Albert, Ernesto, Andrea"/>
    <m/>
    <m/>
    <m/>
  </r>
  <r>
    <x v="0"/>
    <d v="2015-05-23T00:00:00"/>
    <n v="5"/>
    <x v="25"/>
    <n v="0"/>
    <x v="25"/>
    <s v="Mte Alegra N"/>
    <x v="149"/>
    <m/>
    <n v="53"/>
    <n v="53"/>
    <x v="23"/>
    <m/>
    <m/>
    <m/>
    <m/>
  </r>
  <r>
    <x v="0"/>
    <d v="2015-05-24T00:00:00"/>
    <n v="5"/>
    <x v="25"/>
    <n v="1"/>
    <x v="25"/>
    <s v="Mte Alegra N"/>
    <x v="138"/>
    <m/>
    <n v="28"/>
    <n v="28"/>
    <x v="23"/>
    <m/>
    <m/>
    <m/>
    <m/>
  </r>
  <r>
    <x v="0"/>
    <d v="2015-05-25T00:00:00"/>
    <n v="5"/>
    <x v="25"/>
    <n v="1"/>
    <x v="25"/>
    <s v="Mte Alegra E"/>
    <x v="140"/>
    <n v="1"/>
    <n v="58"/>
    <n v="118"/>
    <x v="23"/>
    <m/>
    <m/>
    <m/>
    <m/>
  </r>
  <r>
    <x v="0"/>
    <d v="2015-05-26T00:00:00"/>
    <n v="5"/>
    <x v="25"/>
    <n v="1"/>
    <x v="25"/>
    <s v="Mte Alegra E"/>
    <x v="139"/>
    <m/>
    <n v="11"/>
    <n v="11"/>
    <x v="23"/>
    <m/>
    <m/>
    <m/>
    <m/>
  </r>
  <r>
    <x v="0"/>
    <d v="2015-05-26T00:00:00"/>
    <n v="5"/>
    <x v="25"/>
    <n v="0"/>
    <x v="25"/>
    <s v="Mte Alegra N"/>
    <x v="150"/>
    <m/>
    <n v="42"/>
    <n v="42"/>
    <x v="23"/>
    <s v="Bier mit Ernesto und Ueli"/>
    <m/>
    <m/>
    <m/>
  </r>
  <r>
    <x v="0"/>
    <d v="2015-05-28T00:00:00"/>
    <n v="5"/>
    <x v="25"/>
    <n v="1"/>
    <x v="25"/>
    <s v="Vale Amoreira"/>
    <x v="151"/>
    <n v="3"/>
    <n v="12"/>
    <n v="192"/>
    <x v="23"/>
    <s v="Albert und Ernesto zum Hotel"/>
    <m/>
    <m/>
    <m/>
  </r>
  <r>
    <x v="0"/>
    <d v="2015-05-29T00:00:00"/>
    <n v="5"/>
    <x v="25"/>
    <n v="1"/>
    <x v="25"/>
    <s v="Vale Amoreira"/>
    <x v="151"/>
    <n v="2"/>
    <n v="10"/>
    <n v="130"/>
    <x v="23"/>
    <s v="Ernesto zum Hotel"/>
    <m/>
    <m/>
    <m/>
  </r>
  <r>
    <x v="0"/>
    <d v="2015-05-30T00:00:00"/>
    <n v="5"/>
    <x v="25"/>
    <n v="1"/>
    <x v="25"/>
    <s v="Linhares"/>
    <x v="136"/>
    <n v="1"/>
    <n v="25"/>
    <n v="85"/>
    <x v="23"/>
    <m/>
    <m/>
    <m/>
    <m/>
  </r>
  <r>
    <x v="0"/>
    <d v="2015-05-30T00:00:00"/>
    <n v="5"/>
    <x v="25"/>
    <n v="0"/>
    <x v="25"/>
    <s v="Linhares"/>
    <x v="136"/>
    <m/>
    <n v="38"/>
    <n v="38"/>
    <x v="23"/>
    <m/>
    <m/>
    <m/>
    <m/>
  </r>
  <r>
    <x v="0"/>
    <d v="2015-05-31T00:00:00"/>
    <n v="5"/>
    <x v="25"/>
    <n v="1"/>
    <x v="25"/>
    <s v="Linhares"/>
    <x v="136"/>
    <m/>
    <n v="15"/>
    <n v="15"/>
    <x v="26"/>
    <s v="Michael, Vreni, Federico, Ernesto"/>
    <m/>
    <m/>
    <m/>
  </r>
  <r>
    <x v="0"/>
    <d v="2015-05-31T00:00:00"/>
    <n v="5"/>
    <x v="25"/>
    <n v="0"/>
    <x v="25"/>
    <s v="Linhares"/>
    <x v="136"/>
    <n v="1"/>
    <n v="1"/>
    <n v="61"/>
    <x v="26"/>
    <m/>
    <m/>
    <m/>
    <m/>
  </r>
  <r>
    <x v="0"/>
    <d v="2015-05-31T00:00:00"/>
    <n v="5"/>
    <x v="25"/>
    <n v="0"/>
    <x v="25"/>
    <s v="Linhares"/>
    <x v="136"/>
    <n v="1"/>
    <n v="10"/>
    <n v="70"/>
    <x v="26"/>
    <m/>
    <m/>
    <m/>
    <m/>
  </r>
  <r>
    <x v="0"/>
    <d v="2015-06-01T00:00:00"/>
    <n v="6"/>
    <x v="25"/>
    <n v="1"/>
    <x v="25"/>
    <s v="Linhares"/>
    <x v="136"/>
    <n v="1"/>
    <n v="14"/>
    <n v="74"/>
    <x v="26"/>
    <m/>
    <m/>
    <m/>
    <m/>
  </r>
  <r>
    <x v="0"/>
    <d v="2015-06-01T00:00:00"/>
    <n v="6"/>
    <x v="25"/>
    <n v="0"/>
    <x v="25"/>
    <s v="Linhares"/>
    <x v="136"/>
    <m/>
    <n v="49"/>
    <n v="49"/>
    <x v="26"/>
    <m/>
    <m/>
    <m/>
    <m/>
  </r>
  <r>
    <x v="0"/>
    <d v="2015-06-02T00:00:00"/>
    <n v="6"/>
    <x v="25"/>
    <n v="1"/>
    <x v="25"/>
    <s v="Azinha"/>
    <x v="152"/>
    <m/>
    <n v="41"/>
    <n v="41"/>
    <x v="26"/>
    <m/>
    <m/>
    <m/>
    <m/>
  </r>
  <r>
    <x v="0"/>
    <d v="2015-06-02T00:00:00"/>
    <n v="6"/>
    <x v="25"/>
    <n v="0"/>
    <x v="25"/>
    <s v="Linhares"/>
    <x v="137"/>
    <m/>
    <n v="54"/>
    <n v="54"/>
    <x v="26"/>
    <m/>
    <m/>
    <m/>
    <m/>
  </r>
  <r>
    <x v="0"/>
    <d v="2015-06-11T00:00:00"/>
    <n v="6"/>
    <x v="25"/>
    <n v="1"/>
    <x v="25"/>
    <s v="Heimat"/>
    <x v="63"/>
    <m/>
    <n v="12"/>
    <n v="12"/>
    <x v="2"/>
    <m/>
    <m/>
    <m/>
    <m/>
  </r>
  <r>
    <x v="0"/>
    <d v="2015-06-24T00:00:00"/>
    <n v="6"/>
    <x v="25"/>
    <n v="1"/>
    <x v="25"/>
    <s v="Heimat"/>
    <x v="35"/>
    <n v="1"/>
    <n v="21"/>
    <n v="81"/>
    <x v="2"/>
    <m/>
    <m/>
    <m/>
    <m/>
  </r>
  <r>
    <x v="0"/>
    <d v="2015-06-26T00:00:00"/>
    <n v="6"/>
    <x v="25"/>
    <n v="1"/>
    <x v="25"/>
    <s v="Heimat"/>
    <x v="35"/>
    <n v="1"/>
    <n v="23"/>
    <n v="83"/>
    <x v="2"/>
    <s v="mit Andrea:)"/>
    <m/>
    <m/>
    <m/>
  </r>
  <r>
    <x v="0"/>
    <d v="2015-06-28T00:00:00"/>
    <n v="6"/>
    <x v="25"/>
    <n v="1"/>
    <x v="25"/>
    <s v="Heimat"/>
    <x v="19"/>
    <n v="1"/>
    <n v="56"/>
    <n v="116"/>
    <x v="2"/>
    <m/>
    <m/>
    <m/>
    <m/>
  </r>
  <r>
    <x v="0"/>
    <d v="2015-06-29T00:00:00"/>
    <n v="6"/>
    <x v="25"/>
    <n v="1"/>
    <x v="25"/>
    <s v="Heimat"/>
    <x v="63"/>
    <m/>
    <n v="51"/>
    <n v="51"/>
    <x v="2"/>
    <m/>
    <m/>
    <m/>
    <m/>
  </r>
  <r>
    <x v="0"/>
    <d v="2015-06-30T00:00:00"/>
    <n v="6"/>
    <x v="25"/>
    <n v="1"/>
    <x v="25"/>
    <s v="Heimat"/>
    <x v="63"/>
    <n v="2"/>
    <n v="25"/>
    <n v="145"/>
    <x v="2"/>
    <m/>
    <m/>
    <m/>
    <m/>
  </r>
  <r>
    <x v="0"/>
    <d v="2015-07-03T00:00:00"/>
    <n v="7"/>
    <x v="25"/>
    <n v="1"/>
    <x v="25"/>
    <s v="Grand Bornand"/>
    <x v="153"/>
    <n v="1"/>
    <n v="33"/>
    <n v="93"/>
    <x v="2"/>
    <s v="Christa, Annemarie, Ernesto, Albert, Andrea"/>
    <m/>
    <m/>
    <m/>
  </r>
  <r>
    <x v="0"/>
    <d v="2015-07-04T00:00:00"/>
    <n v="7"/>
    <x v="25"/>
    <n v="1"/>
    <x v="25"/>
    <s v="Grand Bornand"/>
    <x v="153"/>
    <m/>
    <n v="33"/>
    <n v="33"/>
    <x v="2"/>
    <m/>
    <m/>
    <m/>
    <m/>
  </r>
  <r>
    <x v="0"/>
    <d v="2015-07-04T00:00:00"/>
    <n v="7"/>
    <x v="25"/>
    <n v="0"/>
    <x v="25"/>
    <s v="Grand Bornand"/>
    <x v="153"/>
    <m/>
    <n v="28"/>
    <n v="28"/>
    <x v="2"/>
    <m/>
    <m/>
    <m/>
    <m/>
  </r>
  <r>
    <x v="0"/>
    <d v="2015-07-05T00:00:00"/>
    <n v="7"/>
    <x v="25"/>
    <n v="1"/>
    <x v="25"/>
    <s v="Grand Bornand"/>
    <x v="153"/>
    <m/>
    <n v="29"/>
    <n v="29"/>
    <x v="2"/>
    <m/>
    <m/>
    <m/>
    <m/>
  </r>
  <r>
    <x v="0"/>
    <d v="2015-07-11T00:00:00"/>
    <n v="7"/>
    <x v="25"/>
    <n v="1"/>
    <x v="25"/>
    <s v="Heimat"/>
    <x v="35"/>
    <m/>
    <n v="57"/>
    <n v="57"/>
    <x v="2"/>
    <m/>
    <m/>
    <m/>
    <m/>
  </r>
  <r>
    <x v="0"/>
    <d v="2015-07-18T00:00:00"/>
    <n v="7"/>
    <x v="25"/>
    <n v="1"/>
    <x v="25"/>
    <s v="Heimat"/>
    <x v="19"/>
    <m/>
    <n v="12"/>
    <n v="12"/>
    <x v="2"/>
    <s v="mit Karin"/>
    <m/>
    <m/>
    <m/>
  </r>
  <r>
    <x v="0"/>
    <d v="2015-07-20T00:00:00"/>
    <n v="7"/>
    <x v="25"/>
    <n v="1"/>
    <x v="25"/>
    <s v="Heimat"/>
    <x v="35"/>
    <n v="1"/>
    <n v="22"/>
    <n v="82"/>
    <x v="2"/>
    <m/>
    <m/>
    <m/>
    <m/>
  </r>
  <r>
    <x v="0"/>
    <d v="2015-07-21T00:00:00"/>
    <n v="7"/>
    <x v="25"/>
    <n v="1"/>
    <x v="25"/>
    <s v="Galfera"/>
    <x v="63"/>
    <n v="2"/>
    <n v="20"/>
    <n v="140"/>
    <x v="2"/>
    <m/>
    <m/>
    <m/>
    <m/>
  </r>
  <r>
    <x v="0"/>
    <d v="2015-07-31T00:00:00"/>
    <n v="7"/>
    <x v="25"/>
    <n v="1"/>
    <x v="25"/>
    <s v="Heimat"/>
    <x v="35"/>
    <m/>
    <n v="54"/>
    <n v="54"/>
    <x v="2"/>
    <m/>
    <m/>
    <m/>
    <m/>
  </r>
  <r>
    <x v="0"/>
    <d v="2015-08-03T00:00:00"/>
    <n v="8"/>
    <x v="25"/>
    <n v="1"/>
    <x v="25"/>
    <s v="Rufi"/>
    <x v="154"/>
    <m/>
    <n v="34"/>
    <n v="34"/>
    <x v="2"/>
    <m/>
    <m/>
    <m/>
    <m/>
  </r>
  <r>
    <x v="0"/>
    <d v="2015-08-08T00:00:00"/>
    <n v="8"/>
    <x v="25"/>
    <n v="1"/>
    <x v="25"/>
    <s v="First"/>
    <x v="5"/>
    <n v="1"/>
    <n v="1"/>
    <n v="61"/>
    <x v="2"/>
    <m/>
    <m/>
    <m/>
    <m/>
  </r>
  <r>
    <x v="0"/>
    <d v="2015-08-21T00:00:00"/>
    <n v="8"/>
    <x v="25"/>
    <n v="1"/>
    <x v="25"/>
    <s v="Galfera"/>
    <x v="35"/>
    <n v="1"/>
    <n v="32"/>
    <n v="92"/>
    <x v="2"/>
    <m/>
    <m/>
    <m/>
    <m/>
  </r>
  <r>
    <x v="0"/>
    <d v="2015-08-22T00:00:00"/>
    <n v="8"/>
    <x v="25"/>
    <n v="1"/>
    <x v="25"/>
    <s v="Galfera"/>
    <x v="19"/>
    <n v="1"/>
    <n v="59"/>
    <n v="119"/>
    <x v="2"/>
    <m/>
    <m/>
    <m/>
    <m/>
  </r>
  <r>
    <x v="0"/>
    <d v="2015-08-28T00:00:00"/>
    <n v="8"/>
    <x v="25"/>
    <n v="1"/>
    <x v="25"/>
    <s v="Kühboden"/>
    <x v="19"/>
    <m/>
    <n v="41"/>
    <n v="41"/>
    <x v="2"/>
    <m/>
    <m/>
    <m/>
    <m/>
  </r>
  <r>
    <x v="0"/>
    <d v="2015-08-29T00:00:00"/>
    <n v="8"/>
    <x v="25"/>
    <n v="1"/>
    <x v="25"/>
    <s v="Galfera"/>
    <x v="19"/>
    <n v="2"/>
    <n v="22"/>
    <n v="142"/>
    <x v="2"/>
    <m/>
    <m/>
    <m/>
    <m/>
  </r>
  <r>
    <x v="0"/>
    <d v="2015-08-30T00:00:00"/>
    <n v="8"/>
    <x v="25"/>
    <n v="1"/>
    <x v="25"/>
    <s v="Meduno"/>
    <x v="155"/>
    <n v="1"/>
    <n v="30"/>
    <n v="90"/>
    <x v="27"/>
    <s v="Hansi, Mariette, Patrizia, Philipp, Martin, Tomi, Stafan, Claude, Nico, Pit, Ambros, Andrea"/>
    <m/>
    <m/>
    <m/>
  </r>
  <r>
    <x v="0"/>
    <d v="2015-08-31T00:00:00"/>
    <n v="8"/>
    <x v="25"/>
    <n v="1"/>
    <x v="25"/>
    <s v="Kobala"/>
    <x v="156"/>
    <n v="1"/>
    <n v="29"/>
    <n v="89"/>
    <x v="27"/>
    <m/>
    <m/>
    <m/>
    <m/>
  </r>
  <r>
    <x v="0"/>
    <d v="2015-08-31T00:00:00"/>
    <n v="8"/>
    <x v="25"/>
    <n v="0"/>
    <x v="25"/>
    <s v="Kobala"/>
    <x v="156"/>
    <n v="1"/>
    <n v="48"/>
    <n v="108"/>
    <x v="27"/>
    <m/>
    <m/>
    <m/>
    <m/>
  </r>
  <r>
    <x v="0"/>
    <d v="2015-09-01T00:00:00"/>
    <n v="9"/>
    <x v="25"/>
    <n v="1"/>
    <x v="25"/>
    <s v="Lijak"/>
    <x v="157"/>
    <n v="1"/>
    <n v="10"/>
    <n v="70"/>
    <x v="27"/>
    <m/>
    <m/>
    <m/>
    <m/>
  </r>
  <r>
    <x v="0"/>
    <d v="2015-09-01T00:00:00"/>
    <n v="9"/>
    <x v="25"/>
    <n v="0"/>
    <x v="25"/>
    <s v="Lijak"/>
    <x v="157"/>
    <n v="1"/>
    <n v="17"/>
    <n v="77"/>
    <x v="27"/>
    <m/>
    <m/>
    <m/>
    <m/>
  </r>
  <r>
    <x v="0"/>
    <d v="2015-09-02T00:00:00"/>
    <n v="9"/>
    <x v="25"/>
    <n v="1"/>
    <x v="25"/>
    <s v="Stol"/>
    <x v="158"/>
    <m/>
    <n v="38"/>
    <n v="38"/>
    <x v="27"/>
    <m/>
    <m/>
    <m/>
    <m/>
  </r>
  <r>
    <x v="0"/>
    <d v="2015-09-02T00:00:00"/>
    <n v="9"/>
    <x v="25"/>
    <n v="0"/>
    <x v="25"/>
    <s v="Kobala"/>
    <x v="156"/>
    <m/>
    <n v="12"/>
    <n v="12"/>
    <x v="27"/>
    <m/>
    <m/>
    <m/>
    <m/>
  </r>
  <r>
    <x v="0"/>
    <d v="2015-09-03T00:00:00"/>
    <n v="9"/>
    <x v="25"/>
    <n v="1"/>
    <x v="25"/>
    <s v="Lijak"/>
    <x v="157"/>
    <m/>
    <n v="50"/>
    <n v="50"/>
    <x v="27"/>
    <m/>
    <m/>
    <m/>
    <m/>
  </r>
  <r>
    <x v="0"/>
    <d v="2015-09-03T00:00:00"/>
    <n v="9"/>
    <x v="25"/>
    <n v="0"/>
    <x v="25"/>
    <s v="Lijak"/>
    <x v="157"/>
    <n v="1"/>
    <n v="25"/>
    <n v="85"/>
    <x v="27"/>
    <m/>
    <m/>
    <m/>
    <m/>
  </r>
  <r>
    <x v="0"/>
    <d v="2015-09-04T00:00:00"/>
    <n v="9"/>
    <x v="25"/>
    <n v="1"/>
    <x v="25"/>
    <s v="Kobala"/>
    <x v="156"/>
    <m/>
    <n v="12"/>
    <n v="12"/>
    <x v="27"/>
    <m/>
    <m/>
    <m/>
    <m/>
  </r>
  <r>
    <x v="0"/>
    <d v="2015-10-04T00:00:00"/>
    <n v="10"/>
    <x v="25"/>
    <n v="1"/>
    <x v="25"/>
    <s v="Aspres sur Buech"/>
    <x v="159"/>
    <n v="1"/>
    <n v="28"/>
    <n v="88"/>
    <x v="28"/>
    <s v="Bruno, Ueli, Ueli, Lucien, Christoph, Vreni, Tini, MarieTherese, Sebastian, Armin, Renato, Iris, Martin, …"/>
    <m/>
    <m/>
    <m/>
  </r>
  <r>
    <x v="0"/>
    <d v="2015-10-05T00:00:00"/>
    <n v="10"/>
    <x v="25"/>
    <n v="1"/>
    <x v="25"/>
    <s v="Chalves W"/>
    <x v="71"/>
    <m/>
    <n v="12"/>
    <n v="12"/>
    <x v="28"/>
    <m/>
    <m/>
    <m/>
    <m/>
  </r>
  <r>
    <x v="0"/>
    <d v="2015-10-05T00:00:00"/>
    <n v="10"/>
    <x v="25"/>
    <n v="0"/>
    <x v="25"/>
    <s v="Chalves W"/>
    <x v="71"/>
    <m/>
    <n v="14"/>
    <n v="14"/>
    <x v="28"/>
    <m/>
    <m/>
    <m/>
    <m/>
  </r>
  <r>
    <x v="0"/>
    <d v="2015-10-05T00:00:00"/>
    <n v="10"/>
    <x v="25"/>
    <n v="0"/>
    <x v="25"/>
    <s v="Chalves S"/>
    <x v="71"/>
    <m/>
    <n v="9"/>
    <n v="9"/>
    <x v="28"/>
    <m/>
    <m/>
    <m/>
    <m/>
  </r>
  <r>
    <x v="0"/>
    <d v="2015-10-06T00:00:00"/>
    <n v="10"/>
    <x v="25"/>
    <n v="1"/>
    <x v="25"/>
    <s v="Chalves S"/>
    <x v="71"/>
    <m/>
    <n v="14"/>
    <n v="14"/>
    <x v="28"/>
    <m/>
    <m/>
    <m/>
    <m/>
  </r>
  <r>
    <x v="0"/>
    <d v="2015-10-06T00:00:00"/>
    <n v="10"/>
    <x v="25"/>
    <n v="0"/>
    <x v="25"/>
    <s v="Chalves S"/>
    <x v="71"/>
    <m/>
    <n v="16"/>
    <n v="16"/>
    <x v="28"/>
    <m/>
    <m/>
    <m/>
    <m/>
  </r>
  <r>
    <x v="0"/>
    <d v="2015-10-06T00:00:00"/>
    <n v="10"/>
    <x v="25"/>
    <n v="0"/>
    <x v="25"/>
    <s v="Chalves S"/>
    <x v="71"/>
    <m/>
    <n v="11"/>
    <n v="11"/>
    <x v="28"/>
    <m/>
    <m/>
    <m/>
    <m/>
  </r>
  <r>
    <x v="0"/>
    <d v="2015-10-07T00:00:00"/>
    <n v="10"/>
    <x v="25"/>
    <n v="1"/>
    <x v="25"/>
    <s v="St Vincent Les Forts"/>
    <x v="160"/>
    <m/>
    <n v="54"/>
    <n v="54"/>
    <x v="28"/>
    <m/>
    <m/>
    <m/>
    <m/>
  </r>
  <r>
    <x v="0"/>
    <d v="2015-10-07T00:00:00"/>
    <n v="10"/>
    <x v="25"/>
    <n v="0"/>
    <x v="25"/>
    <s v="St Vincent Les Forts"/>
    <x v="160"/>
    <n v="1"/>
    <n v="35"/>
    <n v="95"/>
    <x v="28"/>
    <m/>
    <m/>
    <m/>
    <m/>
  </r>
  <r>
    <x v="0"/>
    <d v="2015-10-07T00:00:00"/>
    <n v="10"/>
    <x v="25"/>
    <n v="0"/>
    <x v="25"/>
    <s v="St Vincent Les Forts"/>
    <x v="160"/>
    <m/>
    <n v="53"/>
    <n v="53"/>
    <x v="28"/>
    <m/>
    <m/>
    <m/>
    <m/>
  </r>
  <r>
    <x v="0"/>
    <d v="2015-10-08T00:00:00"/>
    <n v="10"/>
    <x v="25"/>
    <n v="1"/>
    <x v="25"/>
    <s v="Chalves W"/>
    <x v="161"/>
    <n v="1"/>
    <n v="43"/>
    <n v="103"/>
    <x v="28"/>
    <m/>
    <m/>
    <m/>
    <m/>
  </r>
  <r>
    <x v="0"/>
    <d v="2015-10-09T00:00:00"/>
    <n v="10"/>
    <x v="25"/>
    <n v="1"/>
    <x v="25"/>
    <s v="Chalves S"/>
    <x v="71"/>
    <m/>
    <n v="50"/>
    <n v="50"/>
    <x v="28"/>
    <m/>
    <m/>
    <m/>
    <m/>
  </r>
  <r>
    <x v="0"/>
    <d v="2015-10-09T00:00:00"/>
    <n v="10"/>
    <x v="25"/>
    <n v="0"/>
    <x v="25"/>
    <s v="Chalves S"/>
    <x v="71"/>
    <n v="1"/>
    <n v="11"/>
    <n v="71"/>
    <x v="28"/>
    <m/>
    <m/>
    <m/>
    <m/>
  </r>
  <r>
    <x v="0"/>
    <d v="2015-10-10T00:00:00"/>
    <n v="10"/>
    <x v="25"/>
    <n v="1"/>
    <x v="25"/>
    <s v="Montdenir - Moustiers-Sainte-Marie"/>
    <x v="162"/>
    <n v="2"/>
    <n v="18"/>
    <n v="138"/>
    <x v="28"/>
    <m/>
    <m/>
    <m/>
    <m/>
  </r>
  <r>
    <x v="0"/>
    <d v="2015-10-10T00:00:00"/>
    <n v="10"/>
    <x v="25"/>
    <n v="0"/>
    <x v="25"/>
    <s v="Montdenir - Moustiers-Sainte-Marie"/>
    <x v="163"/>
    <m/>
    <n v="10"/>
    <n v="10"/>
    <x v="28"/>
    <m/>
    <m/>
    <m/>
    <m/>
  </r>
  <r>
    <x v="0"/>
    <d v="2015-10-10T00:00:00"/>
    <n v="10"/>
    <x v="25"/>
    <n v="0"/>
    <x v="25"/>
    <s v="Montdenir - unten/Kante"/>
    <x v="164"/>
    <m/>
    <n v="7"/>
    <n v="7"/>
    <x v="28"/>
    <m/>
    <m/>
    <m/>
    <m/>
  </r>
  <r>
    <x v="0"/>
    <d v="2015-10-11T00:00:00"/>
    <n v="10"/>
    <x v="25"/>
    <n v="1"/>
    <x v="25"/>
    <s v="Montmin- Annecy"/>
    <x v="165"/>
    <n v="1"/>
    <n v="11"/>
    <n v="71"/>
    <x v="28"/>
    <m/>
    <m/>
    <m/>
    <m/>
  </r>
  <r>
    <x v="0"/>
    <d v="2015-10-25T00:00:00"/>
    <n v="10"/>
    <x v="25"/>
    <n v="1"/>
    <x v="25"/>
    <s v="Babadag"/>
    <x v="145"/>
    <m/>
    <n v="28"/>
    <n v="28"/>
    <x v="24"/>
    <s v="Häppy, Claudia, Andrea, Anita, Philipp, Küsu, Stefan, Judith, Beat, Hang, Fränzu"/>
    <m/>
    <m/>
    <m/>
  </r>
  <r>
    <x v="0"/>
    <d v="2015-10-25T00:00:00"/>
    <n v="10"/>
    <x v="25"/>
    <n v="0"/>
    <x v="25"/>
    <s v="Babadag"/>
    <x v="145"/>
    <n v="1"/>
    <n v="12"/>
    <n v="72"/>
    <x v="24"/>
    <m/>
    <m/>
    <m/>
    <m/>
  </r>
  <r>
    <x v="0"/>
    <d v="2015-10-26T00:00:00"/>
    <n v="10"/>
    <x v="25"/>
    <n v="1"/>
    <x v="25"/>
    <s v="Babadag"/>
    <x v="145"/>
    <n v="1"/>
    <n v="54"/>
    <n v="114"/>
    <x v="24"/>
    <m/>
    <m/>
    <m/>
    <m/>
  </r>
  <r>
    <x v="0"/>
    <d v="2015-10-26T00:00:00"/>
    <n v="10"/>
    <x v="25"/>
    <n v="0"/>
    <x v="25"/>
    <s v="Babadag"/>
    <x v="145"/>
    <n v="1"/>
    <n v="11"/>
    <n v="71"/>
    <x v="24"/>
    <m/>
    <m/>
    <m/>
    <m/>
  </r>
  <r>
    <x v="0"/>
    <d v="2015-10-27T00:00:00"/>
    <n v="10"/>
    <x v="25"/>
    <n v="1"/>
    <x v="25"/>
    <s v="Babadag"/>
    <x v="145"/>
    <n v="1"/>
    <n v="24"/>
    <n v="84"/>
    <x v="24"/>
    <m/>
    <m/>
    <m/>
    <m/>
  </r>
  <r>
    <x v="0"/>
    <d v="2015-10-27T00:00:00"/>
    <n v="10"/>
    <x v="25"/>
    <n v="0"/>
    <x v="25"/>
    <s v="Babadag"/>
    <x v="145"/>
    <n v="1"/>
    <n v="26"/>
    <n v="86"/>
    <x v="24"/>
    <m/>
    <m/>
    <m/>
    <m/>
  </r>
  <r>
    <x v="0"/>
    <d v="2015-10-28T00:00:00"/>
    <n v="10"/>
    <x v="25"/>
    <n v="1"/>
    <x v="25"/>
    <s v="Babadag"/>
    <x v="145"/>
    <n v="1"/>
    <n v="9"/>
    <n v="69"/>
    <x v="24"/>
    <m/>
    <m/>
    <m/>
    <m/>
  </r>
  <r>
    <x v="0"/>
    <d v="2015-10-28T00:00:00"/>
    <n v="10"/>
    <x v="25"/>
    <n v="0"/>
    <x v="25"/>
    <s v="Babadag"/>
    <x v="145"/>
    <n v="1"/>
    <n v="7"/>
    <n v="67"/>
    <x v="24"/>
    <m/>
    <m/>
    <m/>
    <m/>
  </r>
  <r>
    <x v="0"/>
    <d v="2015-10-29T00:00:00"/>
    <n v="10"/>
    <x v="25"/>
    <n v="1"/>
    <x v="25"/>
    <s v="Babadag"/>
    <x v="145"/>
    <n v="1"/>
    <n v="42"/>
    <n v="102"/>
    <x v="24"/>
    <m/>
    <m/>
    <m/>
    <m/>
  </r>
  <r>
    <x v="0"/>
    <d v="2015-10-29T00:00:00"/>
    <n v="10"/>
    <x v="25"/>
    <n v="0"/>
    <x v="25"/>
    <s v="Babadag"/>
    <x v="145"/>
    <n v="1"/>
    <n v="43"/>
    <n v="103"/>
    <x v="24"/>
    <m/>
    <m/>
    <m/>
    <m/>
  </r>
  <r>
    <x v="0"/>
    <d v="2015-10-30T00:00:00"/>
    <n v="10"/>
    <x v="25"/>
    <n v="1"/>
    <x v="25"/>
    <s v="Babadag"/>
    <x v="146"/>
    <n v="1"/>
    <n v="54"/>
    <n v="114"/>
    <x v="24"/>
    <m/>
    <m/>
    <m/>
    <m/>
  </r>
  <r>
    <x v="0"/>
    <d v="2015-10-31T00:00:00"/>
    <n v="10"/>
    <x v="25"/>
    <n v="1"/>
    <x v="25"/>
    <s v="Babadag"/>
    <x v="145"/>
    <n v="1"/>
    <n v="12"/>
    <n v="72"/>
    <x v="24"/>
    <m/>
    <m/>
    <m/>
    <m/>
  </r>
  <r>
    <x v="0"/>
    <d v="2015-10-31T00:00:00"/>
    <n v="10"/>
    <x v="25"/>
    <n v="0"/>
    <x v="25"/>
    <s v="Babadag"/>
    <x v="145"/>
    <m/>
    <n v="54"/>
    <n v="54"/>
    <x v="24"/>
    <m/>
    <m/>
    <m/>
    <m/>
  </r>
  <r>
    <x v="0"/>
    <d v="2015-11-01T00:00:00"/>
    <n v="11"/>
    <x v="25"/>
    <n v="1"/>
    <x v="25"/>
    <s v="Babadag"/>
    <x v="145"/>
    <n v="1"/>
    <n v="50"/>
    <n v="110"/>
    <x v="24"/>
    <m/>
    <m/>
    <m/>
    <m/>
  </r>
  <r>
    <x v="0"/>
    <d v="2015-11-01T00:00:00"/>
    <n v="11"/>
    <x v="25"/>
    <n v="0"/>
    <x v="25"/>
    <s v="Babadag"/>
    <x v="145"/>
    <n v="2"/>
    <n v="3"/>
    <n v="123"/>
    <x v="24"/>
    <m/>
    <m/>
    <m/>
    <m/>
  </r>
  <r>
    <x v="0"/>
    <d v="2015-11-07T00:00:00"/>
    <n v="11"/>
    <x v="25"/>
    <n v="1"/>
    <x v="25"/>
    <s v="Heimat"/>
    <x v="63"/>
    <m/>
    <n v="46"/>
    <n v="46"/>
    <x v="2"/>
    <m/>
    <m/>
    <m/>
    <m/>
  </r>
  <r>
    <x v="0"/>
    <d v="2015-11-08T00:00:00"/>
    <n v="11"/>
    <x v="25"/>
    <n v="1"/>
    <x v="25"/>
    <s v="Heimat"/>
    <x v="63"/>
    <n v="1"/>
    <n v="32"/>
    <n v="92"/>
    <x v="2"/>
    <m/>
    <m/>
    <m/>
    <m/>
  </r>
  <r>
    <x v="0"/>
    <d v="2015-11-13T00:00:00"/>
    <n v="11"/>
    <x v="25"/>
    <n v="1"/>
    <x v="25"/>
    <s v="Heimat"/>
    <x v="63"/>
    <m/>
    <n v="34"/>
    <n v="34"/>
    <x v="2"/>
    <m/>
    <m/>
    <m/>
    <m/>
  </r>
  <r>
    <x v="0"/>
    <d v="2015-12-04T00:00:00"/>
    <n v="12"/>
    <x v="25"/>
    <n v="1"/>
    <x v="24"/>
    <s v="Mutti"/>
    <x v="63"/>
    <m/>
    <n v="10"/>
    <n v="10"/>
    <x v="2"/>
    <m/>
    <m/>
    <m/>
    <m/>
  </r>
  <r>
    <x v="0"/>
    <d v="2015-12-05T00:00:00"/>
    <n v="12"/>
    <x v="25"/>
    <n v="1"/>
    <x v="25"/>
    <s v="Heimat"/>
    <x v="63"/>
    <m/>
    <n v="39"/>
    <n v="39"/>
    <x v="2"/>
    <m/>
    <m/>
    <m/>
    <m/>
  </r>
  <r>
    <x v="0"/>
    <d v="2015-12-06T00:00:00"/>
    <n v="12"/>
    <x v="25"/>
    <n v="1"/>
    <x v="25"/>
    <s v="Heimat"/>
    <x v="166"/>
    <n v="1"/>
    <n v="30"/>
    <n v="90"/>
    <x v="2"/>
    <m/>
    <m/>
    <m/>
    <m/>
  </r>
  <r>
    <x v="0"/>
    <d v="2015-12-18T00:00:00"/>
    <n v="12"/>
    <x v="25"/>
    <n v="1"/>
    <x v="24"/>
    <s v="Mutti"/>
    <x v="63"/>
    <m/>
    <n v="10"/>
    <n v="10"/>
    <x v="2"/>
    <m/>
    <m/>
    <m/>
    <m/>
  </r>
  <r>
    <x v="0"/>
    <d v="2015-12-19T00:00:00"/>
    <n v="12"/>
    <x v="25"/>
    <n v="1"/>
    <x v="25"/>
    <s v="Heimat"/>
    <x v="35"/>
    <n v="1"/>
    <n v="55"/>
    <n v="115"/>
    <x v="2"/>
    <s v="Leberli"/>
    <m/>
    <m/>
    <m/>
  </r>
  <r>
    <x v="0"/>
    <d v="2015-12-20T00:00:00"/>
    <n v="12"/>
    <x v="25"/>
    <n v="1"/>
    <x v="25"/>
    <s v="Heimat"/>
    <x v="35"/>
    <n v="1"/>
    <n v="20"/>
    <n v="80"/>
    <x v="2"/>
    <s v="Leberli"/>
    <m/>
    <m/>
    <m/>
  </r>
  <r>
    <x v="0"/>
    <d v="2015-12-22T00:00:00"/>
    <n v="12"/>
    <x v="25"/>
    <n v="1"/>
    <x v="25"/>
    <s v="Heimat"/>
    <x v="63"/>
    <m/>
    <n v="56"/>
    <n v="56"/>
    <x v="2"/>
    <m/>
    <m/>
    <m/>
    <m/>
  </r>
  <r>
    <x v="0"/>
    <d v="2015-12-22T00:00:00"/>
    <n v="12"/>
    <x v="25"/>
    <n v="0"/>
    <x v="24"/>
    <s v="Steibenkreuz"/>
    <x v="167"/>
    <m/>
    <n v="10"/>
    <n v="10"/>
    <x v="2"/>
    <m/>
    <m/>
    <m/>
    <m/>
  </r>
  <r>
    <x v="0"/>
    <d v="2015-12-23T00:00:00"/>
    <n v="12"/>
    <x v="25"/>
    <n v="1"/>
    <x v="25"/>
    <s v="Heimat"/>
    <x v="35"/>
    <n v="1"/>
    <n v="43"/>
    <n v="103"/>
    <x v="2"/>
    <s v="Cote de Boef"/>
    <m/>
    <m/>
    <m/>
  </r>
  <r>
    <x v="0"/>
    <d v="2015-12-24T00:00:00"/>
    <n v="12"/>
    <x v="25"/>
    <n v="1"/>
    <x v="25"/>
    <s v="Heimat"/>
    <x v="35"/>
    <n v="1"/>
    <n v="6"/>
    <n v="66"/>
    <x v="2"/>
    <s v="Chateau briand"/>
    <m/>
    <m/>
    <m/>
  </r>
  <r>
    <x v="0"/>
    <d v="2015-12-25T00:00:00"/>
    <n v="12"/>
    <x v="25"/>
    <n v="1"/>
    <x v="25"/>
    <s v="Heimat"/>
    <x v="35"/>
    <n v="1"/>
    <n v="57"/>
    <n v="117"/>
    <x v="2"/>
    <s v="Kalbskotelette"/>
    <m/>
    <m/>
    <m/>
  </r>
  <r>
    <x v="0"/>
    <d v="2015-12-26T00:00:00"/>
    <n v="12"/>
    <x v="25"/>
    <n v="1"/>
    <x v="25"/>
    <s v="Heimat"/>
    <x v="35"/>
    <n v="1"/>
    <n v="13"/>
    <n v="73"/>
    <x v="2"/>
    <s v="BaschiSteack Gastronome"/>
    <m/>
    <m/>
    <m/>
  </r>
  <r>
    <x v="0"/>
    <d v="2015-12-27T00:00:00"/>
    <n v="12"/>
    <x v="25"/>
    <n v="1"/>
    <x v="25"/>
    <s v="Richinen"/>
    <x v="35"/>
    <n v="1"/>
    <n v="17"/>
    <n v="77"/>
    <x v="2"/>
    <m/>
    <m/>
    <m/>
    <m/>
  </r>
  <r>
    <x v="0"/>
    <d v="2015-12-28T00:00:00"/>
    <n v="12"/>
    <x v="25"/>
    <n v="1"/>
    <x v="25"/>
    <s v="Richinen"/>
    <x v="35"/>
    <n v="1"/>
    <n v="4"/>
    <n v="64"/>
    <x v="2"/>
    <m/>
    <m/>
    <m/>
    <m/>
  </r>
  <r>
    <x v="0"/>
    <d v="2015-12-29T00:00:00"/>
    <n v="12"/>
    <x v="25"/>
    <n v="1"/>
    <x v="25"/>
    <s v="Chalet Ü50"/>
    <x v="19"/>
    <m/>
    <n v="20"/>
    <n v="20"/>
    <x v="2"/>
    <s v="Angi und Stefan"/>
    <m/>
    <m/>
    <m/>
  </r>
  <r>
    <x v="0"/>
    <d v="2015-12-30T00:00:00"/>
    <n v="12"/>
    <x v="25"/>
    <n v="1"/>
    <x v="25"/>
    <s v="Richinen"/>
    <x v="35"/>
    <m/>
    <n v="41"/>
    <n v="41"/>
    <x v="2"/>
    <m/>
    <m/>
    <m/>
    <m/>
  </r>
  <r>
    <x v="0"/>
    <d v="2016-01-24T00:00:00"/>
    <n v="1"/>
    <x v="26"/>
    <n v="1"/>
    <x v="25"/>
    <s v="Piedechinche"/>
    <x v="168"/>
    <n v="1"/>
    <n v="51"/>
    <n v="111"/>
    <x v="29"/>
    <s v="Vreni, Tini, Lucho, John, Roli, Thomas, Res, Kurt+ Sonja, Ives, Martin, Johannes, Dominic, Bernd, Roman "/>
    <m/>
    <m/>
    <m/>
  </r>
  <r>
    <x v="0"/>
    <d v="2016-01-25T00:00:00"/>
    <n v="1"/>
    <x v="26"/>
    <n v="1"/>
    <x v="25"/>
    <s v="Piedechinche"/>
    <x v="169"/>
    <n v="2"/>
    <n v="8"/>
    <n v="128"/>
    <x v="29"/>
    <m/>
    <m/>
    <m/>
    <m/>
  </r>
  <r>
    <x v="0"/>
    <d v="2016-01-26T00:00:00"/>
    <n v="1"/>
    <x v="26"/>
    <n v="1"/>
    <x v="25"/>
    <s v="Piedechinche"/>
    <x v="170"/>
    <n v="1"/>
    <n v="49"/>
    <n v="109"/>
    <x v="29"/>
    <m/>
    <m/>
    <m/>
    <m/>
  </r>
  <r>
    <x v="0"/>
    <d v="2016-01-27T00:00:00"/>
    <n v="1"/>
    <x v="26"/>
    <n v="1"/>
    <x v="25"/>
    <s v="Roldanillo"/>
    <x v="171"/>
    <n v="1"/>
    <n v="10"/>
    <n v="70"/>
    <x v="29"/>
    <s v="Mädchen getroffen"/>
    <m/>
    <m/>
    <m/>
  </r>
  <r>
    <x v="0"/>
    <d v="2016-01-28T00:00:00"/>
    <n v="1"/>
    <x v="26"/>
    <n v="1"/>
    <x v="25"/>
    <s v="Roldanillo"/>
    <x v="172"/>
    <n v="4"/>
    <n v="26"/>
    <n v="266"/>
    <x v="29"/>
    <s v="via Uribe"/>
    <m/>
    <m/>
    <m/>
  </r>
  <r>
    <x v="0"/>
    <d v="2016-01-29T00:00:00"/>
    <n v="1"/>
    <x v="26"/>
    <n v="1"/>
    <x v="25"/>
    <s v="Roldanillo"/>
    <x v="173"/>
    <n v="4"/>
    <n v="12"/>
    <n v="252"/>
    <x v="29"/>
    <m/>
    <m/>
    <m/>
    <m/>
  </r>
  <r>
    <x v="0"/>
    <d v="2016-01-30T00:00:00"/>
    <n v="1"/>
    <x v="26"/>
    <n v="1"/>
    <x v="25"/>
    <s v="Ansermanuevo"/>
    <x v="173"/>
    <n v="1"/>
    <n v="15"/>
    <n v="75"/>
    <x v="29"/>
    <m/>
    <m/>
    <m/>
    <m/>
  </r>
  <r>
    <x v="0"/>
    <d v="2016-01-31T00:00:00"/>
    <n v="1"/>
    <x v="26"/>
    <n v="1"/>
    <x v="25"/>
    <s v="Ansermanuevo"/>
    <x v="174"/>
    <n v="2"/>
    <n v="20"/>
    <n v="140"/>
    <x v="29"/>
    <m/>
    <m/>
    <m/>
    <m/>
  </r>
  <r>
    <x v="0"/>
    <d v="2016-02-01T00:00:00"/>
    <n v="2"/>
    <x v="26"/>
    <n v="1"/>
    <x v="25"/>
    <s v="Ansermanuevo"/>
    <x v="173"/>
    <m/>
    <n v="30"/>
    <n v="30"/>
    <x v="29"/>
    <m/>
    <m/>
    <m/>
    <m/>
  </r>
  <r>
    <x v="0"/>
    <d v="2016-02-02T00:00:00"/>
    <n v="2"/>
    <x v="26"/>
    <n v="1"/>
    <x v="25"/>
    <s v="Ansermanuevo"/>
    <x v="175"/>
    <n v="2"/>
    <n v="30"/>
    <n v="150"/>
    <x v="29"/>
    <m/>
    <m/>
    <m/>
    <m/>
  </r>
  <r>
    <x v="0"/>
    <d v="2016-02-03T00:00:00"/>
    <n v="2"/>
    <x v="26"/>
    <n v="1"/>
    <x v="25"/>
    <s v="Jerico"/>
    <x v="176"/>
    <n v="1"/>
    <n v="9"/>
    <n v="69"/>
    <x v="29"/>
    <m/>
    <m/>
    <m/>
    <m/>
  </r>
  <r>
    <x v="0"/>
    <d v="2016-02-04T00:00:00"/>
    <n v="2"/>
    <x v="26"/>
    <n v="1"/>
    <x v="25"/>
    <s v="Jerico"/>
    <x v="177"/>
    <n v="1"/>
    <n v="24"/>
    <n v="84"/>
    <x v="29"/>
    <m/>
    <m/>
    <m/>
    <m/>
  </r>
  <r>
    <x v="0"/>
    <d v="2016-02-05T00:00:00"/>
    <n v="2"/>
    <x v="26"/>
    <n v="1"/>
    <x v="25"/>
    <s v="Jerico"/>
    <x v="176"/>
    <m/>
    <n v="51"/>
    <n v="51"/>
    <x v="29"/>
    <m/>
    <m/>
    <m/>
    <m/>
  </r>
  <r>
    <x v="0"/>
    <d v="2016-03-14T00:00:00"/>
    <n v="3"/>
    <x v="26"/>
    <n v="1"/>
    <x v="25"/>
    <s v="Steibenkreuz"/>
    <x v="35"/>
    <m/>
    <n v="36"/>
    <n v="36"/>
    <x v="2"/>
    <m/>
    <m/>
    <m/>
    <m/>
  </r>
  <r>
    <x v="0"/>
    <d v="2016-03-17T00:00:00"/>
    <n v="3"/>
    <x v="26"/>
    <n v="1"/>
    <x v="25"/>
    <s v="Steibenkreuz"/>
    <x v="35"/>
    <m/>
    <n v="33"/>
    <n v="33"/>
    <x v="2"/>
    <m/>
    <m/>
    <m/>
    <m/>
  </r>
  <r>
    <x v="0"/>
    <d v="2016-03-18T00:00:00"/>
    <n v="3"/>
    <x v="26"/>
    <n v="1"/>
    <x v="25"/>
    <s v="Heimat"/>
    <x v="63"/>
    <n v="1"/>
    <n v="35"/>
    <n v="95"/>
    <x v="2"/>
    <s v="mit Andrea"/>
    <m/>
    <m/>
    <m/>
  </r>
  <r>
    <x v="0"/>
    <d v="2016-03-19T00:00:00"/>
    <n v="3"/>
    <x v="26"/>
    <n v="1"/>
    <x v="25"/>
    <s v="Heimat"/>
    <x v="63"/>
    <m/>
    <n v="43"/>
    <n v="43"/>
    <x v="2"/>
    <s v="mit Andrea"/>
    <m/>
    <m/>
    <m/>
  </r>
  <r>
    <x v="0"/>
    <d v="2016-03-20T00:00:00"/>
    <n v="3"/>
    <x v="26"/>
    <n v="1"/>
    <x v="25"/>
    <s v="Heimat"/>
    <x v="35"/>
    <m/>
    <n v="47"/>
    <n v="47"/>
    <x v="2"/>
    <s v="mit Andrea"/>
    <m/>
    <m/>
    <m/>
  </r>
  <r>
    <x v="0"/>
    <d v="2016-03-22T00:00:00"/>
    <n v="3"/>
    <x v="26"/>
    <n v="1"/>
    <x v="25"/>
    <s v="Steibenkreuz"/>
    <x v="19"/>
    <n v="1"/>
    <n v="5"/>
    <n v="65"/>
    <x v="2"/>
    <m/>
    <m/>
    <m/>
    <m/>
  </r>
  <r>
    <x v="0"/>
    <d v="2016-03-26T00:00:00"/>
    <n v="3"/>
    <x v="26"/>
    <n v="1"/>
    <x v="26"/>
    <s v="Rossboden"/>
    <x v="19"/>
    <m/>
    <n v="15"/>
    <n v="15"/>
    <x v="2"/>
    <m/>
    <m/>
    <m/>
    <m/>
  </r>
  <r>
    <x v="0"/>
    <d v="2016-04-20T00:00:00"/>
    <n v="4"/>
    <x v="26"/>
    <n v="1"/>
    <x v="25"/>
    <s v="Heimat"/>
    <x v="63"/>
    <n v="1"/>
    <n v="30"/>
    <n v="90"/>
    <x v="2"/>
    <m/>
    <m/>
    <m/>
    <m/>
  </r>
  <r>
    <x v="1"/>
    <d v="2016-04-28T00:00:00"/>
    <n v="4"/>
    <x v="26"/>
    <n v="1"/>
    <x v="25"/>
    <s v="San Fermo"/>
    <x v="133"/>
    <m/>
    <n v="44"/>
    <n v="44"/>
    <x v="30"/>
    <m/>
    <m/>
    <m/>
    <m/>
  </r>
  <r>
    <x v="1"/>
    <d v="2016-04-28T00:00:00"/>
    <n v="4"/>
    <x v="26"/>
    <n v="0"/>
    <x v="25"/>
    <s v="San Fermo"/>
    <x v="135"/>
    <m/>
    <n v="24"/>
    <n v="24"/>
    <x v="30"/>
    <m/>
    <m/>
    <m/>
    <m/>
  </r>
  <r>
    <x v="1"/>
    <d v="2016-04-29T00:00:00"/>
    <n v="4"/>
    <x v="26"/>
    <n v="1"/>
    <x v="25"/>
    <s v="San Fermo"/>
    <x v="133"/>
    <m/>
    <n v="7"/>
    <n v="7"/>
    <x v="30"/>
    <m/>
    <m/>
    <m/>
    <m/>
  </r>
  <r>
    <x v="1"/>
    <d v="2016-04-29T00:00:00"/>
    <n v="4"/>
    <x v="26"/>
    <n v="0"/>
    <x v="25"/>
    <s v="San Fermo"/>
    <x v="178"/>
    <m/>
    <n v="11"/>
    <n v="11"/>
    <x v="30"/>
    <m/>
    <m/>
    <m/>
    <m/>
  </r>
  <r>
    <x v="1"/>
    <d v="2016-04-29T00:00:00"/>
    <n v="4"/>
    <x v="26"/>
    <n v="0"/>
    <x v="25"/>
    <s v="San Fermo"/>
    <x v="133"/>
    <m/>
    <n v="26"/>
    <n v="26"/>
    <x v="30"/>
    <s v="vom Restaurant zurück"/>
    <m/>
    <m/>
    <m/>
  </r>
  <r>
    <x v="1"/>
    <d v="2016-04-29T00:00:00"/>
    <n v="4"/>
    <x v="26"/>
    <n v="0"/>
    <x v="25"/>
    <s v="San Fermo"/>
    <x v="135"/>
    <m/>
    <n v="22"/>
    <n v="22"/>
    <x v="30"/>
    <m/>
    <m/>
    <m/>
    <m/>
  </r>
  <r>
    <x v="1"/>
    <d v="2016-04-30T00:00:00"/>
    <n v="4"/>
    <x v="26"/>
    <n v="1"/>
    <x v="25"/>
    <s v="San Fermo"/>
    <x v="133"/>
    <n v="1"/>
    <n v="9"/>
    <n v="69"/>
    <x v="30"/>
    <s v="Rundflug zum Lago d'Iseo"/>
    <m/>
    <m/>
    <m/>
  </r>
  <r>
    <x v="0"/>
    <d v="2016-05-17T00:00:00"/>
    <n v="5"/>
    <x v="26"/>
    <n v="1"/>
    <x v="25"/>
    <s v="Heimat"/>
    <x v="63"/>
    <m/>
    <n v="59"/>
    <n v="59"/>
    <x v="2"/>
    <m/>
    <m/>
    <m/>
    <m/>
  </r>
  <r>
    <x v="0"/>
    <d v="2016-05-21T00:00:00"/>
    <n v="5"/>
    <x v="26"/>
    <n v="1"/>
    <x v="25"/>
    <s v="Bellwald"/>
    <x v="19"/>
    <m/>
    <n v="57"/>
    <n v="57"/>
    <x v="2"/>
    <m/>
    <m/>
    <m/>
    <m/>
  </r>
  <r>
    <x v="0"/>
    <d v="2016-05-29T00:00:00"/>
    <n v="5"/>
    <x v="26"/>
    <n v="1"/>
    <x v="25"/>
    <s v="Polvoeira"/>
    <x v="179"/>
    <n v="1"/>
    <n v="37"/>
    <n v="97"/>
    <x v="23"/>
    <s v="Michael, Vreni, Ramona, Federico, Daniel, Lucien, Paul, Florian, Patrizia, Philip, Ueli, Ruth, ... "/>
    <m/>
    <m/>
    <m/>
  </r>
  <r>
    <x v="0"/>
    <d v="2016-05-29T00:00:00"/>
    <n v="5"/>
    <x v="26"/>
    <n v="0"/>
    <x v="25"/>
    <s v="Polvoeira"/>
    <x v="179"/>
    <n v="1"/>
    <n v="21"/>
    <n v="81"/>
    <x v="23"/>
    <m/>
    <m/>
    <m/>
    <m/>
  </r>
  <r>
    <x v="0"/>
    <d v="2016-05-30T00:00:00"/>
    <n v="5"/>
    <x v="26"/>
    <n v="1"/>
    <x v="25"/>
    <s v="Linhares"/>
    <x v="136"/>
    <m/>
    <n v="36"/>
    <n v="36"/>
    <x v="23"/>
    <m/>
    <m/>
    <m/>
    <m/>
  </r>
  <r>
    <x v="0"/>
    <d v="2016-05-30T00:00:00"/>
    <n v="5"/>
    <x v="26"/>
    <n v="0"/>
    <x v="25"/>
    <s v="Linhares"/>
    <x v="136"/>
    <m/>
    <n v="23"/>
    <n v="23"/>
    <x v="23"/>
    <m/>
    <m/>
    <m/>
    <m/>
  </r>
  <r>
    <x v="0"/>
    <d v="2016-05-30T00:00:00"/>
    <n v="5"/>
    <x v="26"/>
    <n v="0"/>
    <x v="25"/>
    <s v="Linhares"/>
    <x v="136"/>
    <n v="1"/>
    <n v="13"/>
    <n v="73"/>
    <x v="23"/>
    <m/>
    <m/>
    <m/>
    <m/>
  </r>
  <r>
    <x v="0"/>
    <d v="2016-05-30T00:00:00"/>
    <n v="5"/>
    <x v="26"/>
    <n v="0"/>
    <x v="25"/>
    <s v="Linhares"/>
    <x v="136"/>
    <m/>
    <n v="46"/>
    <n v="46"/>
    <x v="23"/>
    <m/>
    <m/>
    <m/>
    <m/>
  </r>
  <r>
    <x v="0"/>
    <d v="2016-05-31T00:00:00"/>
    <n v="5"/>
    <x v="26"/>
    <n v="1"/>
    <x v="25"/>
    <s v="Vale Amoreira"/>
    <x v="180"/>
    <n v="2"/>
    <n v="17"/>
    <n v="137"/>
    <x v="23"/>
    <m/>
    <m/>
    <m/>
    <m/>
  </r>
  <r>
    <x v="0"/>
    <d v="2016-05-31T00:00:00"/>
    <n v="5"/>
    <x v="26"/>
    <n v="0"/>
    <x v="25"/>
    <s v="Linhares"/>
    <x v="136"/>
    <m/>
    <n v="13"/>
    <n v="13"/>
    <x v="23"/>
    <m/>
    <m/>
    <m/>
    <m/>
  </r>
  <r>
    <x v="0"/>
    <d v="2016-06-01T00:00:00"/>
    <n v="6"/>
    <x v="26"/>
    <n v="1"/>
    <x v="25"/>
    <s v="Mte Alegra E"/>
    <x v="181"/>
    <n v="1"/>
    <n v="6"/>
    <n v="66"/>
    <x v="23"/>
    <m/>
    <m/>
    <m/>
    <m/>
  </r>
  <r>
    <x v="0"/>
    <d v="2016-06-01T00:00:00"/>
    <n v="6"/>
    <x v="26"/>
    <n v="0"/>
    <x v="25"/>
    <s v="Mte Alegra N"/>
    <x v="182"/>
    <m/>
    <n v="52"/>
    <n v="52"/>
    <x v="23"/>
    <m/>
    <m/>
    <m/>
    <m/>
  </r>
  <r>
    <x v="0"/>
    <d v="2016-06-02T00:00:00"/>
    <n v="6"/>
    <x v="26"/>
    <n v="1"/>
    <x v="25"/>
    <s v="Mte Alegra W"/>
    <x v="183"/>
    <m/>
    <n v="29"/>
    <n v="29"/>
    <x v="23"/>
    <m/>
    <m/>
    <m/>
    <m/>
  </r>
  <r>
    <x v="0"/>
    <d v="2016-06-03T00:00:00"/>
    <n v="6"/>
    <x v="26"/>
    <n v="1"/>
    <x v="25"/>
    <s v="Salgado"/>
    <x v="184"/>
    <n v="3"/>
    <n v="6"/>
    <n v="186"/>
    <x v="23"/>
    <m/>
    <m/>
    <m/>
    <m/>
  </r>
  <r>
    <x v="0"/>
    <d v="2016-06-10T00:00:00"/>
    <n v="6"/>
    <x v="26"/>
    <n v="1"/>
    <x v="25"/>
    <s v="Mutti"/>
    <x v="35"/>
    <m/>
    <n v="54"/>
    <n v="54"/>
    <x v="2"/>
    <m/>
    <m/>
    <m/>
    <m/>
  </r>
  <r>
    <x v="0"/>
    <d v="2016-07-01T00:00:00"/>
    <n v="7"/>
    <x v="26"/>
    <n v="1"/>
    <x v="25"/>
    <s v="Heimat"/>
    <x v="35"/>
    <n v="1"/>
    <n v="12"/>
    <n v="72"/>
    <x v="2"/>
    <m/>
    <m/>
    <m/>
    <m/>
  </r>
  <r>
    <x v="0"/>
    <d v="2016-07-07T00:00:00"/>
    <n v="7"/>
    <x v="26"/>
    <n v="1"/>
    <x v="25"/>
    <s v="Mutti"/>
    <x v="35"/>
    <m/>
    <n v="55"/>
    <n v="55"/>
    <x v="2"/>
    <m/>
    <m/>
    <m/>
    <m/>
  </r>
  <r>
    <x v="0"/>
    <d v="2016-07-08T00:00:00"/>
    <n v="7"/>
    <x v="26"/>
    <n v="1"/>
    <x v="25"/>
    <s v="Heimat"/>
    <x v="63"/>
    <m/>
    <n v="18"/>
    <n v="18"/>
    <x v="2"/>
    <s v="Westwindstart, mit Andrea"/>
    <m/>
    <m/>
    <m/>
  </r>
  <r>
    <x v="0"/>
    <d v="2016-07-09T00:00:00"/>
    <n v="7"/>
    <x v="26"/>
    <n v="1"/>
    <x v="25"/>
    <s v="Heimat"/>
    <x v="63"/>
    <m/>
    <n v="55"/>
    <n v="55"/>
    <x v="2"/>
    <m/>
    <m/>
    <m/>
    <m/>
  </r>
  <r>
    <x v="0"/>
    <d v="2016-07-10T00:00:00"/>
    <n v="7"/>
    <x v="26"/>
    <n v="1"/>
    <x v="25"/>
    <s v="Galfera"/>
    <x v="19"/>
    <n v="1"/>
    <n v="12"/>
    <n v="72"/>
    <x v="2"/>
    <m/>
    <m/>
    <m/>
    <m/>
  </r>
  <r>
    <x v="0"/>
    <d v="2016-07-17T00:00:00"/>
    <n v="7"/>
    <x v="26"/>
    <n v="1"/>
    <x v="25"/>
    <s v="Mölkerblatte/Lenk"/>
    <x v="110"/>
    <n v="1"/>
    <n v="54"/>
    <n v="114"/>
    <x v="2"/>
    <m/>
    <m/>
    <m/>
    <m/>
  </r>
  <r>
    <x v="0"/>
    <d v="2016-07-19T00:00:00"/>
    <n v="7"/>
    <x v="26"/>
    <n v="1"/>
    <x v="25"/>
    <s v="Richinen"/>
    <x v="79"/>
    <n v="1"/>
    <n v="40"/>
    <n v="100"/>
    <x v="2"/>
    <m/>
    <m/>
    <m/>
    <m/>
  </r>
  <r>
    <x v="0"/>
    <d v="2016-07-20T00:00:00"/>
    <n v="7"/>
    <x v="26"/>
    <n v="1"/>
    <x v="25"/>
    <s v="Richinen"/>
    <x v="63"/>
    <n v="2"/>
    <n v="28"/>
    <n v="148"/>
    <x v="2"/>
    <s v="Siedlhor, Galmihorn 3950"/>
    <m/>
    <m/>
    <m/>
  </r>
  <r>
    <x v="0"/>
    <d v="2016-07-24T00:00:00"/>
    <n v="7"/>
    <x v="26"/>
    <n v="1"/>
    <x v="25"/>
    <s v="Richinen"/>
    <x v="148"/>
    <n v="1"/>
    <n v="50"/>
    <n v="110"/>
    <x v="2"/>
    <m/>
    <m/>
    <m/>
    <m/>
  </r>
  <r>
    <x v="0"/>
    <d v="2016-07-27T00:00:00"/>
    <n v="7"/>
    <x v="26"/>
    <n v="1"/>
    <x v="25"/>
    <s v="Richinen"/>
    <x v="63"/>
    <m/>
    <n v="18"/>
    <n v="18"/>
    <x v="2"/>
    <m/>
    <m/>
    <m/>
    <m/>
  </r>
  <r>
    <x v="0"/>
    <d v="2016-07-28T00:00:00"/>
    <n v="7"/>
    <x v="26"/>
    <n v="1"/>
    <x v="25"/>
    <s v="Richinen"/>
    <x v="35"/>
    <m/>
    <n v="42"/>
    <n v="42"/>
    <x v="2"/>
    <m/>
    <m/>
    <m/>
    <m/>
  </r>
  <r>
    <x v="0"/>
    <d v="2016-07-29T00:00:00"/>
    <n v="7"/>
    <x v="26"/>
    <n v="1"/>
    <x v="25"/>
    <s v="Galfera"/>
    <x v="35"/>
    <n v="1"/>
    <n v="10"/>
    <n v="70"/>
    <x v="2"/>
    <m/>
    <m/>
    <m/>
    <m/>
  </r>
  <r>
    <x v="0"/>
    <d v="2016-07-30T00:00:00"/>
    <n v="7"/>
    <x v="26"/>
    <n v="1"/>
    <x v="26"/>
    <s v="Chäserstatt"/>
    <x v="63"/>
    <m/>
    <n v="10"/>
    <n v="10"/>
    <x v="2"/>
    <m/>
    <m/>
    <m/>
    <m/>
  </r>
  <r>
    <x v="0"/>
    <d v="2016-08-03T00:00:00"/>
    <n v="8"/>
    <x v="26"/>
    <n v="1"/>
    <x v="25"/>
    <s v="Richinen"/>
    <x v="185"/>
    <m/>
    <n v="27"/>
    <n v="27"/>
    <x v="2"/>
    <m/>
    <m/>
    <m/>
    <m/>
  </r>
  <r>
    <x v="0"/>
    <d v="2016-08-04T00:00:00"/>
    <n v="8"/>
    <x v="26"/>
    <n v="1"/>
    <x v="25"/>
    <s v="Steibenkreuz"/>
    <x v="35"/>
    <m/>
    <n v="54"/>
    <n v="54"/>
    <x v="2"/>
    <m/>
    <m/>
    <m/>
    <m/>
  </r>
  <r>
    <x v="0"/>
    <d v="2016-08-07T00:00:00"/>
    <n v="8"/>
    <x v="26"/>
    <n v="1"/>
    <x v="25"/>
    <s v="First"/>
    <x v="5"/>
    <n v="1"/>
    <n v="1"/>
    <n v="61"/>
    <x v="2"/>
    <m/>
    <m/>
    <m/>
    <m/>
  </r>
  <r>
    <x v="0"/>
    <d v="2016-08-08T00:00:00"/>
    <n v="8"/>
    <x v="26"/>
    <n v="1"/>
    <x v="25"/>
    <s v="Steibenkreuz"/>
    <x v="63"/>
    <n v="2"/>
    <n v="15"/>
    <n v="135"/>
    <x v="2"/>
    <m/>
    <m/>
    <m/>
    <m/>
  </r>
  <r>
    <x v="0"/>
    <d v="2016-08-11T00:00:00"/>
    <n v="8"/>
    <x v="26"/>
    <n v="1"/>
    <x v="25"/>
    <s v="Steibenkreuz"/>
    <x v="35"/>
    <m/>
    <n v="32"/>
    <n v="32"/>
    <x v="2"/>
    <m/>
    <m/>
    <m/>
    <m/>
  </r>
  <r>
    <x v="0"/>
    <d v="2016-08-12T00:00:00"/>
    <n v="8"/>
    <x v="26"/>
    <n v="1"/>
    <x v="25"/>
    <s v="Steibenkreuz"/>
    <x v="35"/>
    <m/>
    <n v="43"/>
    <n v="43"/>
    <x v="2"/>
    <m/>
    <m/>
    <m/>
    <m/>
  </r>
  <r>
    <x v="0"/>
    <d v="2016-08-13T00:00:00"/>
    <n v="8"/>
    <x v="26"/>
    <n v="1"/>
    <x v="25"/>
    <s v="Galfera"/>
    <x v="35"/>
    <n v="2"/>
    <n v="33"/>
    <n v="153"/>
    <x v="2"/>
    <m/>
    <m/>
    <m/>
    <m/>
  </r>
  <r>
    <x v="0"/>
    <d v="2016-08-14T00:00:00"/>
    <n v="8"/>
    <x v="26"/>
    <n v="1"/>
    <x v="25"/>
    <s v="Galfera"/>
    <x v="186"/>
    <n v="5"/>
    <n v="10"/>
    <n v="310"/>
    <x v="2"/>
    <s v="Bier bei Wirths:) 106km"/>
    <m/>
    <m/>
    <m/>
  </r>
  <r>
    <x v="0"/>
    <d v="2016-08-15T00:00:00"/>
    <n v="8"/>
    <x v="26"/>
    <n v="1"/>
    <x v="25"/>
    <s v="Galfera"/>
    <x v="19"/>
    <m/>
    <n v="55"/>
    <n v="55"/>
    <x v="2"/>
    <m/>
    <m/>
    <m/>
    <m/>
  </r>
  <r>
    <x v="0"/>
    <d v="2016-08-16T00:00:00"/>
    <n v="8"/>
    <x v="26"/>
    <n v="1"/>
    <x v="25"/>
    <s v="Heimat"/>
    <x v="63"/>
    <n v="1"/>
    <n v="39"/>
    <n v="99"/>
    <x v="2"/>
    <m/>
    <m/>
    <m/>
    <m/>
  </r>
  <r>
    <x v="0"/>
    <d v="2016-08-19T00:00:00"/>
    <n v="8"/>
    <x v="26"/>
    <n v="1"/>
    <x v="25"/>
    <s v="Heimat"/>
    <x v="19"/>
    <m/>
    <n v="51"/>
    <n v="51"/>
    <x v="2"/>
    <s v="Zwischenhalt in Chäserstatt - Aprikosenkuchen"/>
    <m/>
    <m/>
    <m/>
  </r>
  <r>
    <x v="0"/>
    <d v="2016-08-25T00:00:00"/>
    <n v="8"/>
    <x v="26"/>
    <n v="1"/>
    <x v="25"/>
    <s v="Steibenkreuz"/>
    <x v="63"/>
    <n v="1"/>
    <n v="40"/>
    <n v="100"/>
    <x v="2"/>
    <m/>
    <m/>
    <m/>
    <m/>
  </r>
  <r>
    <x v="0"/>
    <d v="2016-08-26T00:00:00"/>
    <n v="8"/>
    <x v="26"/>
    <n v="1"/>
    <x v="25"/>
    <s v="Galfera"/>
    <x v="35"/>
    <n v="1"/>
    <n v="29"/>
    <n v="89"/>
    <x v="2"/>
    <s v="mit Andrea"/>
    <m/>
    <m/>
    <m/>
  </r>
  <r>
    <x v="0"/>
    <d v="2016-08-27T00:00:00"/>
    <n v="8"/>
    <x v="26"/>
    <n v="1"/>
    <x v="25"/>
    <s v="Heimat"/>
    <x v="19"/>
    <n v="3"/>
    <n v="28"/>
    <n v="208"/>
    <x v="2"/>
    <s v="Sidelhorn,  Grosses Wannenhorn 4200MüM, Gross Grünhorn"/>
    <m/>
    <m/>
    <m/>
  </r>
  <r>
    <x v="0"/>
    <d v="2016-08-28T00:00:00"/>
    <n v="8"/>
    <x v="26"/>
    <n v="1"/>
    <x v="25"/>
    <s v="Galfera"/>
    <x v="63"/>
    <n v="1"/>
    <n v="23"/>
    <n v="83"/>
    <x v="2"/>
    <m/>
    <m/>
    <m/>
    <m/>
  </r>
  <r>
    <x v="0"/>
    <d v="2016-09-02T00:00:00"/>
    <n v="9"/>
    <x v="26"/>
    <n v="1"/>
    <x v="25"/>
    <s v="Richinen"/>
    <x v="63"/>
    <m/>
    <n v="38"/>
    <n v="38"/>
    <x v="2"/>
    <m/>
    <m/>
    <m/>
    <m/>
  </r>
  <r>
    <x v="0"/>
    <d v="2016-09-03T00:00:00"/>
    <n v="9"/>
    <x v="26"/>
    <n v="1"/>
    <x v="25"/>
    <s v="Heimat"/>
    <x v="19"/>
    <n v="1"/>
    <n v="28"/>
    <n v="88"/>
    <x v="2"/>
    <m/>
    <m/>
    <m/>
    <m/>
  </r>
  <r>
    <x v="0"/>
    <d v="2016-09-10T00:00:00"/>
    <n v="9"/>
    <x v="26"/>
    <n v="1"/>
    <x v="25"/>
    <s v="Heimat"/>
    <x v="63"/>
    <n v="2"/>
    <n v="4"/>
    <n v="124"/>
    <x v="2"/>
    <m/>
    <m/>
    <m/>
    <m/>
  </r>
  <r>
    <x v="0"/>
    <d v="2016-09-11T00:00:00"/>
    <n v="9"/>
    <x v="26"/>
    <n v="1"/>
    <x v="25"/>
    <s v="Galfera"/>
    <x v="19"/>
    <n v="1"/>
    <n v="33"/>
    <n v="93"/>
    <x v="2"/>
    <m/>
    <m/>
    <m/>
    <m/>
  </r>
  <r>
    <x v="0"/>
    <d v="2016-09-12T00:00:00"/>
    <n v="9"/>
    <x v="26"/>
    <n v="1"/>
    <x v="25"/>
    <s v="Heimat"/>
    <x v="187"/>
    <m/>
    <n v="30"/>
    <n v="30"/>
    <x v="2"/>
    <m/>
    <m/>
    <m/>
    <m/>
  </r>
  <r>
    <x v="0"/>
    <d v="2016-09-24T00:00:00"/>
    <n v="9"/>
    <x v="26"/>
    <n v="1"/>
    <x v="25"/>
    <s v="Galfera"/>
    <x v="22"/>
    <n v="1"/>
    <n v="30"/>
    <n v="90"/>
    <x v="2"/>
    <s v="mit Pascal bei Doris gelandet"/>
    <m/>
    <m/>
    <m/>
  </r>
  <r>
    <x v="0"/>
    <d v="2016-09-25T00:00:00"/>
    <n v="9"/>
    <x v="26"/>
    <n v="1"/>
    <x v="25"/>
    <s v="Motta Naluns"/>
    <x v="92"/>
    <m/>
    <n v="59"/>
    <n v="59"/>
    <x v="13"/>
    <m/>
    <m/>
    <m/>
    <m/>
  </r>
  <r>
    <x v="0"/>
    <d v="2016-09-25T00:00:00"/>
    <n v="9"/>
    <x v="26"/>
    <n v="0"/>
    <x v="25"/>
    <s v="Watles Prämajur"/>
    <x v="188"/>
    <m/>
    <n v="21"/>
    <n v="21"/>
    <x v="13"/>
    <m/>
    <m/>
    <m/>
    <m/>
  </r>
  <r>
    <x v="0"/>
    <d v="2016-09-26T00:00:00"/>
    <n v="9"/>
    <x v="26"/>
    <n v="1"/>
    <x v="25"/>
    <s v="Watles Prämajur"/>
    <x v="142"/>
    <n v="2"/>
    <n v="4"/>
    <n v="124"/>
    <x v="13"/>
    <m/>
    <m/>
    <m/>
    <m/>
  </r>
  <r>
    <x v="0"/>
    <d v="2016-09-26T00:00:00"/>
    <n v="9"/>
    <x v="26"/>
    <n v="0"/>
    <x v="25"/>
    <s v="Watles Hotel"/>
    <x v="142"/>
    <m/>
    <n v="37"/>
    <n v="37"/>
    <x v="13"/>
    <m/>
    <m/>
    <m/>
    <m/>
  </r>
  <r>
    <x v="0"/>
    <d v="2016-09-27T00:00:00"/>
    <n v="9"/>
    <x v="26"/>
    <n v="1"/>
    <x v="25"/>
    <s v="Col Rodella"/>
    <x v="60"/>
    <m/>
    <n v="43"/>
    <n v="43"/>
    <x v="13"/>
    <m/>
    <m/>
    <m/>
    <m/>
  </r>
  <r>
    <x v="0"/>
    <d v="2016-09-28T00:00:00"/>
    <n v="9"/>
    <x v="26"/>
    <n v="1"/>
    <x v="25"/>
    <s v="Col Rodella"/>
    <x v="60"/>
    <n v="2"/>
    <n v="11"/>
    <n v="131"/>
    <x v="13"/>
    <m/>
    <m/>
    <m/>
    <m/>
  </r>
  <r>
    <x v="0"/>
    <d v="2016-09-28T00:00:00"/>
    <n v="9"/>
    <x v="26"/>
    <n v="0"/>
    <x v="25"/>
    <s v="Col Rodella"/>
    <x v="60"/>
    <n v="1"/>
    <n v="30"/>
    <n v="90"/>
    <x v="13"/>
    <m/>
    <m/>
    <m/>
    <m/>
  </r>
  <r>
    <x v="0"/>
    <d v="2016-09-29T00:00:00"/>
    <n v="9"/>
    <x v="26"/>
    <n v="1"/>
    <x v="25"/>
    <s v="Col Rodella"/>
    <x v="60"/>
    <m/>
    <n v="14"/>
    <n v="14"/>
    <x v="13"/>
    <m/>
    <m/>
    <m/>
    <m/>
  </r>
  <r>
    <x v="0"/>
    <d v="2016-09-29T00:00:00"/>
    <n v="9"/>
    <x v="26"/>
    <n v="0"/>
    <x v="25"/>
    <s v="Rosengarten"/>
    <x v="60"/>
    <n v="1"/>
    <n v="8"/>
    <n v="68"/>
    <x v="13"/>
    <m/>
    <m/>
    <m/>
    <m/>
  </r>
  <r>
    <x v="0"/>
    <d v="2016-09-30T00:00:00"/>
    <n v="9"/>
    <x v="26"/>
    <n v="1"/>
    <x v="25"/>
    <s v="Col Rodella"/>
    <x v="60"/>
    <n v="2"/>
    <n v="50"/>
    <n v="170"/>
    <x v="13"/>
    <m/>
    <m/>
    <m/>
    <m/>
  </r>
  <r>
    <x v="0"/>
    <d v="2016-10-03T00:00:00"/>
    <n v="10"/>
    <x v="26"/>
    <n v="1"/>
    <x v="25"/>
    <s v="Chalves S"/>
    <x v="71"/>
    <n v="1"/>
    <m/>
    <n v="60"/>
    <x v="28"/>
    <m/>
    <m/>
    <m/>
    <m/>
  </r>
  <r>
    <x v="0"/>
    <d v="2016-10-03T00:00:00"/>
    <n v="10"/>
    <x v="26"/>
    <n v="0"/>
    <x v="25"/>
    <s v="Chalves S"/>
    <x v="71"/>
    <n v="1"/>
    <n v="6"/>
    <n v="66"/>
    <x v="28"/>
    <m/>
    <m/>
    <m/>
    <m/>
  </r>
  <r>
    <x v="0"/>
    <d v="2016-10-03T00:00:00"/>
    <n v="10"/>
    <x v="26"/>
    <n v="0"/>
    <x v="25"/>
    <s v="Chalves W"/>
    <x v="71"/>
    <n v="1"/>
    <n v="15"/>
    <n v="75"/>
    <x v="28"/>
    <m/>
    <m/>
    <m/>
    <m/>
  </r>
  <r>
    <x v="0"/>
    <d v="2016-10-04T00:00:00"/>
    <n v="10"/>
    <x v="26"/>
    <n v="1"/>
    <x v="25"/>
    <s v="Chalves W"/>
    <x v="189"/>
    <n v="1"/>
    <n v="46"/>
    <n v="106"/>
    <x v="28"/>
    <s v="mit Ernesto, über die Krete:)"/>
    <m/>
    <m/>
    <m/>
  </r>
  <r>
    <x v="0"/>
    <d v="2016-10-05T00:00:00"/>
    <n v="10"/>
    <x v="26"/>
    <n v="1"/>
    <x v="25"/>
    <s v="St Vincent Les Forts"/>
    <x v="160"/>
    <m/>
    <n v="10"/>
    <n v="10"/>
    <x v="28"/>
    <m/>
    <m/>
    <m/>
    <m/>
  </r>
  <r>
    <x v="0"/>
    <d v="2016-10-05T00:00:00"/>
    <n v="10"/>
    <x v="26"/>
    <n v="0"/>
    <x v="25"/>
    <s v="St Vincent Les Forts"/>
    <x v="160"/>
    <m/>
    <n v="16"/>
    <n v="16"/>
    <x v="28"/>
    <m/>
    <m/>
    <m/>
    <m/>
  </r>
  <r>
    <x v="0"/>
    <d v="2016-10-05T00:00:00"/>
    <n v="10"/>
    <x v="26"/>
    <n v="0"/>
    <x v="25"/>
    <s v="St Vincent Les Forts"/>
    <x v="160"/>
    <m/>
    <n v="19"/>
    <n v="19"/>
    <x v="28"/>
    <m/>
    <m/>
    <m/>
    <m/>
  </r>
  <r>
    <x v="0"/>
    <d v="2016-10-06T00:00:00"/>
    <n v="10"/>
    <x v="26"/>
    <n v="1"/>
    <x v="25"/>
    <s v="Aspres sur Buech"/>
    <x v="159"/>
    <n v="1"/>
    <n v="2"/>
    <n v="62"/>
    <x v="28"/>
    <m/>
    <m/>
    <m/>
    <m/>
  </r>
  <r>
    <x v="0"/>
    <d v="2016-10-07T00:00:00"/>
    <n v="10"/>
    <x v="26"/>
    <n v="1"/>
    <x v="25"/>
    <s v="Chalves W"/>
    <x v="71"/>
    <m/>
    <n v="8"/>
    <n v="8"/>
    <x v="28"/>
    <m/>
    <m/>
    <m/>
    <m/>
  </r>
  <r>
    <x v="0"/>
    <d v="2016-10-07T00:00:00"/>
    <n v="10"/>
    <x v="26"/>
    <n v="0"/>
    <x v="25"/>
    <s v="Chalves W"/>
    <x v="71"/>
    <m/>
    <n v="24"/>
    <n v="24"/>
    <x v="28"/>
    <m/>
    <m/>
    <m/>
    <m/>
  </r>
  <r>
    <x v="0"/>
    <d v="2016-10-08T00:00:00"/>
    <n v="10"/>
    <x v="26"/>
    <n v="1"/>
    <x v="25"/>
    <s v="Chalves W"/>
    <x v="190"/>
    <n v="1"/>
    <n v="11"/>
    <n v="71"/>
    <x v="28"/>
    <m/>
    <m/>
    <m/>
    <m/>
  </r>
  <r>
    <x v="0"/>
    <d v="2016-10-08T00:00:00"/>
    <n v="10"/>
    <x v="26"/>
    <n v="0"/>
    <x v="25"/>
    <s v="Chalves W"/>
    <x v="71"/>
    <m/>
    <n v="39"/>
    <n v="39"/>
    <x v="28"/>
    <m/>
    <m/>
    <m/>
    <m/>
  </r>
  <r>
    <x v="0"/>
    <d v="2016-10-09T00:00:00"/>
    <n v="10"/>
    <x v="26"/>
    <n v="1"/>
    <x v="25"/>
    <s v="Montmin- Annecy"/>
    <x v="165"/>
    <m/>
    <n v="40"/>
    <n v="40"/>
    <x v="28"/>
    <m/>
    <m/>
    <m/>
    <m/>
  </r>
  <r>
    <x v="0"/>
    <d v="2016-10-15T00:00:00"/>
    <n v="10"/>
    <x v="26"/>
    <n v="1"/>
    <x v="25"/>
    <s v="Heimat"/>
    <x v="19"/>
    <n v="1"/>
    <n v="21"/>
    <n v="81"/>
    <x v="31"/>
    <m/>
    <m/>
    <m/>
    <m/>
  </r>
  <r>
    <x v="0"/>
    <d v="2016-10-16T00:00:00"/>
    <n v="10"/>
    <x v="26"/>
    <n v="1"/>
    <x v="27"/>
    <s v="Heimat"/>
    <x v="19"/>
    <n v="1"/>
    <n v="31"/>
    <n v="91"/>
    <x v="31"/>
    <s v="mit Ambros :)"/>
    <m/>
    <m/>
    <m/>
  </r>
  <r>
    <x v="0"/>
    <d v="2016-10-16T00:00:00"/>
    <n v="10"/>
    <x v="26"/>
    <n v="0"/>
    <x v="28"/>
    <s v="Heimat"/>
    <x v="19"/>
    <m/>
    <n v="35"/>
    <n v="35"/>
    <x v="31"/>
    <m/>
    <m/>
    <m/>
    <m/>
  </r>
  <r>
    <x v="0"/>
    <d v="2016-10-22T00:00:00"/>
    <n v="10"/>
    <x v="26"/>
    <n v="1"/>
    <x v="25"/>
    <s v="Heimat"/>
    <x v="35"/>
    <m/>
    <n v="51"/>
    <n v="51"/>
    <x v="2"/>
    <s v="Leberli:)"/>
    <m/>
    <m/>
    <m/>
  </r>
  <r>
    <x v="0"/>
    <d v="2016-12-03T00:00:00"/>
    <n v="12"/>
    <x v="26"/>
    <n v="1"/>
    <x v="25"/>
    <s v="Heimat"/>
    <x v="63"/>
    <m/>
    <n v="22"/>
    <n v="22"/>
    <x v="2"/>
    <m/>
    <m/>
    <m/>
    <m/>
  </r>
  <r>
    <x v="0"/>
    <d v="2016-12-04T00:00:00"/>
    <n v="12"/>
    <x v="26"/>
    <n v="1"/>
    <x v="25"/>
    <s v="Heimat"/>
    <x v="19"/>
    <m/>
    <n v="42"/>
    <n v="42"/>
    <x v="2"/>
    <m/>
    <m/>
    <m/>
    <m/>
  </r>
  <r>
    <x v="0"/>
    <d v="2016-12-10T00:00:00"/>
    <n v="12"/>
    <x v="26"/>
    <n v="1"/>
    <x v="25"/>
    <s v="Heimat"/>
    <x v="63"/>
    <m/>
    <n v="34"/>
    <n v="34"/>
    <x v="2"/>
    <m/>
    <m/>
    <m/>
    <m/>
  </r>
  <r>
    <x v="0"/>
    <d v="2016-12-14T00:00:00"/>
    <n v="12"/>
    <x v="26"/>
    <n v="1"/>
    <x v="25"/>
    <s v="Heimat"/>
    <x v="63"/>
    <m/>
    <n v="46"/>
    <n v="46"/>
    <x v="2"/>
    <m/>
    <m/>
    <m/>
    <m/>
  </r>
  <r>
    <x v="0"/>
    <d v="2016-12-15T00:00:00"/>
    <n v="12"/>
    <x v="26"/>
    <n v="1"/>
    <x v="25"/>
    <s v="Heimat"/>
    <x v="166"/>
    <n v="1"/>
    <n v="8"/>
    <n v="68"/>
    <x v="2"/>
    <m/>
    <m/>
    <m/>
    <m/>
  </r>
  <r>
    <x v="0"/>
    <d v="2016-12-17T00:00:00"/>
    <n v="12"/>
    <x v="26"/>
    <n v="1"/>
    <x v="25"/>
    <s v="Heimat"/>
    <x v="63"/>
    <m/>
    <n v="50"/>
    <n v="50"/>
    <x v="2"/>
    <m/>
    <m/>
    <m/>
    <m/>
  </r>
  <r>
    <x v="0"/>
    <d v="2016-12-18T00:00:00"/>
    <n v="12"/>
    <x v="26"/>
    <n v="1"/>
    <x v="25"/>
    <s v="Heimat"/>
    <x v="19"/>
    <n v="1"/>
    <n v="19"/>
    <n v="79"/>
    <x v="2"/>
    <m/>
    <m/>
    <m/>
    <m/>
  </r>
  <r>
    <x v="0"/>
    <d v="2016-12-22T00:00:00"/>
    <n v="12"/>
    <x v="26"/>
    <n v="1"/>
    <x v="25"/>
    <s v="Heimat"/>
    <x v="166"/>
    <n v="1"/>
    <n v="5"/>
    <n v="65"/>
    <x v="2"/>
    <m/>
    <m/>
    <m/>
    <m/>
  </r>
  <r>
    <x v="0"/>
    <d v="2016-12-23T00:00:00"/>
    <n v="12"/>
    <x v="26"/>
    <n v="1"/>
    <x v="25"/>
    <s v="Steibenkreuz"/>
    <x v="80"/>
    <m/>
    <n v="18"/>
    <n v="18"/>
    <x v="2"/>
    <m/>
    <m/>
    <m/>
    <m/>
  </r>
  <r>
    <x v="0"/>
    <d v="2016-12-30T00:00:00"/>
    <n v="12"/>
    <x v="26"/>
    <n v="1"/>
    <x v="25"/>
    <s v="Steibenkreuz"/>
    <x v="80"/>
    <m/>
    <n v="19"/>
    <n v="19"/>
    <x v="2"/>
    <m/>
    <m/>
    <m/>
    <m/>
  </r>
  <r>
    <x v="0"/>
    <d v="2017-01-01T00:00:00"/>
    <n v="1"/>
    <x v="27"/>
    <n v="1"/>
    <x v="25"/>
    <s v="Steibenkreuz"/>
    <x v="167"/>
    <n v="1"/>
    <n v="38"/>
    <n v="98"/>
    <x v="2"/>
    <m/>
    <m/>
    <m/>
    <m/>
  </r>
  <r>
    <x v="0"/>
    <d v="2017-02-19T00:00:00"/>
    <n v="2"/>
    <x v="27"/>
    <n v="1"/>
    <x v="25"/>
    <s v="Steibenkreuz"/>
    <x v="63"/>
    <n v="1"/>
    <n v="31"/>
    <n v="91"/>
    <x v="2"/>
    <m/>
    <m/>
    <m/>
    <m/>
  </r>
  <r>
    <x v="0"/>
    <d v="2017-02-25T00:00:00"/>
    <n v="2"/>
    <x v="27"/>
    <n v="1"/>
    <x v="25"/>
    <s v="Steibenkreuz"/>
    <x v="35"/>
    <m/>
    <n v="36"/>
    <n v="36"/>
    <x v="2"/>
    <m/>
    <m/>
    <m/>
    <m/>
  </r>
  <r>
    <x v="0"/>
    <d v="2017-03-11T00:00:00"/>
    <n v="3"/>
    <x v="27"/>
    <n v="1"/>
    <x v="25"/>
    <s v="Sierra de Lijar W"/>
    <x v="132"/>
    <n v="1"/>
    <n v="3"/>
    <n v="63"/>
    <x v="21"/>
    <m/>
    <m/>
    <m/>
    <m/>
  </r>
  <r>
    <x v="0"/>
    <d v="2017-03-12T00:00:00"/>
    <n v="3"/>
    <x v="27"/>
    <n v="1"/>
    <x v="25"/>
    <s v="El Bosque"/>
    <x v="191"/>
    <m/>
    <n v="48"/>
    <n v="48"/>
    <x v="21"/>
    <m/>
    <m/>
    <m/>
    <m/>
  </r>
  <r>
    <x v="0"/>
    <d v="2017-03-15T00:00:00"/>
    <n v="3"/>
    <x v="27"/>
    <n v="1"/>
    <x v="25"/>
    <s v="Otivar"/>
    <x v="192"/>
    <n v="1"/>
    <n v="18"/>
    <n v="78"/>
    <x v="21"/>
    <m/>
    <m/>
    <m/>
    <m/>
  </r>
  <r>
    <x v="0"/>
    <d v="2017-03-17T00:00:00"/>
    <n v="3"/>
    <x v="27"/>
    <n v="1"/>
    <x v="25"/>
    <s v="Loma del Gato"/>
    <x v="193"/>
    <m/>
    <n v="8"/>
    <n v="8"/>
    <x v="21"/>
    <m/>
    <m/>
    <m/>
    <m/>
  </r>
  <r>
    <x v="0"/>
    <d v="2017-03-17T00:00:00"/>
    <n v="3"/>
    <x v="27"/>
    <n v="0"/>
    <x v="25"/>
    <s v="Loma del Gato"/>
    <x v="193"/>
    <m/>
    <n v="8"/>
    <n v="8"/>
    <x v="21"/>
    <m/>
    <m/>
    <m/>
    <m/>
  </r>
  <r>
    <x v="0"/>
    <d v="2017-03-17T00:00:00"/>
    <n v="3"/>
    <x v="27"/>
    <n v="0"/>
    <x v="25"/>
    <s v="Itrabo Ost"/>
    <x v="193"/>
    <m/>
    <n v="24"/>
    <n v="24"/>
    <x v="21"/>
    <m/>
    <m/>
    <m/>
    <m/>
  </r>
  <r>
    <x v="0"/>
    <d v="2017-03-18T00:00:00"/>
    <n v="3"/>
    <x v="27"/>
    <n v="1"/>
    <x v="25"/>
    <s v="Loma del Gato"/>
    <x v="193"/>
    <n v="1"/>
    <n v="1"/>
    <n v="61"/>
    <x v="21"/>
    <m/>
    <m/>
    <m/>
    <m/>
  </r>
  <r>
    <x v="0"/>
    <d v="2017-03-30T00:00:00"/>
    <n v="3"/>
    <x v="27"/>
    <n v="1"/>
    <x v="25"/>
    <s v="Steibenkreuz"/>
    <x v="63"/>
    <n v="2"/>
    <n v="22"/>
    <n v="142"/>
    <x v="2"/>
    <m/>
    <m/>
    <m/>
    <m/>
  </r>
  <r>
    <x v="0"/>
    <d v="2017-04-07T00:00:00"/>
    <n v="4"/>
    <x v="27"/>
    <n v="1"/>
    <x v="29"/>
    <s v="Heimat"/>
    <x v="63"/>
    <m/>
    <n v="47"/>
    <n v="47"/>
    <x v="2"/>
    <m/>
    <m/>
    <m/>
    <m/>
  </r>
  <r>
    <x v="0"/>
    <d v="2017-04-08T00:00:00"/>
    <n v="4"/>
    <x v="27"/>
    <n v="1"/>
    <x v="29"/>
    <s v="Heimat"/>
    <x v="194"/>
    <n v="1"/>
    <n v="41"/>
    <n v="101"/>
    <x v="2"/>
    <s v="mit Albert"/>
    <m/>
    <m/>
    <m/>
  </r>
  <r>
    <x v="0"/>
    <d v="2017-04-09T00:00:00"/>
    <n v="4"/>
    <x v="27"/>
    <n v="1"/>
    <x v="29"/>
    <s v="Heimat"/>
    <x v="63"/>
    <n v="3"/>
    <n v="4"/>
    <n v="184"/>
    <x v="2"/>
    <s v="mit Ernesto"/>
    <m/>
    <m/>
    <m/>
  </r>
  <r>
    <x v="0"/>
    <d v="2017-04-10T00:00:00"/>
    <n v="4"/>
    <x v="27"/>
    <n v="1"/>
    <x v="29"/>
    <s v="Heimat"/>
    <x v="63"/>
    <n v="1"/>
    <n v="10"/>
    <n v="70"/>
    <x v="2"/>
    <m/>
    <m/>
    <m/>
    <m/>
  </r>
  <r>
    <x v="0"/>
    <d v="2017-04-14T00:00:00"/>
    <n v="4"/>
    <x v="27"/>
    <n v="1"/>
    <x v="29"/>
    <s v="Heimat"/>
    <x v="63"/>
    <n v="1"/>
    <n v="41"/>
    <n v="101"/>
    <x v="2"/>
    <m/>
    <m/>
    <m/>
    <m/>
  </r>
  <r>
    <x v="0"/>
    <d v="2017-04-21T00:00:00"/>
    <n v="4"/>
    <x v="27"/>
    <n v="1"/>
    <x v="25"/>
    <s v="Heimat"/>
    <x v="63"/>
    <n v="2"/>
    <n v="12"/>
    <n v="132"/>
    <x v="2"/>
    <m/>
    <m/>
    <m/>
    <m/>
  </r>
  <r>
    <x v="1"/>
    <d v="2017-04-29T00:00:00"/>
    <n v="4"/>
    <x v="27"/>
    <n v="1"/>
    <x v="29"/>
    <s v="San Fermo"/>
    <x v="133"/>
    <m/>
    <n v="47"/>
    <n v="47"/>
    <x v="30"/>
    <s v="Rundflug zum Lago d'Iseo"/>
    <m/>
    <m/>
    <m/>
  </r>
  <r>
    <x v="1"/>
    <d v="2017-04-29T00:00:00"/>
    <n v="4"/>
    <x v="27"/>
    <n v="0"/>
    <x v="29"/>
    <s v="San Fermo"/>
    <x v="135"/>
    <m/>
    <n v="57"/>
    <n v="57"/>
    <x v="30"/>
    <m/>
    <m/>
    <m/>
    <m/>
  </r>
  <r>
    <x v="1"/>
    <d v="2017-04-30T00:00:00"/>
    <n v="4"/>
    <x v="27"/>
    <n v="1"/>
    <x v="29"/>
    <s v="San Fermo"/>
    <x v="133"/>
    <n v="1"/>
    <n v="2"/>
    <n v="62"/>
    <x v="30"/>
    <s v="Rundflug zum Lago d'Iseo"/>
    <m/>
    <m/>
    <m/>
  </r>
  <r>
    <x v="1"/>
    <d v="2017-04-30T00:00:00"/>
    <n v="4"/>
    <x v="27"/>
    <n v="0"/>
    <x v="29"/>
    <s v="San Fermo"/>
    <x v="133"/>
    <m/>
    <n v="16"/>
    <n v="16"/>
    <x v="30"/>
    <m/>
    <m/>
    <m/>
    <m/>
  </r>
  <r>
    <x v="1"/>
    <d v="2017-04-30T00:00:00"/>
    <n v="4"/>
    <x v="27"/>
    <n v="0"/>
    <x v="29"/>
    <s v="San Fermo"/>
    <x v="135"/>
    <m/>
    <n v="29"/>
    <n v="29"/>
    <x v="30"/>
    <m/>
    <m/>
    <m/>
    <m/>
  </r>
  <r>
    <x v="0"/>
    <d v="2017-05-05T00:00:00"/>
    <n v="5"/>
    <x v="27"/>
    <n v="1"/>
    <x v="29"/>
    <s v="Heimat"/>
    <x v="63"/>
    <n v="1"/>
    <n v="42"/>
    <n v="102"/>
    <x v="2"/>
    <s v="mit Lukas Galmihornhütte"/>
    <m/>
    <m/>
    <m/>
  </r>
  <r>
    <x v="0"/>
    <d v="2017-05-21T00:00:00"/>
    <n v="5"/>
    <x v="27"/>
    <n v="1"/>
    <x v="29"/>
    <s v="Heimat"/>
    <x v="63"/>
    <n v="1"/>
    <n v="46"/>
    <n v="106"/>
    <x v="2"/>
    <m/>
    <m/>
    <m/>
    <m/>
  </r>
  <r>
    <x v="0"/>
    <d v="2017-05-22T00:00:00"/>
    <n v="5"/>
    <x v="27"/>
    <n v="1"/>
    <x v="29"/>
    <s v="Heimat"/>
    <x v="63"/>
    <n v="1"/>
    <n v="28"/>
    <n v="88"/>
    <x v="2"/>
    <m/>
    <m/>
    <m/>
    <m/>
  </r>
  <r>
    <x v="0"/>
    <d v="2017-05-26T00:00:00"/>
    <n v="5"/>
    <x v="27"/>
    <n v="1"/>
    <x v="29"/>
    <s v="Praia das Areias Branca"/>
    <x v="195"/>
    <m/>
    <n v="17"/>
    <n v="17"/>
    <x v="23"/>
    <m/>
    <m/>
    <m/>
    <m/>
  </r>
  <r>
    <x v="0"/>
    <d v="2017-05-27T00:00:00"/>
    <n v="5"/>
    <x v="27"/>
    <n v="1"/>
    <x v="29"/>
    <s v="Arrabida"/>
    <x v="196"/>
    <m/>
    <n v="10"/>
    <n v="10"/>
    <x v="23"/>
    <m/>
    <m/>
    <m/>
    <m/>
  </r>
  <r>
    <x v="0"/>
    <d v="2017-05-27T00:00:00"/>
    <n v="5"/>
    <x v="27"/>
    <n v="0"/>
    <x v="29"/>
    <s v="Sesimbra"/>
    <x v="141"/>
    <m/>
    <n v="38"/>
    <n v="38"/>
    <x v="23"/>
    <m/>
    <m/>
    <m/>
    <m/>
  </r>
  <r>
    <x v="0"/>
    <d v="2017-05-27T00:00:00"/>
    <n v="5"/>
    <x v="27"/>
    <n v="0"/>
    <x v="29"/>
    <s v="Praia das Bicas"/>
    <x v="197"/>
    <m/>
    <n v="56"/>
    <n v="56"/>
    <x v="23"/>
    <m/>
    <m/>
    <m/>
    <m/>
  </r>
  <r>
    <x v="0"/>
    <d v="2017-05-28T00:00:00"/>
    <n v="5"/>
    <x v="27"/>
    <n v="1"/>
    <x v="29"/>
    <s v="Sao Pedro"/>
    <x v="198"/>
    <m/>
    <n v="39"/>
    <n v="39"/>
    <x v="23"/>
    <m/>
    <m/>
    <m/>
    <m/>
  </r>
  <r>
    <x v="0"/>
    <d v="2017-05-28T00:00:00"/>
    <n v="5"/>
    <x v="27"/>
    <n v="0"/>
    <x v="29"/>
    <s v="Sao Pedro"/>
    <x v="199"/>
    <n v="1"/>
    <n v="12"/>
    <n v="72"/>
    <x v="23"/>
    <m/>
    <m/>
    <m/>
    <m/>
  </r>
  <r>
    <x v="0"/>
    <d v="2017-05-29T00:00:00"/>
    <n v="5"/>
    <x v="27"/>
    <n v="1"/>
    <x v="29"/>
    <s v="Sao Pedro"/>
    <x v="198"/>
    <m/>
    <n v="9"/>
    <n v="9"/>
    <x v="23"/>
    <m/>
    <m/>
    <m/>
    <m/>
  </r>
  <r>
    <x v="0"/>
    <d v="2017-05-29T00:00:00"/>
    <n v="5"/>
    <x v="27"/>
    <n v="0"/>
    <x v="29"/>
    <s v="Sao Pedro"/>
    <x v="200"/>
    <m/>
    <n v="59"/>
    <n v="59"/>
    <x v="23"/>
    <m/>
    <m/>
    <m/>
    <m/>
  </r>
  <r>
    <x v="0"/>
    <d v="2017-05-29T00:00:00"/>
    <n v="5"/>
    <x v="27"/>
    <n v="0"/>
    <x v="29"/>
    <s v="Linhares"/>
    <x v="136"/>
    <m/>
    <n v="58"/>
    <n v="58"/>
    <x v="23"/>
    <m/>
    <m/>
    <m/>
    <m/>
  </r>
  <r>
    <x v="0"/>
    <d v="2017-05-30T00:00:00"/>
    <n v="5"/>
    <x v="27"/>
    <n v="1"/>
    <x v="29"/>
    <s v="Linhares"/>
    <x v="201"/>
    <m/>
    <n v="45"/>
    <n v="45"/>
    <x v="23"/>
    <m/>
    <m/>
    <m/>
    <m/>
  </r>
  <r>
    <x v="0"/>
    <d v="2017-05-30T00:00:00"/>
    <n v="5"/>
    <x v="27"/>
    <n v="0"/>
    <x v="29"/>
    <s v="Linhares"/>
    <x v="202"/>
    <n v="1"/>
    <n v="1"/>
    <n v="61"/>
    <x v="23"/>
    <s v="Zum Hotel"/>
    <m/>
    <m/>
    <m/>
  </r>
  <r>
    <x v="0"/>
    <d v="2017-05-31T00:00:00"/>
    <n v="5"/>
    <x v="27"/>
    <n v="1"/>
    <x v="29"/>
    <s v="Azinha"/>
    <x v="203"/>
    <m/>
    <n v="35"/>
    <n v="35"/>
    <x v="23"/>
    <m/>
    <m/>
    <m/>
    <m/>
  </r>
  <r>
    <x v="0"/>
    <d v="2017-05-31T00:00:00"/>
    <n v="5"/>
    <x v="27"/>
    <n v="0"/>
    <x v="29"/>
    <s v="Vale Amoreira"/>
    <x v="203"/>
    <m/>
    <n v="14"/>
    <n v="14"/>
    <x v="23"/>
    <m/>
    <m/>
    <m/>
    <m/>
  </r>
  <r>
    <x v="0"/>
    <d v="2017-05-31T00:00:00"/>
    <n v="5"/>
    <x v="27"/>
    <n v="0"/>
    <x v="29"/>
    <s v="Linhares"/>
    <x v="136"/>
    <n v="1"/>
    <n v="4"/>
    <n v="64"/>
    <x v="23"/>
    <m/>
    <m/>
    <m/>
    <m/>
  </r>
  <r>
    <x v="0"/>
    <d v="2017-05-31T00:00:00"/>
    <n v="5"/>
    <x v="27"/>
    <n v="0"/>
    <x v="29"/>
    <s v="Linhares"/>
    <x v="136"/>
    <m/>
    <n v="55"/>
    <n v="55"/>
    <x v="23"/>
    <m/>
    <m/>
    <m/>
    <m/>
  </r>
  <r>
    <x v="0"/>
    <d v="2017-05-31T00:00:00"/>
    <n v="5"/>
    <x v="27"/>
    <n v="0"/>
    <x v="29"/>
    <s v="Linhares"/>
    <x v="136"/>
    <m/>
    <n v="28"/>
    <n v="28"/>
    <x v="23"/>
    <m/>
    <m/>
    <m/>
    <m/>
  </r>
  <r>
    <x v="0"/>
    <d v="2017-06-01T00:00:00"/>
    <n v="6"/>
    <x v="27"/>
    <n v="1"/>
    <x v="29"/>
    <s v="Larouco"/>
    <x v="181"/>
    <m/>
    <n v="18"/>
    <n v="18"/>
    <x v="23"/>
    <m/>
    <m/>
    <m/>
    <m/>
  </r>
  <r>
    <x v="0"/>
    <d v="2017-06-01T00:00:00"/>
    <n v="6"/>
    <x v="27"/>
    <n v="0"/>
    <x v="29"/>
    <s v="Larouco"/>
    <x v="181"/>
    <m/>
    <n v="34"/>
    <n v="34"/>
    <x v="23"/>
    <m/>
    <m/>
    <m/>
    <m/>
  </r>
  <r>
    <x v="0"/>
    <d v="2017-06-01T00:00:00"/>
    <n v="6"/>
    <x v="27"/>
    <n v="0"/>
    <x v="29"/>
    <s v="Larouco"/>
    <x v="204"/>
    <n v="1"/>
    <n v="46"/>
    <n v="106"/>
    <x v="23"/>
    <m/>
    <m/>
    <m/>
    <m/>
  </r>
  <r>
    <x v="0"/>
    <d v="2017-06-04T00:00:00"/>
    <n v="6"/>
    <x v="27"/>
    <n v="1"/>
    <x v="26"/>
    <s v="Mutti"/>
    <x v="63"/>
    <m/>
    <n v="10"/>
    <n v="10"/>
    <x v="2"/>
    <m/>
    <m/>
    <m/>
    <m/>
  </r>
  <r>
    <x v="0"/>
    <d v="2017-06-08T00:00:00"/>
    <n v="6"/>
    <x v="27"/>
    <n v="1"/>
    <x v="29"/>
    <s v="Heimat"/>
    <x v="35"/>
    <n v="1"/>
    <n v="18"/>
    <n v="78"/>
    <x v="2"/>
    <m/>
    <m/>
    <m/>
    <m/>
  </r>
  <r>
    <x v="0"/>
    <d v="2017-06-10T00:00:00"/>
    <n v="6"/>
    <x v="27"/>
    <n v="1"/>
    <x v="29"/>
    <s v="Heimat"/>
    <x v="35"/>
    <m/>
    <n v="46"/>
    <n v="46"/>
    <x v="2"/>
    <m/>
    <m/>
    <m/>
    <m/>
  </r>
  <r>
    <x v="0"/>
    <d v="2017-06-11T00:00:00"/>
    <n v="6"/>
    <x v="27"/>
    <n v="1"/>
    <x v="29"/>
    <s v="Heimat"/>
    <x v="63"/>
    <n v="2"/>
    <n v="49"/>
    <n v="169"/>
    <x v="2"/>
    <m/>
    <m/>
    <m/>
    <m/>
  </r>
  <r>
    <x v="0"/>
    <d v="2017-06-21T00:00:00"/>
    <n v="6"/>
    <x v="27"/>
    <n v="1"/>
    <x v="29"/>
    <s v="Richinen"/>
    <x v="35"/>
    <m/>
    <n v="41"/>
    <n v="41"/>
    <x v="2"/>
    <m/>
    <m/>
    <m/>
    <m/>
  </r>
  <r>
    <x v="0"/>
    <d v="2017-06-26T00:00:00"/>
    <n v="6"/>
    <x v="27"/>
    <n v="1"/>
    <x v="29"/>
    <s v="Richinen"/>
    <x v="80"/>
    <n v="1"/>
    <n v="0"/>
    <n v="60"/>
    <x v="2"/>
    <m/>
    <m/>
    <m/>
    <m/>
  </r>
  <r>
    <x v="0"/>
    <d v="2017-06-30T00:00:00"/>
    <n v="6"/>
    <x v="27"/>
    <n v="1"/>
    <x v="29"/>
    <s v="Richinen"/>
    <x v="35"/>
    <m/>
    <n v="51"/>
    <n v="51"/>
    <x v="2"/>
    <m/>
    <m/>
    <m/>
    <m/>
  </r>
  <r>
    <x v="0"/>
    <d v="2017-07-06T00:00:00"/>
    <n v="7"/>
    <x v="27"/>
    <n v="1"/>
    <x v="29"/>
    <s v="Richinen"/>
    <x v="27"/>
    <n v="1"/>
    <n v="21"/>
    <n v="81"/>
    <x v="2"/>
    <m/>
    <m/>
    <m/>
    <m/>
  </r>
  <r>
    <x v="0"/>
    <d v="2017-07-08T00:00:00"/>
    <n v="7"/>
    <x v="27"/>
    <n v="1"/>
    <x v="29"/>
    <s v="Steibenkreuz"/>
    <x v="35"/>
    <m/>
    <n v="38"/>
    <n v="38"/>
    <x v="2"/>
    <m/>
    <m/>
    <m/>
    <m/>
  </r>
  <r>
    <x v="0"/>
    <d v="2017-07-22T00:00:00"/>
    <n v="7"/>
    <x v="27"/>
    <n v="1"/>
    <x v="26"/>
    <s v="Risihorn"/>
    <x v="19"/>
    <m/>
    <n v="45"/>
    <n v="45"/>
    <x v="2"/>
    <s v="ohne Vario"/>
    <m/>
    <m/>
    <m/>
  </r>
  <r>
    <x v="0"/>
    <d v="2017-08-02T00:00:00"/>
    <n v="8"/>
    <x v="27"/>
    <n v="1"/>
    <x v="29"/>
    <s v="Steibenkreuz"/>
    <x v="205"/>
    <m/>
    <n v="27"/>
    <n v="27"/>
    <x v="2"/>
    <m/>
    <m/>
    <m/>
    <m/>
  </r>
  <r>
    <x v="0"/>
    <d v="2017-08-04T00:00:00"/>
    <n v="8"/>
    <x v="27"/>
    <n v="1"/>
    <x v="29"/>
    <s v="Steibenkreuz"/>
    <x v="19"/>
    <m/>
    <n v="26"/>
    <n v="26"/>
    <x v="2"/>
    <m/>
    <m/>
    <m/>
    <m/>
  </r>
  <r>
    <x v="0"/>
    <d v="2017-08-06T00:00:00"/>
    <n v="8"/>
    <x v="27"/>
    <n v="1"/>
    <x v="29"/>
    <s v="Steibenkreuz"/>
    <x v="120"/>
    <m/>
    <n v="45"/>
    <n v="45"/>
    <x v="2"/>
    <m/>
    <m/>
    <m/>
    <m/>
  </r>
  <r>
    <x v="0"/>
    <d v="2017-08-13T00:00:00"/>
    <n v="8"/>
    <x v="27"/>
    <n v="1"/>
    <x v="29"/>
    <s v="Galfera"/>
    <x v="63"/>
    <n v="2"/>
    <n v="9"/>
    <n v="129"/>
    <x v="2"/>
    <s v="Beinsackaufhängung bei Spirale gerissen"/>
    <m/>
    <m/>
    <m/>
  </r>
  <r>
    <x v="0"/>
    <d v="2017-08-15T00:00:00"/>
    <n v="8"/>
    <x v="27"/>
    <n v="1"/>
    <x v="26"/>
    <s v="Richinen"/>
    <x v="80"/>
    <m/>
    <n v="15"/>
    <n v="15"/>
    <x v="2"/>
    <m/>
    <m/>
    <m/>
    <m/>
  </r>
  <r>
    <x v="0"/>
    <d v="2017-08-16T00:00:00"/>
    <n v="8"/>
    <x v="27"/>
    <n v="1"/>
    <x v="29"/>
    <s v="Steibenkreuz"/>
    <x v="35"/>
    <m/>
    <n v="32"/>
    <n v="32"/>
    <x v="2"/>
    <m/>
    <m/>
    <m/>
    <m/>
  </r>
  <r>
    <x v="0"/>
    <d v="2017-08-17T00:00:00"/>
    <n v="8"/>
    <x v="27"/>
    <n v="1"/>
    <x v="29"/>
    <s v="Steibenkreuz"/>
    <x v="63"/>
    <n v="1"/>
    <n v="40"/>
    <n v="100"/>
    <x v="2"/>
    <m/>
    <m/>
    <m/>
    <m/>
  </r>
  <r>
    <x v="0"/>
    <d v="2017-08-23T00:00:00"/>
    <n v="8"/>
    <x v="27"/>
    <n v="1"/>
    <x v="29"/>
    <s v="Heimat"/>
    <x v="35"/>
    <n v="1"/>
    <n v="22"/>
    <n v="82"/>
    <x v="2"/>
    <m/>
    <m/>
    <m/>
    <m/>
  </r>
  <r>
    <x v="0"/>
    <d v="2017-08-24T00:00:00"/>
    <n v="8"/>
    <x v="27"/>
    <n v="1"/>
    <x v="29"/>
    <s v="Heimat"/>
    <x v="63"/>
    <n v="1"/>
    <n v="32"/>
    <n v="92"/>
    <x v="2"/>
    <m/>
    <m/>
    <m/>
    <m/>
  </r>
  <r>
    <x v="0"/>
    <d v="2017-08-25T00:00:00"/>
    <n v="8"/>
    <x v="27"/>
    <n v="1"/>
    <x v="29"/>
    <s v="Heimat"/>
    <x v="35"/>
    <n v="1"/>
    <n v="55"/>
    <n v="115"/>
    <x v="2"/>
    <s v="Lukas Roman"/>
    <m/>
    <m/>
    <m/>
  </r>
  <r>
    <x v="0"/>
    <d v="2017-08-26T00:00:00"/>
    <n v="8"/>
    <x v="27"/>
    <n v="1"/>
    <x v="29"/>
    <s v="Heimat"/>
    <x v="63"/>
    <n v="1"/>
    <n v="33"/>
    <n v="93"/>
    <x v="2"/>
    <m/>
    <m/>
    <m/>
    <m/>
  </r>
  <r>
    <x v="0"/>
    <d v="2017-08-27T00:00:00"/>
    <n v="8"/>
    <x v="27"/>
    <n v="1"/>
    <x v="29"/>
    <s v="Heimat"/>
    <x v="63"/>
    <n v="1"/>
    <n v="3"/>
    <n v="63"/>
    <x v="2"/>
    <m/>
    <m/>
    <m/>
    <m/>
  </r>
  <r>
    <x v="0"/>
    <d v="2017-08-29T00:00:00"/>
    <n v="8"/>
    <x v="27"/>
    <n v="1"/>
    <x v="29"/>
    <s v="First"/>
    <x v="5"/>
    <n v="1"/>
    <n v="2"/>
    <n v="62"/>
    <x v="2"/>
    <m/>
    <m/>
    <m/>
    <m/>
  </r>
  <r>
    <x v="0"/>
    <d v="2017-09-02T00:00:00"/>
    <n v="9"/>
    <x v="27"/>
    <n v="1"/>
    <x v="29"/>
    <s v="Col de Ares"/>
    <x v="206"/>
    <m/>
    <n v="29"/>
    <n v="29"/>
    <x v="32"/>
    <s v="Michael, Federico, Sabine+ Martina+Ernst, Dominik+Werner, Tedi+Zufi+Mack, Paul, Georg, …"/>
    <m/>
    <m/>
    <m/>
  </r>
  <r>
    <x v="0"/>
    <d v="2017-09-03T00:00:00"/>
    <n v="9"/>
    <x v="27"/>
    <n v="1"/>
    <x v="29"/>
    <s v="Col de Ares"/>
    <x v="206"/>
    <n v="1"/>
    <n v="16"/>
    <n v="76"/>
    <x v="32"/>
    <m/>
    <m/>
    <m/>
    <m/>
  </r>
  <r>
    <x v="0"/>
    <d v="2017-09-03T00:00:00"/>
    <n v="9"/>
    <x v="27"/>
    <n v="0"/>
    <x v="29"/>
    <s v="Col de Ares"/>
    <x v="206"/>
    <m/>
    <n v="19"/>
    <n v="19"/>
    <x v="32"/>
    <m/>
    <m/>
    <m/>
    <m/>
  </r>
  <r>
    <x v="0"/>
    <d v="2017-09-04T00:00:00"/>
    <n v="9"/>
    <x v="27"/>
    <n v="1"/>
    <x v="29"/>
    <s v="Col de Ares"/>
    <x v="207"/>
    <n v="2"/>
    <n v="20"/>
    <n v="140"/>
    <x v="32"/>
    <m/>
    <m/>
    <m/>
    <m/>
  </r>
  <r>
    <x v="0"/>
    <d v="2017-09-05T00:00:00"/>
    <n v="9"/>
    <x v="27"/>
    <n v="1"/>
    <x v="29"/>
    <s v="Castejon de SOS (Liri)"/>
    <x v="208"/>
    <n v="1"/>
    <n v="9"/>
    <n v="69"/>
    <x v="32"/>
    <m/>
    <m/>
    <m/>
    <m/>
  </r>
  <r>
    <x v="0"/>
    <d v="2017-09-05T00:00:00"/>
    <n v="9"/>
    <x v="27"/>
    <n v="0"/>
    <x v="29"/>
    <s v="Castejon de SOS (Liri)"/>
    <x v="208"/>
    <n v="1"/>
    <n v="0"/>
    <n v="60"/>
    <x v="32"/>
    <m/>
    <m/>
    <m/>
    <m/>
  </r>
  <r>
    <x v="0"/>
    <d v="2017-09-05T00:00:00"/>
    <n v="9"/>
    <x v="27"/>
    <n v="0"/>
    <x v="29"/>
    <s v="Castejon de SOS (Liri)"/>
    <x v="208"/>
    <n v="1"/>
    <n v="0"/>
    <n v="60"/>
    <x v="32"/>
    <m/>
    <m/>
    <m/>
    <m/>
  </r>
  <r>
    <x v="0"/>
    <d v="2017-09-05T00:00:00"/>
    <n v="9"/>
    <x v="27"/>
    <n v="0"/>
    <x v="29"/>
    <s v="Castejon de SOS (Liri)"/>
    <x v="209"/>
    <n v="1"/>
    <n v="18"/>
    <n v="78"/>
    <x v="32"/>
    <m/>
    <m/>
    <m/>
    <m/>
  </r>
  <r>
    <x v="0"/>
    <d v="2017-09-06T00:00:00"/>
    <n v="9"/>
    <x v="27"/>
    <n v="1"/>
    <x v="29"/>
    <s v="Castejon de SOS (Liri)"/>
    <x v="209"/>
    <n v="1"/>
    <n v="30"/>
    <n v="90"/>
    <x v="32"/>
    <m/>
    <m/>
    <m/>
    <m/>
  </r>
  <r>
    <x v="0"/>
    <d v="2017-09-06T00:00:00"/>
    <n v="9"/>
    <x v="27"/>
    <n v="0"/>
    <x v="29"/>
    <s v="Castejon de SOS (Liri)"/>
    <x v="209"/>
    <n v="1"/>
    <n v="9"/>
    <n v="69"/>
    <x v="32"/>
    <m/>
    <m/>
    <m/>
    <m/>
  </r>
  <r>
    <x v="0"/>
    <d v="2017-09-06T00:00:00"/>
    <n v="9"/>
    <x v="27"/>
    <n v="0"/>
    <x v="29"/>
    <s v="Castejon de SOS (Liri)"/>
    <x v="209"/>
    <n v="1"/>
    <n v="26"/>
    <n v="86"/>
    <x v="32"/>
    <m/>
    <m/>
    <m/>
    <m/>
  </r>
  <r>
    <x v="0"/>
    <d v="2017-09-07T00:00:00"/>
    <n v="9"/>
    <x v="27"/>
    <n v="1"/>
    <x v="29"/>
    <s v="Castejon de SOS (Liri)"/>
    <x v="209"/>
    <m/>
    <n v="41"/>
    <n v="41"/>
    <x v="32"/>
    <m/>
    <m/>
    <m/>
    <m/>
  </r>
  <r>
    <x v="0"/>
    <d v="2017-09-08T00:00:00"/>
    <n v="9"/>
    <x v="27"/>
    <n v="1"/>
    <x v="29"/>
    <s v="Loarre"/>
    <x v="210"/>
    <m/>
    <n v="42"/>
    <n v="42"/>
    <x v="32"/>
    <m/>
    <m/>
    <m/>
    <m/>
  </r>
  <r>
    <x v="0"/>
    <d v="2017-09-08T00:00:00"/>
    <n v="9"/>
    <x v="27"/>
    <n v="0"/>
    <x v="29"/>
    <s v="Loarre"/>
    <x v="211"/>
    <m/>
    <n v="45"/>
    <n v="45"/>
    <x v="32"/>
    <m/>
    <m/>
    <m/>
    <m/>
  </r>
  <r>
    <x v="0"/>
    <d v="2017-09-08T00:00:00"/>
    <n v="9"/>
    <x v="27"/>
    <n v="0"/>
    <x v="29"/>
    <s v="Arangoiti"/>
    <x v="212"/>
    <m/>
    <n v="28"/>
    <n v="28"/>
    <x v="32"/>
    <m/>
    <m/>
    <m/>
    <m/>
  </r>
  <r>
    <x v="0"/>
    <d v="2017-09-15T00:00:00"/>
    <n v="9"/>
    <x v="27"/>
    <n v="1"/>
    <x v="29"/>
    <s v="Heimat"/>
    <x v="63"/>
    <m/>
    <n v="22"/>
    <n v="22"/>
    <x v="2"/>
    <m/>
    <m/>
    <m/>
    <m/>
  </r>
  <r>
    <x v="0"/>
    <d v="2017-09-18T00:00:00"/>
    <n v="9"/>
    <x v="27"/>
    <n v="1"/>
    <x v="26"/>
    <s v="Chäserstatt"/>
    <x v="19"/>
    <m/>
    <n v="13"/>
    <n v="13"/>
    <x v="2"/>
    <m/>
    <m/>
    <m/>
    <m/>
  </r>
  <r>
    <x v="0"/>
    <d v="2017-09-24T00:00:00"/>
    <n v="9"/>
    <x v="27"/>
    <n v="1"/>
    <x v="29"/>
    <s v="Heimat"/>
    <x v="63"/>
    <n v="1"/>
    <n v="5"/>
    <n v="65"/>
    <x v="2"/>
    <s v="Susi / Ueli"/>
    <m/>
    <m/>
    <m/>
  </r>
  <r>
    <x v="0"/>
    <d v="2017-09-29T00:00:00"/>
    <n v="9"/>
    <x v="27"/>
    <n v="1"/>
    <x v="29"/>
    <s v="Heimat"/>
    <x v="63"/>
    <m/>
    <n v="48"/>
    <n v="48"/>
    <x v="2"/>
    <m/>
    <m/>
    <m/>
    <m/>
  </r>
  <r>
    <x v="0"/>
    <d v="2017-09-30T00:00:00"/>
    <n v="9"/>
    <x v="27"/>
    <n v="1"/>
    <x v="26"/>
    <s v="Rossboden"/>
    <x v="63"/>
    <m/>
    <n v="15"/>
    <n v="15"/>
    <x v="2"/>
    <s v="Mit Andra :)"/>
    <m/>
    <m/>
    <m/>
  </r>
  <r>
    <x v="0"/>
    <d v="2017-10-07T00:00:00"/>
    <n v="10"/>
    <x v="27"/>
    <n v="1"/>
    <x v="29"/>
    <s v="Aspres sur Buech"/>
    <x v="159"/>
    <n v="1"/>
    <n v="10"/>
    <n v="70"/>
    <x v="28"/>
    <m/>
    <m/>
    <m/>
    <m/>
  </r>
  <r>
    <x v="0"/>
    <d v="2017-10-08T00:00:00"/>
    <n v="10"/>
    <x v="27"/>
    <n v="1"/>
    <x v="29"/>
    <s v="St Vincent Les Forts"/>
    <x v="160"/>
    <m/>
    <n v="15"/>
    <n v="15"/>
    <x v="28"/>
    <m/>
    <m/>
    <m/>
    <m/>
  </r>
  <r>
    <x v="0"/>
    <d v="2017-10-08T00:00:00"/>
    <n v="10"/>
    <x v="27"/>
    <n v="0"/>
    <x v="29"/>
    <s v="St Vincent Les Forts"/>
    <x v="160"/>
    <n v="1"/>
    <n v="1"/>
    <n v="61"/>
    <x v="28"/>
    <m/>
    <m/>
    <m/>
    <m/>
  </r>
  <r>
    <x v="0"/>
    <d v="2017-10-08T00:00:00"/>
    <n v="10"/>
    <x v="27"/>
    <n v="0"/>
    <x v="29"/>
    <s v="St Vincent Les Forts"/>
    <x v="160"/>
    <n v="1"/>
    <n v="1"/>
    <n v="61"/>
    <x v="28"/>
    <m/>
    <m/>
    <m/>
    <m/>
  </r>
  <r>
    <x v="0"/>
    <d v="2017-10-09T00:00:00"/>
    <n v="10"/>
    <x v="27"/>
    <n v="1"/>
    <x v="29"/>
    <s v="Chalves S"/>
    <x v="71"/>
    <n v="2"/>
    <n v="19"/>
    <n v="139"/>
    <x v="28"/>
    <m/>
    <m/>
    <m/>
    <m/>
  </r>
  <r>
    <x v="0"/>
    <d v="2017-10-09T00:00:00"/>
    <n v="10"/>
    <x v="27"/>
    <n v="0"/>
    <x v="29"/>
    <s v="Chalves W"/>
    <x v="71"/>
    <m/>
    <n v="38"/>
    <n v="38"/>
    <x v="28"/>
    <m/>
    <m/>
    <m/>
    <m/>
  </r>
  <r>
    <x v="0"/>
    <d v="2017-10-10T00:00:00"/>
    <n v="10"/>
    <x v="27"/>
    <n v="1"/>
    <x v="29"/>
    <s v="Chalves S"/>
    <x v="71"/>
    <m/>
    <n v="38"/>
    <n v="38"/>
    <x v="28"/>
    <m/>
    <m/>
    <m/>
    <m/>
  </r>
  <r>
    <x v="0"/>
    <d v="2017-10-10T00:00:00"/>
    <n v="10"/>
    <x v="27"/>
    <n v="0"/>
    <x v="29"/>
    <s v="Chalves W"/>
    <x v="161"/>
    <n v="1"/>
    <n v="29"/>
    <n v="89"/>
    <x v="28"/>
    <s v="mit Felix"/>
    <m/>
    <m/>
    <m/>
  </r>
  <r>
    <x v="0"/>
    <d v="2017-10-11T00:00:00"/>
    <n v="10"/>
    <x v="27"/>
    <n v="1"/>
    <x v="29"/>
    <s v="Chalves W"/>
    <x v="71"/>
    <m/>
    <n v="53"/>
    <n v="53"/>
    <x v="28"/>
    <m/>
    <m/>
    <m/>
    <m/>
  </r>
  <r>
    <x v="0"/>
    <d v="2017-10-12T00:00:00"/>
    <n v="10"/>
    <x v="27"/>
    <n v="1"/>
    <x v="29"/>
    <s v="St Vincent Les Forts"/>
    <x v="160"/>
    <n v="2"/>
    <n v="9"/>
    <n v="129"/>
    <x v="28"/>
    <s v="bis ins SkigebietMontclair und zurück"/>
    <m/>
    <m/>
    <m/>
  </r>
  <r>
    <x v="0"/>
    <d v="2017-10-12T00:00:00"/>
    <n v="10"/>
    <x v="27"/>
    <n v="0"/>
    <x v="29"/>
    <s v="St Vincent Les Forts"/>
    <x v="213"/>
    <m/>
    <n v="19"/>
    <n v="19"/>
    <x v="28"/>
    <m/>
    <m/>
    <m/>
    <m/>
  </r>
  <r>
    <x v="0"/>
    <d v="2017-10-13T00:00:00"/>
    <n v="10"/>
    <x v="27"/>
    <n v="1"/>
    <x v="29"/>
    <s v="Chalves W"/>
    <x v="71"/>
    <n v="1"/>
    <n v="33"/>
    <n v="93"/>
    <x v="28"/>
    <m/>
    <m/>
    <m/>
    <m/>
  </r>
  <r>
    <x v="0"/>
    <d v="2017-10-13T00:00:00"/>
    <n v="10"/>
    <x v="27"/>
    <n v="0"/>
    <x v="29"/>
    <s v="Chalves W"/>
    <x v="71"/>
    <n v="1"/>
    <n v="3"/>
    <n v="63"/>
    <x v="28"/>
    <m/>
    <m/>
    <m/>
    <m/>
  </r>
  <r>
    <x v="0"/>
    <d v="2017-10-14T00:00:00"/>
    <n v="10"/>
    <x v="27"/>
    <n v="1"/>
    <x v="29"/>
    <s v="Montmin- Annecy"/>
    <x v="165"/>
    <m/>
    <n v="24"/>
    <n v="24"/>
    <x v="28"/>
    <m/>
    <m/>
    <m/>
    <m/>
  </r>
  <r>
    <x v="0"/>
    <d v="2017-10-19T00:00:00"/>
    <n v="10"/>
    <x v="27"/>
    <n v="1"/>
    <x v="29"/>
    <s v="Richinen"/>
    <x v="35"/>
    <m/>
    <n v="37"/>
    <n v="37"/>
    <x v="2"/>
    <m/>
    <m/>
    <m/>
    <m/>
  </r>
  <r>
    <x v="0"/>
    <d v="2017-10-31T00:00:00"/>
    <n v="10"/>
    <x v="27"/>
    <n v="1"/>
    <x v="29"/>
    <s v="Heimat"/>
    <x v="63"/>
    <m/>
    <n v="42"/>
    <n v="42"/>
    <x v="2"/>
    <m/>
    <m/>
    <m/>
    <m/>
  </r>
  <r>
    <x v="0"/>
    <d v="2017-10-31T00:00:00"/>
    <n v="10"/>
    <x v="27"/>
    <n v="0"/>
    <x v="26"/>
    <s v="Mutti"/>
    <x v="63"/>
    <m/>
    <n v="10"/>
    <n v="10"/>
    <x v="2"/>
    <m/>
    <m/>
    <m/>
    <m/>
  </r>
  <r>
    <x v="0"/>
    <d v="2017-11-01T00:00:00"/>
    <n v="11"/>
    <x v="27"/>
    <n v="1"/>
    <x v="29"/>
    <s v="Heimat"/>
    <x v="63"/>
    <n v="1"/>
    <n v="4"/>
    <n v="64"/>
    <x v="2"/>
    <m/>
    <m/>
    <m/>
    <m/>
  </r>
  <r>
    <x v="0"/>
    <d v="2017-11-01T00:00:00"/>
    <n v="11"/>
    <x v="27"/>
    <n v="0"/>
    <x v="29"/>
    <s v="Chäserstatt"/>
    <x v="63"/>
    <m/>
    <n v="15"/>
    <n v="15"/>
    <x v="2"/>
    <m/>
    <m/>
    <m/>
    <m/>
  </r>
  <r>
    <x v="0"/>
    <d v="2017-11-03T00:00:00"/>
    <n v="11"/>
    <x v="27"/>
    <n v="1"/>
    <x v="29"/>
    <s v="Heimat"/>
    <x v="63"/>
    <n v="1"/>
    <n v="18"/>
    <n v="78"/>
    <x v="2"/>
    <m/>
    <m/>
    <m/>
    <m/>
  </r>
  <r>
    <x v="0"/>
    <d v="2017-11-16T00:00:00"/>
    <n v="11"/>
    <x v="27"/>
    <n v="1"/>
    <x v="29"/>
    <s v="Heimat"/>
    <x v="63"/>
    <n v="1"/>
    <n v="6"/>
    <n v="66"/>
    <x v="2"/>
    <m/>
    <m/>
    <m/>
    <m/>
  </r>
  <r>
    <x v="0"/>
    <d v="2017-11-18T00:00:00"/>
    <n v="11"/>
    <x v="27"/>
    <n v="1"/>
    <x v="29"/>
    <s v="Heimat"/>
    <x v="63"/>
    <m/>
    <n v="51"/>
    <n v="51"/>
    <x v="2"/>
    <m/>
    <m/>
    <m/>
    <m/>
  </r>
  <r>
    <x v="0"/>
    <d v="2017-12-19T00:00:00"/>
    <n v="12"/>
    <x v="27"/>
    <n v="1"/>
    <x v="29"/>
    <s v="Paradise Ridge Rampe"/>
    <x v="214"/>
    <n v="1"/>
    <n v="29"/>
    <n v="89"/>
    <x v="33"/>
    <s v="Florian&amp;Barbara, Ramona&amp;Marco, Dominik, Ernesto, Daniel, Dirk&amp;Stefanie, Sabine, Andrea, Lucien, Eike, Remy, Barry, Candis, Manfred"/>
    <m/>
    <m/>
    <m/>
  </r>
  <r>
    <x v="0"/>
    <d v="2017-12-19T00:00:00"/>
    <n v="12"/>
    <x v="27"/>
    <n v="0"/>
    <x v="29"/>
    <s v="Sedgeview"/>
    <x v="215"/>
    <m/>
    <n v="8"/>
    <n v="8"/>
    <x v="33"/>
    <m/>
    <m/>
    <m/>
    <m/>
  </r>
  <r>
    <x v="0"/>
    <d v="2017-12-20T00:00:00"/>
    <n v="12"/>
    <x v="27"/>
    <n v="1"/>
    <x v="17"/>
    <s v="Buffels Bay"/>
    <x v="216"/>
    <n v="1"/>
    <n v="30"/>
    <n v="90"/>
    <x v="33"/>
    <m/>
    <m/>
    <m/>
    <m/>
  </r>
  <r>
    <x v="0"/>
    <d v="2017-12-21T00:00:00"/>
    <n v="12"/>
    <x v="27"/>
    <n v="1"/>
    <x v="29"/>
    <s v="Sedgeview"/>
    <x v="217"/>
    <m/>
    <n v="31"/>
    <n v="31"/>
    <x v="33"/>
    <m/>
    <m/>
    <m/>
    <m/>
  </r>
  <r>
    <x v="0"/>
    <d v="2017-12-21T00:00:00"/>
    <n v="12"/>
    <x v="27"/>
    <n v="0"/>
    <x v="29"/>
    <s v="Sedgeview"/>
    <x v="217"/>
    <m/>
    <n v="7"/>
    <n v="7"/>
    <x v="33"/>
    <m/>
    <m/>
    <m/>
    <m/>
  </r>
  <r>
    <x v="0"/>
    <d v="2017-12-21T00:00:00"/>
    <n v="12"/>
    <x v="27"/>
    <n v="0"/>
    <x v="29"/>
    <s v="Sedgeview"/>
    <x v="217"/>
    <m/>
    <n v="33"/>
    <n v="33"/>
    <x v="33"/>
    <m/>
    <m/>
    <m/>
    <m/>
  </r>
  <r>
    <x v="0"/>
    <d v="2017-12-21T00:00:00"/>
    <n v="12"/>
    <x v="27"/>
    <n v="0"/>
    <x v="29"/>
    <s v="Sedgeview"/>
    <x v="217"/>
    <m/>
    <n v="14"/>
    <n v="14"/>
    <x v="33"/>
    <m/>
    <m/>
    <m/>
    <m/>
  </r>
  <r>
    <x v="0"/>
    <d v="2017-12-21T00:00:00"/>
    <n v="12"/>
    <x v="27"/>
    <n v="0"/>
    <x v="29"/>
    <s v="Sedgeview"/>
    <x v="217"/>
    <m/>
    <n v="22"/>
    <n v="22"/>
    <x v="33"/>
    <m/>
    <m/>
    <m/>
    <m/>
  </r>
  <r>
    <x v="0"/>
    <d v="2017-12-21T00:00:00"/>
    <n v="12"/>
    <x v="27"/>
    <n v="0"/>
    <x v="29"/>
    <s v="Sedgeview"/>
    <x v="215"/>
    <m/>
    <n v="13"/>
    <n v="13"/>
    <x v="33"/>
    <m/>
    <m/>
    <m/>
    <m/>
  </r>
  <r>
    <x v="0"/>
    <d v="2017-12-22T00:00:00"/>
    <n v="12"/>
    <x v="27"/>
    <n v="1"/>
    <x v="29"/>
    <s v="Paradise Ridge Hollyday Inn"/>
    <x v="214"/>
    <n v="1"/>
    <n v="40"/>
    <n v="100"/>
    <x v="33"/>
    <m/>
    <m/>
    <m/>
    <m/>
  </r>
  <r>
    <x v="0"/>
    <d v="2017-12-22T00:00:00"/>
    <n v="12"/>
    <x v="27"/>
    <n v="0"/>
    <x v="29"/>
    <s v="Sedgeview"/>
    <x v="215"/>
    <n v="1"/>
    <n v="16"/>
    <n v="76"/>
    <x v="33"/>
    <m/>
    <m/>
    <m/>
    <m/>
  </r>
  <r>
    <x v="0"/>
    <d v="2017-12-23T00:00:00"/>
    <n v="12"/>
    <x v="27"/>
    <n v="1"/>
    <x v="29"/>
    <s v="Sedgeview"/>
    <x v="217"/>
    <m/>
    <n v="26"/>
    <n v="26"/>
    <x v="33"/>
    <m/>
    <m/>
    <m/>
    <m/>
  </r>
  <r>
    <x v="0"/>
    <d v="2017-12-23T00:00:00"/>
    <n v="12"/>
    <x v="27"/>
    <n v="0"/>
    <x v="29"/>
    <s v="Sedgeview"/>
    <x v="218"/>
    <m/>
    <n v="55"/>
    <n v="55"/>
    <x v="33"/>
    <m/>
    <m/>
    <m/>
    <m/>
  </r>
  <r>
    <x v="0"/>
    <d v="2017-12-23T00:00:00"/>
    <n v="12"/>
    <x v="27"/>
    <n v="0"/>
    <x v="29"/>
    <s v="Sedgeview"/>
    <x v="215"/>
    <m/>
    <n v="39"/>
    <n v="39"/>
    <x v="33"/>
    <m/>
    <m/>
    <m/>
    <m/>
  </r>
  <r>
    <x v="0"/>
    <d v="2017-12-24T00:00:00"/>
    <n v="12"/>
    <x v="27"/>
    <n v="1"/>
    <x v="29"/>
    <s v="Paradise Ridge Rampe"/>
    <x v="214"/>
    <n v="2"/>
    <n v="27"/>
    <n v="147"/>
    <x v="33"/>
    <m/>
    <m/>
    <m/>
    <m/>
  </r>
  <r>
    <x v="0"/>
    <d v="2017-12-25T00:00:00"/>
    <n v="12"/>
    <x v="27"/>
    <n v="1"/>
    <x v="29"/>
    <s v="Bettys Bay"/>
    <x v="219"/>
    <n v="2"/>
    <n v="22"/>
    <n v="142"/>
    <x v="33"/>
    <m/>
    <m/>
    <m/>
    <m/>
  </r>
  <r>
    <x v="0"/>
    <d v="2017-12-25T00:00:00"/>
    <n v="12"/>
    <x v="27"/>
    <n v="0"/>
    <x v="29"/>
    <s v="Hermanus"/>
    <x v="220"/>
    <m/>
    <n v="25"/>
    <n v="25"/>
    <x v="33"/>
    <m/>
    <m/>
    <m/>
    <m/>
  </r>
  <r>
    <x v="0"/>
    <d v="2017-12-26T00:00:00"/>
    <n v="12"/>
    <x v="27"/>
    <n v="1"/>
    <x v="29"/>
    <s v="Dasklip-Porterville"/>
    <x v="221"/>
    <n v="1"/>
    <n v="47"/>
    <n v="107"/>
    <x v="33"/>
    <m/>
    <m/>
    <m/>
    <m/>
  </r>
  <r>
    <x v="0"/>
    <d v="2017-12-27T00:00:00"/>
    <n v="12"/>
    <x v="27"/>
    <n v="1"/>
    <x v="29"/>
    <s v="Dasklip-Porterville"/>
    <x v="222"/>
    <n v="2"/>
    <n v="8"/>
    <n v="128"/>
    <x v="33"/>
    <m/>
    <m/>
    <m/>
    <m/>
  </r>
  <r>
    <x v="0"/>
    <d v="2017-12-28T00:00:00"/>
    <n v="12"/>
    <x v="27"/>
    <n v="1"/>
    <x v="29"/>
    <s v="Dasklip-Porterville"/>
    <x v="223"/>
    <n v="1"/>
    <n v="22"/>
    <n v="82"/>
    <x v="33"/>
    <m/>
    <m/>
    <m/>
    <m/>
  </r>
  <r>
    <x v="0"/>
    <d v="2017-12-28T00:00:00"/>
    <n v="12"/>
    <x v="27"/>
    <n v="0"/>
    <x v="29"/>
    <s v="Spritkopf Süd"/>
    <x v="222"/>
    <n v="1"/>
    <n v="2"/>
    <n v="62"/>
    <x v="33"/>
    <m/>
    <m/>
    <m/>
    <m/>
  </r>
  <r>
    <x v="0"/>
    <d v="2017-12-29T00:00:00"/>
    <n v="12"/>
    <x v="27"/>
    <n v="1"/>
    <x v="29"/>
    <s v="Spritkopf Nord"/>
    <x v="224"/>
    <n v="2"/>
    <n v="12"/>
    <n v="132"/>
    <x v="33"/>
    <m/>
    <m/>
    <m/>
    <m/>
  </r>
  <r>
    <x v="0"/>
    <d v="2017-12-30T00:00:00"/>
    <n v="12"/>
    <x v="27"/>
    <n v="1"/>
    <x v="17"/>
    <s v="Langebaan"/>
    <x v="225"/>
    <n v="1"/>
    <n v="27"/>
    <n v="87"/>
    <x v="33"/>
    <m/>
    <m/>
    <m/>
    <m/>
  </r>
  <r>
    <x v="0"/>
    <d v="2018-01-11T00:00:00"/>
    <n v="1"/>
    <x v="28"/>
    <n v="1"/>
    <x v="29"/>
    <s v="Rosboden"/>
    <x v="63"/>
    <m/>
    <n v="22"/>
    <n v="22"/>
    <x v="2"/>
    <m/>
    <m/>
    <m/>
    <m/>
  </r>
  <r>
    <x v="0"/>
    <d v="2018-01-12T00:00:00"/>
    <n v="1"/>
    <x v="28"/>
    <n v="1"/>
    <x v="29"/>
    <s v="Steibenkreuz"/>
    <x v="63"/>
    <m/>
    <n v="34"/>
    <n v="34"/>
    <x v="2"/>
    <m/>
    <m/>
    <m/>
    <m/>
  </r>
  <r>
    <x v="0"/>
    <d v="2018-01-13T00:00:00"/>
    <n v="1"/>
    <x v="28"/>
    <n v="1"/>
    <x v="29"/>
    <s v="Steibenkreuz"/>
    <x v="35"/>
    <m/>
    <n v="34"/>
    <n v="34"/>
    <x v="2"/>
    <s v="erster im 2018"/>
    <m/>
    <m/>
    <m/>
  </r>
  <r>
    <x v="0"/>
    <d v="2018-01-14T00:00:00"/>
    <n v="1"/>
    <x v="28"/>
    <n v="1"/>
    <x v="29"/>
    <s v="Steibenkreuz"/>
    <x v="166"/>
    <m/>
    <n v="38"/>
    <n v="38"/>
    <x v="2"/>
    <m/>
    <m/>
    <m/>
    <m/>
  </r>
  <r>
    <x v="0"/>
    <d v="2018-02-27T00:00:00"/>
    <n v="2"/>
    <x v="28"/>
    <n v="1"/>
    <x v="29"/>
    <s v="San Donato Val di Comino"/>
    <x v="226"/>
    <m/>
    <n v="58"/>
    <n v="58"/>
    <x v="34"/>
    <s v="Sabine, Martina, Ernst, Ernesto, Ramona, Michael, Rolf, Felix, David, Barbara, Karin, Ueli&amp; Ruth, Christian, Tom, Nick, Peter, Klemens, Sabrina, Anne"/>
    <m/>
    <m/>
    <m/>
  </r>
  <r>
    <x v="0"/>
    <d v="2018-02-28T00:00:00"/>
    <n v="2"/>
    <x v="28"/>
    <n v="1"/>
    <x v="29"/>
    <s v="San Donato Val di Comino"/>
    <x v="226"/>
    <n v="2"/>
    <n v="10"/>
    <n v="130"/>
    <x v="34"/>
    <m/>
    <m/>
    <m/>
    <m/>
  </r>
  <r>
    <x v="0"/>
    <d v="2018-03-08T00:00:00"/>
    <n v="3"/>
    <x v="28"/>
    <n v="1"/>
    <x v="29"/>
    <s v="Steibenkreuz"/>
    <x v="35"/>
    <m/>
    <n v="42"/>
    <n v="42"/>
    <x v="2"/>
    <m/>
    <m/>
    <m/>
    <m/>
  </r>
  <r>
    <x v="0"/>
    <d v="2018-03-25T00:00:00"/>
    <n v="3"/>
    <x v="28"/>
    <n v="1"/>
    <x v="29"/>
    <s v="Heimat"/>
    <x v="35"/>
    <n v="1"/>
    <n v="25"/>
    <n v="85"/>
    <x v="2"/>
    <s v="Albert/Ernesto"/>
    <m/>
    <m/>
    <m/>
  </r>
  <r>
    <x v="0"/>
    <d v="2018-04-06T00:00:00"/>
    <n v="4"/>
    <x v="28"/>
    <n v="1"/>
    <x v="29"/>
    <s v="Steibenkreuz"/>
    <x v="166"/>
    <m/>
    <n v="39"/>
    <n v="39"/>
    <x v="2"/>
    <m/>
    <m/>
    <m/>
    <m/>
  </r>
  <r>
    <x v="0"/>
    <d v="2018-04-19T00:00:00"/>
    <n v="4"/>
    <x v="28"/>
    <n v="1"/>
    <x v="29"/>
    <s v="Bellwald"/>
    <x v="63"/>
    <m/>
    <n v="15"/>
    <n v="15"/>
    <x v="2"/>
    <m/>
    <m/>
    <m/>
    <m/>
  </r>
  <r>
    <x v="0"/>
    <d v="2018-04-21T00:00:00"/>
    <n v="4"/>
    <x v="28"/>
    <n v="1"/>
    <x v="29"/>
    <s v="Heimat"/>
    <x v="63"/>
    <n v="2"/>
    <n v="4"/>
    <n v="124"/>
    <x v="2"/>
    <s v="Zerleger"/>
    <m/>
    <m/>
    <m/>
  </r>
  <r>
    <x v="0"/>
    <d v="2018-04-22T00:00:00"/>
    <n v="4"/>
    <x v="28"/>
    <n v="1"/>
    <x v="29"/>
    <s v="Heimat"/>
    <x v="205"/>
    <n v="1"/>
    <n v="27"/>
    <n v="87"/>
    <x v="2"/>
    <s v="mit Ernesto"/>
    <m/>
    <m/>
    <m/>
  </r>
  <r>
    <x v="0"/>
    <d v="2018-05-08T00:00:00"/>
    <n v="5"/>
    <x v="28"/>
    <n v="1"/>
    <x v="29"/>
    <s v="Schütt"/>
    <x v="227"/>
    <m/>
    <n v="49"/>
    <n v="49"/>
    <x v="2"/>
    <m/>
    <m/>
    <m/>
    <m/>
  </r>
  <r>
    <x v="0"/>
    <d v="2018-05-18T00:00:00"/>
    <n v="5"/>
    <x v="28"/>
    <n v="1"/>
    <x v="29"/>
    <s v="Bellwald"/>
    <x v="63"/>
    <m/>
    <n v="8"/>
    <n v="8"/>
    <x v="2"/>
    <m/>
    <m/>
    <m/>
    <m/>
  </r>
  <r>
    <x v="0"/>
    <d v="2018-05-21T00:00:00"/>
    <n v="5"/>
    <x v="28"/>
    <n v="1"/>
    <x v="29"/>
    <s v="Rotenfluh"/>
    <x v="228"/>
    <m/>
    <n v="27"/>
    <n v="27"/>
    <x v="2"/>
    <s v="Mit Alexandra und Lukas"/>
    <m/>
    <m/>
    <m/>
  </r>
  <r>
    <x v="0"/>
    <d v="2018-05-21T00:00:00"/>
    <n v="5"/>
    <x v="28"/>
    <n v="0"/>
    <x v="29"/>
    <s v="Rotenfluh"/>
    <x v="228"/>
    <n v="1"/>
    <n v="18"/>
    <n v="78"/>
    <x v="2"/>
    <s v="Mit Alexandra und Lukas"/>
    <m/>
    <m/>
    <m/>
  </r>
  <r>
    <x v="0"/>
    <d v="2018-05-21T00:00:00"/>
    <n v="5"/>
    <x v="28"/>
    <n v="0"/>
    <x v="29"/>
    <s v="Rotenfluh"/>
    <x v="228"/>
    <m/>
    <n v="12"/>
    <n v="12"/>
    <x v="2"/>
    <s v="Mit Alexandra und Lukas"/>
    <m/>
    <m/>
    <m/>
  </r>
  <r>
    <x v="0"/>
    <d v="2018-05-26T00:00:00"/>
    <n v="5"/>
    <x v="28"/>
    <n v="1"/>
    <x v="29"/>
    <s v="Heimat"/>
    <x v="63"/>
    <m/>
    <n v="50"/>
    <n v="50"/>
    <x v="2"/>
    <m/>
    <m/>
    <m/>
    <m/>
  </r>
  <r>
    <x v="0"/>
    <d v="2018-06-01T00:00:00"/>
    <n v="6"/>
    <x v="28"/>
    <n v="1"/>
    <x v="29"/>
    <s v="Heimat"/>
    <x v="63"/>
    <m/>
    <n v="41"/>
    <n v="41"/>
    <x v="2"/>
    <m/>
    <m/>
    <m/>
    <m/>
  </r>
  <r>
    <x v="0"/>
    <d v="2018-06-07T00:00:00"/>
    <n v="6"/>
    <x v="28"/>
    <n v="1"/>
    <x v="29"/>
    <s v="Sta Maria (Galanca)"/>
    <x v="229"/>
    <m/>
    <n v="14"/>
    <n v="14"/>
    <x v="35"/>
    <m/>
    <m/>
    <m/>
    <m/>
  </r>
  <r>
    <x v="0"/>
    <d v="2018-06-07T00:00:00"/>
    <n v="6"/>
    <x v="28"/>
    <n v="0"/>
    <x v="29"/>
    <s v="Cima di Medeglia"/>
    <x v="230"/>
    <m/>
    <n v="31"/>
    <n v="31"/>
    <x v="35"/>
    <m/>
    <m/>
    <m/>
    <m/>
  </r>
  <r>
    <x v="0"/>
    <d v="2018-06-08T00:00:00"/>
    <n v="6"/>
    <x v="28"/>
    <n v="1"/>
    <x v="29"/>
    <s v="Mte Nudo"/>
    <x v="68"/>
    <m/>
    <n v="15"/>
    <n v="15"/>
    <x v="35"/>
    <m/>
    <m/>
    <m/>
    <m/>
  </r>
  <r>
    <x v="0"/>
    <d v="2018-06-09T00:00:00"/>
    <n v="6"/>
    <x v="28"/>
    <n v="1"/>
    <x v="29"/>
    <s v="Mte Lema"/>
    <x v="231"/>
    <m/>
    <n v="59"/>
    <n v="59"/>
    <x v="35"/>
    <m/>
    <m/>
    <m/>
    <m/>
  </r>
  <r>
    <x v="0"/>
    <d v="2018-06-09T00:00:00"/>
    <n v="6"/>
    <x v="28"/>
    <n v="0"/>
    <x v="29"/>
    <s v="Mte Lema"/>
    <x v="231"/>
    <m/>
    <n v="17"/>
    <n v="17"/>
    <x v="35"/>
    <m/>
    <m/>
    <m/>
    <m/>
  </r>
  <r>
    <x v="0"/>
    <d v="2018-06-09T00:00:00"/>
    <n v="6"/>
    <x v="28"/>
    <n v="0"/>
    <x v="29"/>
    <s v="Mte Lema"/>
    <x v="231"/>
    <m/>
    <n v="19"/>
    <n v="19"/>
    <x v="35"/>
    <m/>
    <m/>
    <m/>
    <m/>
  </r>
  <r>
    <x v="0"/>
    <d v="2018-06-09T00:00:00"/>
    <n v="6"/>
    <x v="28"/>
    <n v="0"/>
    <x v="29"/>
    <s v="Mte Lema"/>
    <x v="41"/>
    <m/>
    <n v="23"/>
    <n v="23"/>
    <x v="35"/>
    <m/>
    <m/>
    <m/>
    <m/>
  </r>
  <r>
    <x v="0"/>
    <d v="2018-06-10T00:00:00"/>
    <n v="6"/>
    <x v="28"/>
    <n v="1"/>
    <x v="29"/>
    <s v="Mte Lema"/>
    <x v="41"/>
    <n v="2"/>
    <n v="8"/>
    <n v="128"/>
    <x v="35"/>
    <m/>
    <m/>
    <m/>
    <m/>
  </r>
  <r>
    <x v="0"/>
    <d v="2018-06-19T00:00:00"/>
    <n v="6"/>
    <x v="28"/>
    <n v="1"/>
    <x v="29"/>
    <s v="Heimat"/>
    <x v="35"/>
    <m/>
    <n v="55"/>
    <n v="55"/>
    <x v="2"/>
    <m/>
    <m/>
    <m/>
    <m/>
  </r>
  <r>
    <x v="0"/>
    <d v="2018-06-20T00:00:00"/>
    <n v="6"/>
    <x v="28"/>
    <n v="1"/>
    <x v="29"/>
    <s v="Heimat"/>
    <x v="63"/>
    <n v="2"/>
    <n v="10"/>
    <n v="130"/>
    <x v="2"/>
    <m/>
    <m/>
    <m/>
    <m/>
  </r>
  <r>
    <x v="0"/>
    <d v="2018-06-23T00:00:00"/>
    <n v="6"/>
    <x v="28"/>
    <n v="1"/>
    <x v="29"/>
    <s v="Dovydiskai"/>
    <x v="232"/>
    <n v="2"/>
    <n v="5"/>
    <n v="125"/>
    <x v="36"/>
    <s v="Ukmerge"/>
    <m/>
    <m/>
    <m/>
  </r>
  <r>
    <x v="0"/>
    <d v="2018-06-23T00:00:00"/>
    <n v="6"/>
    <x v="28"/>
    <n v="0"/>
    <x v="29"/>
    <s v="Dovydiskai"/>
    <x v="233"/>
    <m/>
    <n v="14"/>
    <n v="14"/>
    <x v="36"/>
    <s v="Ukmerge"/>
    <m/>
    <m/>
    <m/>
  </r>
  <r>
    <x v="0"/>
    <d v="2018-06-23T00:00:00"/>
    <n v="6"/>
    <x v="28"/>
    <n v="0"/>
    <x v="29"/>
    <s v="Dovydiskai"/>
    <x v="234"/>
    <m/>
    <n v="14"/>
    <n v="14"/>
    <x v="36"/>
    <s v="Ukmerge"/>
    <m/>
    <m/>
    <m/>
  </r>
  <r>
    <x v="0"/>
    <d v="2018-06-24T00:00:00"/>
    <n v="6"/>
    <x v="28"/>
    <n v="1"/>
    <x v="29"/>
    <s v="Labrags"/>
    <x v="235"/>
    <n v="1"/>
    <n v="36"/>
    <n v="96"/>
    <x v="36"/>
    <s v="Start auf 0m! Lettland Küste"/>
    <m/>
    <m/>
    <m/>
  </r>
  <r>
    <x v="0"/>
    <d v="2018-06-26T00:00:00"/>
    <n v="6"/>
    <x v="28"/>
    <n v="1"/>
    <x v="29"/>
    <s v="Kalviai"/>
    <x v="236"/>
    <m/>
    <n v="15"/>
    <n v="15"/>
    <x v="36"/>
    <s v="Alanta"/>
    <m/>
    <m/>
    <m/>
  </r>
  <r>
    <x v="0"/>
    <d v="2018-06-26T00:00:00"/>
    <n v="6"/>
    <x v="28"/>
    <n v="0"/>
    <x v="29"/>
    <s v="Kalviai"/>
    <x v="237"/>
    <n v="1"/>
    <n v="54"/>
    <n v="114"/>
    <x v="36"/>
    <s v="Alanta, Autostop zu Thomas"/>
    <m/>
    <m/>
    <m/>
  </r>
  <r>
    <x v="0"/>
    <d v="2018-06-27T00:00:00"/>
    <n v="6"/>
    <x v="28"/>
    <n v="1"/>
    <x v="29"/>
    <s v="Antandraja"/>
    <x v="238"/>
    <n v="1"/>
    <n v="47"/>
    <n v="107"/>
    <x v="36"/>
    <s v="Daugailia, Bauer mit Milch, Fahrt, Bus, taxi nach Ukmerge"/>
    <m/>
    <m/>
    <m/>
  </r>
  <r>
    <x v="0"/>
    <d v="2018-06-28T00:00:00"/>
    <n v="6"/>
    <x v="28"/>
    <n v="1"/>
    <x v="29"/>
    <s v="Antandraja"/>
    <x v="239"/>
    <m/>
    <n v="49"/>
    <n v="49"/>
    <x v="36"/>
    <s v="Daugailia"/>
    <m/>
    <m/>
    <m/>
  </r>
  <r>
    <x v="0"/>
    <d v="2018-06-28T00:00:00"/>
    <n v="6"/>
    <x v="28"/>
    <n v="0"/>
    <x v="29"/>
    <s v="Libertava"/>
    <x v="240"/>
    <m/>
    <n v="14"/>
    <n v="14"/>
    <x v="36"/>
    <s v="Alanta"/>
    <m/>
    <m/>
    <m/>
  </r>
  <r>
    <x v="0"/>
    <d v="2018-06-29T00:00:00"/>
    <n v="6"/>
    <x v="28"/>
    <n v="1"/>
    <x v="29"/>
    <s v="Kalviai"/>
    <x v="241"/>
    <m/>
    <n v="36"/>
    <n v="36"/>
    <x v="36"/>
    <s v="Alanta"/>
    <m/>
    <m/>
    <m/>
  </r>
  <r>
    <x v="0"/>
    <d v="2018-07-13T00:00:00"/>
    <n v="7"/>
    <x v="28"/>
    <n v="1"/>
    <x v="29"/>
    <s v="Richinen"/>
    <x v="227"/>
    <n v="1"/>
    <n v="14"/>
    <n v="74"/>
    <x v="2"/>
    <m/>
    <m/>
    <m/>
    <m/>
  </r>
  <r>
    <x v="0"/>
    <d v="2018-07-14T00:00:00"/>
    <n v="7"/>
    <x v="28"/>
    <n v="1"/>
    <x v="29"/>
    <s v="Heimat"/>
    <x v="35"/>
    <m/>
    <n v="40"/>
    <n v="40"/>
    <x v="2"/>
    <m/>
    <m/>
    <m/>
    <m/>
  </r>
  <r>
    <x v="0"/>
    <d v="2018-07-18T00:00:00"/>
    <n v="7"/>
    <x v="28"/>
    <n v="1"/>
    <x v="29"/>
    <s v="Richinen"/>
    <x v="63"/>
    <n v="2"/>
    <n v="13"/>
    <n v="133"/>
    <x v="2"/>
    <m/>
    <m/>
    <m/>
    <m/>
  </r>
  <r>
    <x v="0"/>
    <d v="2018-07-19T00:00:00"/>
    <n v="7"/>
    <x v="28"/>
    <n v="1"/>
    <x v="29"/>
    <s v="Richinen"/>
    <x v="35"/>
    <m/>
    <n v="39"/>
    <n v="39"/>
    <x v="2"/>
    <m/>
    <m/>
    <m/>
    <m/>
  </r>
  <r>
    <x v="0"/>
    <d v="2018-07-24T00:00:00"/>
    <n v="7"/>
    <x v="28"/>
    <n v="1"/>
    <x v="29"/>
    <s v="Richinen"/>
    <x v="19"/>
    <n v="1"/>
    <n v="42"/>
    <n v="102"/>
    <x v="2"/>
    <s v="mit Alexandra gelandet"/>
    <m/>
    <m/>
    <m/>
  </r>
  <r>
    <x v="0"/>
    <d v="2018-07-25T00:00:00"/>
    <n v="7"/>
    <x v="28"/>
    <n v="1"/>
    <x v="29"/>
    <s v="Steibenkreuz"/>
    <x v="35"/>
    <m/>
    <n v="35"/>
    <n v="35"/>
    <x v="2"/>
    <m/>
    <m/>
    <m/>
    <m/>
  </r>
  <r>
    <x v="0"/>
    <d v="2018-08-04T00:00:00"/>
    <n v="8"/>
    <x v="28"/>
    <n v="1"/>
    <x v="29"/>
    <s v="Richinen"/>
    <x v="35"/>
    <m/>
    <n v="54"/>
    <n v="54"/>
    <x v="2"/>
    <m/>
    <m/>
    <m/>
    <m/>
  </r>
  <r>
    <x v="0"/>
    <d v="2018-08-05T00:00:00"/>
    <n v="8"/>
    <x v="28"/>
    <n v="1"/>
    <x v="29"/>
    <s v="Galfera"/>
    <x v="227"/>
    <n v="1"/>
    <n v="38"/>
    <n v="98"/>
    <x v="2"/>
    <m/>
    <m/>
    <m/>
    <m/>
  </r>
  <r>
    <x v="0"/>
    <d v="2018-08-12T00:00:00"/>
    <n v="8"/>
    <x v="28"/>
    <n v="1"/>
    <x v="29"/>
    <s v="Heimat"/>
    <x v="63"/>
    <m/>
    <n v="12"/>
    <n v="12"/>
    <x v="2"/>
    <s v="Andrea"/>
    <m/>
    <m/>
    <m/>
  </r>
  <r>
    <x v="0"/>
    <d v="2018-08-21T00:00:00"/>
    <n v="8"/>
    <x v="28"/>
    <n v="1"/>
    <x v="29"/>
    <s v="Richinen"/>
    <x v="35"/>
    <m/>
    <n v="30"/>
    <n v="30"/>
    <x v="2"/>
    <m/>
    <m/>
    <m/>
    <m/>
  </r>
  <r>
    <x v="0"/>
    <d v="2018-08-22T00:00:00"/>
    <n v="8"/>
    <x v="28"/>
    <n v="1"/>
    <x v="29"/>
    <s v="Richinen"/>
    <x v="63"/>
    <m/>
    <n v="18"/>
    <n v="18"/>
    <x v="2"/>
    <m/>
    <m/>
    <m/>
    <m/>
  </r>
  <r>
    <x v="0"/>
    <d v="2018-08-23T00:00:00"/>
    <n v="8"/>
    <x v="28"/>
    <n v="1"/>
    <x v="29"/>
    <s v="Heimat"/>
    <x v="35"/>
    <n v="1"/>
    <n v="34"/>
    <n v="94"/>
    <x v="2"/>
    <m/>
    <m/>
    <m/>
    <m/>
  </r>
  <r>
    <x v="0"/>
    <d v="2018-08-27T00:00:00"/>
    <n v="8"/>
    <x v="28"/>
    <n v="1"/>
    <x v="29"/>
    <s v="Heimat"/>
    <x v="63"/>
    <n v="1"/>
    <n v="28"/>
    <n v="88"/>
    <x v="2"/>
    <m/>
    <m/>
    <m/>
    <m/>
  </r>
  <r>
    <x v="0"/>
    <d v="2018-09-01T00:00:00"/>
    <n v="9"/>
    <x v="28"/>
    <n v="1"/>
    <x v="29"/>
    <s v="Col de Ares"/>
    <x v="206"/>
    <n v="1"/>
    <n v="2"/>
    <n v="62"/>
    <x v="32"/>
    <s v="Andrea, Albert, Ernesto, Stephan, Claude, Dominik, Ilona, Dieter, …"/>
    <m/>
    <m/>
    <m/>
  </r>
  <r>
    <x v="0"/>
    <d v="2018-09-01T00:00:00"/>
    <n v="9"/>
    <x v="28"/>
    <n v="0"/>
    <x v="29"/>
    <s v="Col de Ares"/>
    <x v="242"/>
    <n v="1"/>
    <n v="39"/>
    <n v="99"/>
    <x v="32"/>
    <m/>
    <m/>
    <m/>
    <m/>
  </r>
  <r>
    <x v="0"/>
    <d v="2018-09-02T00:00:00"/>
    <n v="9"/>
    <x v="28"/>
    <n v="1"/>
    <x v="29"/>
    <s v="Col de Ares"/>
    <x v="243"/>
    <m/>
    <n v="18"/>
    <n v="18"/>
    <x v="32"/>
    <m/>
    <m/>
    <m/>
    <m/>
  </r>
  <r>
    <x v="0"/>
    <d v="2018-09-02T00:00:00"/>
    <n v="9"/>
    <x v="28"/>
    <n v="0"/>
    <x v="29"/>
    <s v="Col de Ares"/>
    <x v="243"/>
    <n v="1"/>
    <n v="1"/>
    <n v="61"/>
    <x v="32"/>
    <m/>
    <m/>
    <m/>
    <m/>
  </r>
  <r>
    <x v="0"/>
    <d v="2018-09-02T00:00:00"/>
    <n v="9"/>
    <x v="28"/>
    <n v="0"/>
    <x v="29"/>
    <s v="Col de Ares"/>
    <x v="207"/>
    <m/>
    <n v="58"/>
    <n v="58"/>
    <x v="32"/>
    <m/>
    <m/>
    <m/>
    <m/>
  </r>
  <r>
    <x v="0"/>
    <d v="2018-09-03T00:00:00"/>
    <n v="9"/>
    <x v="28"/>
    <n v="1"/>
    <x v="29"/>
    <s v="Castejon de SOS (Liri)"/>
    <x v="208"/>
    <n v="1"/>
    <n v="7"/>
    <n v="67"/>
    <x v="32"/>
    <m/>
    <m/>
    <m/>
    <m/>
  </r>
  <r>
    <x v="0"/>
    <d v="2018-09-03T00:00:00"/>
    <n v="9"/>
    <x v="28"/>
    <n v="0"/>
    <x v="29"/>
    <s v="Castejon de SOS (Liri)"/>
    <x v="209"/>
    <m/>
    <n v="22"/>
    <n v="22"/>
    <x v="32"/>
    <m/>
    <m/>
    <m/>
    <m/>
  </r>
  <r>
    <x v="0"/>
    <d v="2018-09-04T00:00:00"/>
    <n v="9"/>
    <x v="28"/>
    <n v="1"/>
    <x v="29"/>
    <s v="Castejon de SOS (Liri)"/>
    <x v="209"/>
    <n v="1"/>
    <n v="51"/>
    <n v="111"/>
    <x v="32"/>
    <m/>
    <m/>
    <m/>
    <m/>
  </r>
  <r>
    <x v="0"/>
    <d v="2018-09-05T00:00:00"/>
    <n v="9"/>
    <x v="28"/>
    <n v="1"/>
    <x v="29"/>
    <s v="Pedro Bernardo W"/>
    <x v="244"/>
    <m/>
    <n v="45"/>
    <n v="45"/>
    <x v="32"/>
    <m/>
    <m/>
    <m/>
    <m/>
  </r>
  <r>
    <x v="0"/>
    <d v="2018-09-06T00:00:00"/>
    <n v="9"/>
    <x v="28"/>
    <n v="1"/>
    <x v="29"/>
    <s v="Pedro Bernardo W"/>
    <x v="244"/>
    <n v="1"/>
    <n v="12"/>
    <n v="72"/>
    <x v="32"/>
    <m/>
    <m/>
    <m/>
    <m/>
  </r>
  <r>
    <x v="0"/>
    <d v="2018-09-07T00:00:00"/>
    <n v="9"/>
    <x v="28"/>
    <n v="1"/>
    <x v="29"/>
    <s v="Sopelana (Bilbao)"/>
    <x v="245"/>
    <m/>
    <n v="39"/>
    <n v="39"/>
    <x v="32"/>
    <m/>
    <m/>
    <m/>
    <m/>
  </r>
  <r>
    <x v="0"/>
    <d v="2018-09-07T00:00:00"/>
    <n v="9"/>
    <x v="28"/>
    <n v="0"/>
    <x v="29"/>
    <s v="Sopelana (Bilbao)"/>
    <x v="246"/>
    <m/>
    <n v="40"/>
    <n v="40"/>
    <x v="32"/>
    <m/>
    <m/>
    <m/>
    <m/>
  </r>
  <r>
    <x v="0"/>
    <d v="2018-09-09T00:00:00"/>
    <n v="9"/>
    <x v="28"/>
    <n v="1"/>
    <x v="29"/>
    <s v="Santa Maria de Guecho"/>
    <x v="247"/>
    <n v="1"/>
    <n v="38"/>
    <n v="98"/>
    <x v="37"/>
    <s v="Ernesto"/>
    <m/>
    <m/>
    <m/>
  </r>
  <r>
    <x v="0"/>
    <d v="2018-09-10T00:00:00"/>
    <n v="9"/>
    <x v="28"/>
    <n v="1"/>
    <x v="29"/>
    <s v="Urduna"/>
    <x v="248"/>
    <n v="1"/>
    <n v="32"/>
    <n v="92"/>
    <x v="37"/>
    <m/>
    <m/>
    <m/>
    <m/>
  </r>
  <r>
    <x v="0"/>
    <d v="2018-09-11T00:00:00"/>
    <n v="9"/>
    <x v="28"/>
    <n v="1"/>
    <x v="29"/>
    <s v="Barcia de los Montes"/>
    <x v="249"/>
    <n v="1"/>
    <n v="20"/>
    <n v="80"/>
    <x v="37"/>
    <m/>
    <m/>
    <m/>
    <m/>
  </r>
  <r>
    <x v="0"/>
    <d v="2018-09-12T00:00:00"/>
    <n v="9"/>
    <x v="28"/>
    <n v="1"/>
    <x v="29"/>
    <s v="Piedrahita"/>
    <x v="250"/>
    <n v="1"/>
    <n v="58"/>
    <n v="118"/>
    <x v="37"/>
    <m/>
    <m/>
    <m/>
    <m/>
  </r>
  <r>
    <x v="0"/>
    <d v="2018-09-12T00:00:00"/>
    <n v="9"/>
    <x v="28"/>
    <n v="0"/>
    <x v="29"/>
    <s v="Piedrahita"/>
    <x v="251"/>
    <m/>
    <n v="54"/>
    <n v="54"/>
    <x v="37"/>
    <m/>
    <m/>
    <m/>
    <m/>
  </r>
  <r>
    <x v="0"/>
    <d v="2018-09-13T00:00:00"/>
    <n v="9"/>
    <x v="28"/>
    <n v="1"/>
    <x v="29"/>
    <s v="Piedrahita"/>
    <x v="252"/>
    <n v="2"/>
    <n v="32"/>
    <n v="152"/>
    <x v="37"/>
    <m/>
    <m/>
    <m/>
    <m/>
  </r>
  <r>
    <x v="0"/>
    <d v="2018-09-13T00:00:00"/>
    <n v="9"/>
    <x v="28"/>
    <n v="0"/>
    <x v="29"/>
    <s v="Piedrahita"/>
    <x v="253"/>
    <n v="1"/>
    <n v="0"/>
    <n v="60"/>
    <x v="37"/>
    <m/>
    <m/>
    <m/>
    <m/>
  </r>
  <r>
    <x v="0"/>
    <d v="2018-09-14T00:00:00"/>
    <n v="9"/>
    <x v="28"/>
    <n v="1"/>
    <x v="29"/>
    <s v="Pedro Bernardo W"/>
    <x v="254"/>
    <n v="1"/>
    <n v="33"/>
    <n v="93"/>
    <x v="37"/>
    <m/>
    <m/>
    <m/>
    <m/>
  </r>
  <r>
    <x v="0"/>
    <d v="2018-09-16T00:00:00"/>
    <n v="9"/>
    <x v="28"/>
    <n v="1"/>
    <x v="29"/>
    <s v="First"/>
    <x v="5"/>
    <m/>
    <n v="18"/>
    <n v="18"/>
    <x v="2"/>
    <m/>
    <m/>
    <m/>
    <m/>
  </r>
  <r>
    <x v="0"/>
    <d v="2018-09-20T00:00:00"/>
    <n v="9"/>
    <x v="28"/>
    <n v="1"/>
    <x v="29"/>
    <s v="Richinen"/>
    <x v="35"/>
    <n v="1"/>
    <n v="27"/>
    <n v="87"/>
    <x v="2"/>
    <m/>
    <m/>
    <m/>
    <m/>
  </r>
  <r>
    <x v="0"/>
    <d v="2018-09-26T00:00:00"/>
    <n v="9"/>
    <x v="28"/>
    <n v="1"/>
    <x v="29"/>
    <s v="Richinen"/>
    <x v="35"/>
    <n v="1"/>
    <n v="2"/>
    <n v="62"/>
    <x v="2"/>
    <m/>
    <m/>
    <m/>
    <m/>
  </r>
  <r>
    <x v="0"/>
    <d v="2018-09-27T00:00:00"/>
    <n v="9"/>
    <x v="28"/>
    <n v="1"/>
    <x v="29"/>
    <s v="Richinen"/>
    <x v="227"/>
    <m/>
    <n v="19"/>
    <n v="19"/>
    <x v="2"/>
    <m/>
    <m/>
    <m/>
    <m/>
  </r>
  <r>
    <x v="0"/>
    <d v="2018-09-28T00:00:00"/>
    <n v="9"/>
    <x v="28"/>
    <n v="1"/>
    <x v="29"/>
    <s v="Richinen"/>
    <x v="35"/>
    <n v="1"/>
    <n v="2"/>
    <n v="62"/>
    <x v="2"/>
    <m/>
    <m/>
    <m/>
    <m/>
  </r>
  <r>
    <x v="0"/>
    <d v="2018-10-16T00:00:00"/>
    <n v="10"/>
    <x v="28"/>
    <n v="1"/>
    <x v="29"/>
    <s v="Richinen"/>
    <x v="227"/>
    <m/>
    <n v="24"/>
    <n v="24"/>
    <x v="2"/>
    <m/>
    <m/>
    <m/>
    <m/>
  </r>
  <r>
    <x v="0"/>
    <d v="2018-10-17T00:00:00"/>
    <n v="10"/>
    <x v="28"/>
    <n v="1"/>
    <x v="29"/>
    <s v="Richinen"/>
    <x v="63"/>
    <m/>
    <n v="20"/>
    <n v="20"/>
    <x v="2"/>
    <m/>
    <m/>
    <m/>
    <m/>
  </r>
  <r>
    <x v="0"/>
    <d v="2018-10-19T00:00:00"/>
    <n v="10"/>
    <x v="28"/>
    <n v="1"/>
    <x v="29"/>
    <s v="Richinen"/>
    <x v="35"/>
    <n v="1"/>
    <n v="7"/>
    <n v="67"/>
    <x v="2"/>
    <m/>
    <m/>
    <m/>
    <m/>
  </r>
  <r>
    <x v="0"/>
    <d v="2018-10-20T00:00:00"/>
    <n v="10"/>
    <x v="28"/>
    <n v="1"/>
    <x v="29"/>
    <s v="Richinen"/>
    <x v="35"/>
    <n v="1"/>
    <n v="5"/>
    <n v="65"/>
    <x v="2"/>
    <m/>
    <m/>
    <m/>
    <m/>
  </r>
  <r>
    <x v="0"/>
    <d v="2018-11-25T00:00:00"/>
    <n v="11"/>
    <x v="28"/>
    <n v="1"/>
    <x v="29"/>
    <s v="Ninho das guias Sul (Nova Petropolis)"/>
    <x v="255"/>
    <n v="1"/>
    <n v="32"/>
    <n v="92"/>
    <x v="38"/>
    <s v="mit Ernesto, Adrian, René, Martin, Martin, Klaus, Gerd, …"/>
    <m/>
    <m/>
    <m/>
  </r>
  <r>
    <x v="0"/>
    <d v="2018-11-25T00:00:00"/>
    <n v="11"/>
    <x v="28"/>
    <n v="0"/>
    <x v="29"/>
    <s v="Ninho das guias Sul (Nova Petropolis)"/>
    <x v="255"/>
    <m/>
    <n v="46"/>
    <n v="46"/>
    <x v="38"/>
    <m/>
    <m/>
    <m/>
    <m/>
  </r>
  <r>
    <x v="0"/>
    <d v="2018-11-26T00:00:00"/>
    <n v="11"/>
    <x v="28"/>
    <n v="1"/>
    <x v="29"/>
    <s v="Igrejinha-Morro Alto da Pedra"/>
    <x v="256"/>
    <n v="1"/>
    <n v="36"/>
    <n v="96"/>
    <x v="38"/>
    <m/>
    <m/>
    <m/>
    <m/>
  </r>
  <r>
    <x v="0"/>
    <d v="2018-11-27T00:00:00"/>
    <n v="11"/>
    <x v="28"/>
    <n v="1"/>
    <x v="29"/>
    <s v="Igrejinha-Morro Alto da Pedra"/>
    <x v="256"/>
    <n v="1"/>
    <n v="6"/>
    <n v="66"/>
    <x v="38"/>
    <m/>
    <m/>
    <m/>
    <m/>
  </r>
  <r>
    <x v="0"/>
    <d v="2018-12-01T00:00:00"/>
    <n v="12"/>
    <x v="28"/>
    <n v="1"/>
    <x v="29"/>
    <s v="Parce Municipal del Deita (Rolante)"/>
    <x v="257"/>
    <m/>
    <n v="22"/>
    <n v="22"/>
    <x v="38"/>
    <s v="Eingeladen bei Brasilianerfamilie:)"/>
    <m/>
    <m/>
    <m/>
  </r>
  <r>
    <x v="0"/>
    <d v="2018-12-02T00:00:00"/>
    <n v="12"/>
    <x v="28"/>
    <n v="1"/>
    <x v="29"/>
    <s v="Encantado"/>
    <x v="258"/>
    <n v="1"/>
    <n v="41"/>
    <n v="101"/>
    <x v="38"/>
    <m/>
    <m/>
    <m/>
    <m/>
  </r>
  <r>
    <x v="0"/>
    <d v="2018-12-02T00:00:00"/>
    <n v="12"/>
    <x v="28"/>
    <n v="0"/>
    <x v="29"/>
    <s v="Encantado"/>
    <x v="259"/>
    <n v="1"/>
    <n v="25"/>
    <n v="85"/>
    <x v="38"/>
    <m/>
    <m/>
    <m/>
    <m/>
  </r>
  <r>
    <x v="0"/>
    <d v="2018-12-03T00:00:00"/>
    <n v="12"/>
    <x v="28"/>
    <n v="1"/>
    <x v="29"/>
    <s v="Encantado"/>
    <x v="260"/>
    <n v="1"/>
    <n v="23"/>
    <n v="83"/>
    <x v="38"/>
    <m/>
    <m/>
    <m/>
    <m/>
  </r>
  <r>
    <x v="0"/>
    <d v="2018-12-03T00:00:00"/>
    <n v="12"/>
    <x v="28"/>
    <n v="0"/>
    <x v="29"/>
    <s v="Encantado"/>
    <x v="259"/>
    <m/>
    <n v="55"/>
    <n v="55"/>
    <x v="38"/>
    <m/>
    <m/>
    <m/>
    <m/>
  </r>
  <r>
    <x v="0"/>
    <d v="2018-12-04T00:00:00"/>
    <n v="12"/>
    <x v="28"/>
    <n v="1"/>
    <x v="29"/>
    <s v="Agudo"/>
    <x v="261"/>
    <m/>
    <n v="58"/>
    <n v="58"/>
    <x v="38"/>
    <m/>
    <m/>
    <m/>
    <m/>
  </r>
  <r>
    <x v="0"/>
    <d v="2018-12-04T00:00:00"/>
    <n v="12"/>
    <x v="28"/>
    <n v="0"/>
    <x v="29"/>
    <s v="Agudo"/>
    <x v="262"/>
    <m/>
    <n v="37"/>
    <n v="37"/>
    <x v="38"/>
    <m/>
    <m/>
    <m/>
    <m/>
  </r>
  <r>
    <x v="0"/>
    <d v="2018-12-05T00:00:00"/>
    <n v="12"/>
    <x v="28"/>
    <n v="1"/>
    <x v="29"/>
    <s v="Agudo"/>
    <x v="263"/>
    <n v="1"/>
    <n v="32"/>
    <n v="92"/>
    <x v="38"/>
    <m/>
    <m/>
    <m/>
    <m/>
  </r>
  <r>
    <x v="0"/>
    <d v="2018-12-06T00:00:00"/>
    <n v="12"/>
    <x v="28"/>
    <n v="1"/>
    <x v="29"/>
    <s v="Encantado"/>
    <x v="260"/>
    <n v="1"/>
    <n v="51"/>
    <n v="111"/>
    <x v="38"/>
    <m/>
    <m/>
    <m/>
    <m/>
  </r>
  <r>
    <x v="0"/>
    <d v="2018-12-06T00:00:00"/>
    <n v="12"/>
    <x v="28"/>
    <n v="0"/>
    <x v="29"/>
    <s v="Encantado"/>
    <x v="259"/>
    <m/>
    <n v="48"/>
    <n v="48"/>
    <x v="38"/>
    <m/>
    <m/>
    <m/>
    <m/>
  </r>
  <r>
    <x v="0"/>
    <d v="2018-12-07T00:00:00"/>
    <n v="12"/>
    <x v="28"/>
    <n v="1"/>
    <x v="29"/>
    <s v="Morro do Ferrabraz (Sapirianga)"/>
    <x v="264"/>
    <n v="1"/>
    <n v="5"/>
    <n v="65"/>
    <x v="38"/>
    <s v="Fussballplatz"/>
    <m/>
    <m/>
    <m/>
  </r>
  <r>
    <x v="0"/>
    <d v="2019-02-16T00:00:00"/>
    <n v="2"/>
    <x v="29"/>
    <n v="1"/>
    <x v="29"/>
    <s v="Steibenkreuz"/>
    <x v="35"/>
    <n v="1"/>
    <n v="23"/>
    <n v="83"/>
    <x v="2"/>
    <m/>
    <m/>
    <m/>
    <m/>
  </r>
  <r>
    <x v="1"/>
    <d v="2019-03-21T00:00:00"/>
    <n v="3"/>
    <x v="29"/>
    <n v="1"/>
    <x v="29"/>
    <s v="San Fermo"/>
    <x v="133"/>
    <m/>
    <n v="12"/>
    <n v="12"/>
    <x v="30"/>
    <s v="Dominik, Albert, Andrea"/>
    <m/>
    <m/>
    <m/>
  </r>
  <r>
    <x v="1"/>
    <d v="2019-03-21T00:00:00"/>
    <n v="3"/>
    <x v="29"/>
    <n v="0"/>
    <x v="29"/>
    <s v="San Fermo"/>
    <x v="133"/>
    <m/>
    <n v="15"/>
    <n v="15"/>
    <x v="30"/>
    <m/>
    <m/>
    <m/>
    <m/>
  </r>
  <r>
    <x v="1"/>
    <d v="2019-03-21T00:00:00"/>
    <n v="3"/>
    <x v="29"/>
    <n v="0"/>
    <x v="29"/>
    <s v="San Fermo"/>
    <x v="135"/>
    <m/>
    <n v="27"/>
    <n v="27"/>
    <x v="30"/>
    <m/>
    <m/>
    <m/>
    <m/>
  </r>
  <r>
    <x v="1"/>
    <d v="2019-03-22T00:00:00"/>
    <n v="3"/>
    <x v="29"/>
    <n v="1"/>
    <x v="29"/>
    <s v="San Fermo"/>
    <x v="133"/>
    <m/>
    <n v="25"/>
    <n v="25"/>
    <x v="30"/>
    <m/>
    <m/>
    <m/>
    <m/>
  </r>
  <r>
    <x v="1"/>
    <d v="2019-03-22T00:00:00"/>
    <n v="3"/>
    <x v="29"/>
    <n v="0"/>
    <x v="29"/>
    <s v="San Fermo"/>
    <x v="133"/>
    <m/>
    <n v="40"/>
    <n v="40"/>
    <x v="30"/>
    <m/>
    <m/>
    <m/>
    <m/>
  </r>
  <r>
    <x v="1"/>
    <d v="2019-03-22T00:00:00"/>
    <n v="3"/>
    <x v="29"/>
    <n v="0"/>
    <x v="29"/>
    <s v="San Fermo"/>
    <x v="135"/>
    <m/>
    <n v="48"/>
    <n v="48"/>
    <x v="30"/>
    <m/>
    <m/>
    <m/>
    <m/>
  </r>
  <r>
    <x v="1"/>
    <d v="2019-03-23T00:00:00"/>
    <n v="3"/>
    <x v="29"/>
    <n v="1"/>
    <x v="29"/>
    <s v="San Fermo"/>
    <x v="178"/>
    <m/>
    <n v="32"/>
    <n v="32"/>
    <x v="30"/>
    <m/>
    <m/>
    <m/>
    <m/>
  </r>
  <r>
    <x v="1"/>
    <d v="2019-03-23T00:00:00"/>
    <n v="3"/>
    <x v="29"/>
    <n v="0"/>
    <x v="29"/>
    <s v="San Fermo"/>
    <x v="133"/>
    <m/>
    <n v="29"/>
    <n v="29"/>
    <x v="30"/>
    <m/>
    <m/>
    <m/>
    <m/>
  </r>
  <r>
    <x v="1"/>
    <d v="2019-03-23T00:00:00"/>
    <n v="3"/>
    <x v="29"/>
    <n v="0"/>
    <x v="29"/>
    <s v="San Fermo"/>
    <x v="133"/>
    <m/>
    <n v="29"/>
    <n v="29"/>
    <x v="30"/>
    <m/>
    <m/>
    <m/>
    <m/>
  </r>
  <r>
    <x v="1"/>
    <d v="2019-03-23T00:00:00"/>
    <n v="3"/>
    <x v="29"/>
    <n v="0"/>
    <x v="29"/>
    <s v="San Fermo"/>
    <x v="135"/>
    <m/>
    <n v="48"/>
    <n v="48"/>
    <x v="30"/>
    <m/>
    <m/>
    <m/>
    <m/>
  </r>
  <r>
    <x v="1"/>
    <d v="2019-03-24T00:00:00"/>
    <n v="3"/>
    <x v="29"/>
    <n v="1"/>
    <x v="29"/>
    <s v="San Fermo"/>
    <x v="133"/>
    <m/>
    <n v="23"/>
    <n v="23"/>
    <x v="30"/>
    <m/>
    <m/>
    <m/>
    <m/>
  </r>
  <r>
    <x v="1"/>
    <d v="2019-03-24T00:00:00"/>
    <n v="3"/>
    <x v="29"/>
    <n v="0"/>
    <x v="29"/>
    <s v="San Fermo"/>
    <x v="133"/>
    <m/>
    <n v="14"/>
    <n v="14"/>
    <x v="30"/>
    <m/>
    <m/>
    <m/>
    <m/>
  </r>
  <r>
    <x v="1"/>
    <d v="2019-03-24T00:00:00"/>
    <n v="3"/>
    <x v="29"/>
    <n v="0"/>
    <x v="29"/>
    <s v="San Fermo"/>
    <x v="178"/>
    <m/>
    <n v="21"/>
    <n v="21"/>
    <x v="30"/>
    <m/>
    <m/>
    <m/>
    <m/>
  </r>
  <r>
    <x v="0"/>
    <d v="2019-03-28T00:00:00"/>
    <n v="3"/>
    <x v="29"/>
    <n v="1"/>
    <x v="29"/>
    <s v="Steibenkreuz"/>
    <x v="35"/>
    <m/>
    <n v="52"/>
    <n v="52"/>
    <x v="2"/>
    <m/>
    <m/>
    <m/>
    <m/>
  </r>
  <r>
    <x v="0"/>
    <d v="2019-03-30T00:00:00"/>
    <n v="3"/>
    <x v="29"/>
    <n v="1"/>
    <x v="29"/>
    <s v="Heimat"/>
    <x v="63"/>
    <m/>
    <n v="32"/>
    <n v="32"/>
    <x v="2"/>
    <m/>
    <m/>
    <m/>
    <m/>
  </r>
  <r>
    <x v="0"/>
    <d v="2019-03-31T00:00:00"/>
    <n v="3"/>
    <x v="29"/>
    <n v="1"/>
    <x v="29"/>
    <s v="Steibenkreuz"/>
    <x v="63"/>
    <n v="1"/>
    <n v="42"/>
    <n v="102"/>
    <x v="2"/>
    <m/>
    <m/>
    <m/>
    <m/>
  </r>
  <r>
    <x v="0"/>
    <d v="2019-04-13T00:00:00"/>
    <n v="4"/>
    <x v="29"/>
    <n v="1"/>
    <x v="29"/>
    <s v="Monte Veneretta"/>
    <x v="265"/>
    <n v="1"/>
    <n v="11"/>
    <n v="71"/>
    <x v="39"/>
    <m/>
    <m/>
    <m/>
    <m/>
  </r>
  <r>
    <x v="0"/>
    <d v="2019-04-14T00:00:00"/>
    <n v="4"/>
    <x v="29"/>
    <n v="1"/>
    <x v="29"/>
    <s v="Gallodoro"/>
    <x v="265"/>
    <m/>
    <n v="38"/>
    <n v="38"/>
    <x v="39"/>
    <m/>
    <m/>
    <m/>
    <m/>
  </r>
  <r>
    <x v="0"/>
    <d v="2019-04-15T00:00:00"/>
    <n v="4"/>
    <x v="29"/>
    <n v="1"/>
    <x v="29"/>
    <s v="Bagnara"/>
    <x v="266"/>
    <m/>
    <n v="16"/>
    <n v="16"/>
    <x v="39"/>
    <m/>
    <m/>
    <m/>
    <m/>
  </r>
  <r>
    <x v="0"/>
    <d v="2019-04-16T00:00:00"/>
    <n v="4"/>
    <x v="29"/>
    <n v="1"/>
    <x v="29"/>
    <s v="Ali"/>
    <x v="267"/>
    <m/>
    <n v="28"/>
    <n v="28"/>
    <x v="39"/>
    <m/>
    <m/>
    <m/>
    <m/>
  </r>
  <r>
    <x v="0"/>
    <d v="2019-04-16T00:00:00"/>
    <n v="4"/>
    <x v="29"/>
    <n v="0"/>
    <x v="29"/>
    <s v="Monte Veneretta"/>
    <x v="265"/>
    <m/>
    <n v="26"/>
    <n v="26"/>
    <x v="39"/>
    <m/>
    <m/>
    <m/>
    <m/>
  </r>
  <r>
    <x v="0"/>
    <d v="2019-04-17T00:00:00"/>
    <n v="4"/>
    <x v="29"/>
    <n v="1"/>
    <x v="29"/>
    <s v="Monte Scala"/>
    <x v="268"/>
    <n v="1"/>
    <n v="15"/>
    <n v="75"/>
    <x v="39"/>
    <s v="mit Vreni"/>
    <m/>
    <m/>
    <m/>
  </r>
  <r>
    <x v="0"/>
    <d v="2019-04-17T00:00:00"/>
    <n v="4"/>
    <x v="29"/>
    <n v="0"/>
    <x v="29"/>
    <s v="Niscemi"/>
    <x v="268"/>
    <n v="1"/>
    <n v="0"/>
    <n v="60"/>
    <x v="39"/>
    <m/>
    <m/>
    <m/>
    <m/>
  </r>
  <r>
    <x v="0"/>
    <d v="2019-04-17T00:00:00"/>
    <n v="4"/>
    <x v="29"/>
    <n v="0"/>
    <x v="29"/>
    <s v="Niscemi"/>
    <x v="268"/>
    <m/>
    <n v="19"/>
    <n v="19"/>
    <x v="39"/>
    <m/>
    <m/>
    <m/>
    <m/>
  </r>
  <r>
    <x v="0"/>
    <d v="2019-04-18T00:00:00"/>
    <n v="4"/>
    <x v="29"/>
    <n v="1"/>
    <x v="29"/>
    <s v="Assoro"/>
    <x v="269"/>
    <m/>
    <n v="8"/>
    <n v="8"/>
    <x v="39"/>
    <m/>
    <m/>
    <m/>
    <m/>
  </r>
  <r>
    <x v="0"/>
    <d v="2019-04-18T00:00:00"/>
    <n v="4"/>
    <x v="29"/>
    <n v="0"/>
    <x v="29"/>
    <s v="Assoro"/>
    <x v="270"/>
    <n v="1"/>
    <n v="21"/>
    <n v="81"/>
    <x v="39"/>
    <m/>
    <m/>
    <m/>
    <m/>
  </r>
  <r>
    <x v="0"/>
    <d v="2019-04-19T00:00:00"/>
    <n v="4"/>
    <x v="29"/>
    <n v="1"/>
    <x v="29"/>
    <s v="Monte Veneretta"/>
    <x v="271"/>
    <n v="1"/>
    <n v="11"/>
    <n v="71"/>
    <x v="39"/>
    <m/>
    <m/>
    <m/>
    <m/>
  </r>
  <r>
    <x v="0"/>
    <d v="2019-05-01T00:00:00"/>
    <n v="5"/>
    <x v="29"/>
    <n v="1"/>
    <x v="29"/>
    <s v="Balmberg"/>
    <x v="272"/>
    <n v="1"/>
    <n v="12"/>
    <n v="72"/>
    <x v="2"/>
    <s v="mit Roli"/>
    <m/>
    <m/>
    <m/>
  </r>
  <r>
    <x v="0"/>
    <d v="2019-05-31T00:00:00"/>
    <n v="5"/>
    <x v="29"/>
    <n v="1"/>
    <x v="29"/>
    <s v="Nazaré, Paredes da Vitoria"/>
    <x v="273"/>
    <m/>
    <n v="2"/>
    <n v="2"/>
    <x v="23"/>
    <s v="Alexandra, Lukas, Andrea, Roman, Gian, Nina, Ruth, Ueli, Stefan, Florian, Sämi, Anita, Michael, franziska"/>
    <m/>
    <m/>
    <m/>
  </r>
  <r>
    <x v="0"/>
    <d v="2019-06-01T00:00:00"/>
    <n v="6"/>
    <x v="29"/>
    <n v="1"/>
    <x v="29"/>
    <s v="Linhares"/>
    <x v="136"/>
    <n v="1"/>
    <n v="54"/>
    <n v="114"/>
    <x v="23"/>
    <m/>
    <m/>
    <m/>
    <m/>
  </r>
  <r>
    <x v="0"/>
    <d v="2019-06-01T00:00:00"/>
    <n v="6"/>
    <x v="29"/>
    <n v="0"/>
    <x v="29"/>
    <s v="Linhares"/>
    <x v="136"/>
    <m/>
    <n v="12"/>
    <n v="12"/>
    <x v="23"/>
    <m/>
    <m/>
    <m/>
    <m/>
  </r>
  <r>
    <x v="0"/>
    <d v="2019-06-01T00:00:00"/>
    <n v="6"/>
    <x v="29"/>
    <n v="0"/>
    <x v="29"/>
    <s v="Linhares"/>
    <x v="274"/>
    <n v="1"/>
    <n v="41"/>
    <n v="101"/>
    <x v="23"/>
    <m/>
    <m/>
    <m/>
    <m/>
  </r>
  <r>
    <x v="0"/>
    <d v="2019-06-02T00:00:00"/>
    <n v="6"/>
    <x v="29"/>
    <n v="1"/>
    <x v="29"/>
    <s v="Linhares"/>
    <x v="136"/>
    <m/>
    <n v="42"/>
    <n v="42"/>
    <x v="23"/>
    <m/>
    <m/>
    <m/>
    <m/>
  </r>
  <r>
    <x v="0"/>
    <d v="2019-06-03T00:00:00"/>
    <n v="6"/>
    <x v="29"/>
    <n v="1"/>
    <x v="29"/>
    <s v="Praia de Gralha"/>
    <x v="275"/>
    <n v="1"/>
    <n v="43"/>
    <n v="103"/>
    <x v="23"/>
    <m/>
    <m/>
    <m/>
    <m/>
  </r>
  <r>
    <x v="0"/>
    <d v="2019-06-08T00:00:00"/>
    <n v="6"/>
    <x v="29"/>
    <n v="1"/>
    <x v="29"/>
    <s v="Richinen"/>
    <x v="35"/>
    <m/>
    <n v="31"/>
    <n v="31"/>
    <x v="2"/>
    <s v="Mike/Margret"/>
    <m/>
    <m/>
    <m/>
  </r>
  <r>
    <x v="0"/>
    <d v="2019-06-21T00:00:00"/>
    <n v="6"/>
    <x v="29"/>
    <n v="1"/>
    <x v="29"/>
    <s v="Dovydiskai"/>
    <x v="233"/>
    <m/>
    <n v="17"/>
    <n v="17"/>
    <x v="36"/>
    <s v="Ukmerge"/>
    <m/>
    <m/>
    <m/>
  </r>
  <r>
    <x v="0"/>
    <d v="2019-06-21T00:00:00"/>
    <n v="6"/>
    <x v="29"/>
    <n v="0"/>
    <x v="29"/>
    <s v="Dovydiskai"/>
    <x v="233"/>
    <m/>
    <n v="13"/>
    <n v="13"/>
    <x v="36"/>
    <s v="Ukmerge"/>
    <m/>
    <m/>
    <m/>
  </r>
  <r>
    <x v="0"/>
    <d v="2019-06-21T00:00:00"/>
    <n v="6"/>
    <x v="29"/>
    <n v="0"/>
    <x v="29"/>
    <s v="Dovydiskai"/>
    <x v="233"/>
    <m/>
    <n v="14"/>
    <n v="14"/>
    <x v="36"/>
    <s v="Ukmerge"/>
    <m/>
    <m/>
    <m/>
  </r>
  <r>
    <x v="0"/>
    <d v="2019-06-21T00:00:00"/>
    <n v="6"/>
    <x v="29"/>
    <n v="0"/>
    <x v="29"/>
    <s v="Dovydiskai"/>
    <x v="233"/>
    <m/>
    <n v="15"/>
    <n v="15"/>
    <x v="36"/>
    <s v="Ukmerge"/>
    <m/>
    <m/>
    <m/>
  </r>
  <r>
    <x v="0"/>
    <d v="2019-06-22T00:00:00"/>
    <n v="6"/>
    <x v="29"/>
    <n v="1"/>
    <x v="29"/>
    <s v="Alanta"/>
    <x v="276"/>
    <n v="1"/>
    <n v="41"/>
    <n v="101"/>
    <x v="36"/>
    <m/>
    <m/>
    <m/>
    <m/>
  </r>
  <r>
    <x v="0"/>
    <d v="2019-06-23T00:00:00"/>
    <n v="6"/>
    <x v="29"/>
    <n v="1"/>
    <x v="29"/>
    <s v="Antandraja"/>
    <x v="277"/>
    <n v="4"/>
    <n v="47"/>
    <n v="287"/>
    <x v="36"/>
    <m/>
    <m/>
    <m/>
    <m/>
  </r>
  <r>
    <x v="0"/>
    <d v="2019-06-24T00:00:00"/>
    <n v="6"/>
    <x v="29"/>
    <n v="1"/>
    <x v="29"/>
    <s v="Kernuves"/>
    <x v="278"/>
    <m/>
    <n v="12"/>
    <n v="12"/>
    <x v="36"/>
    <m/>
    <m/>
    <m/>
    <m/>
  </r>
  <r>
    <x v="0"/>
    <d v="2019-06-24T00:00:00"/>
    <n v="6"/>
    <x v="29"/>
    <n v="0"/>
    <x v="29"/>
    <s v="Kernuves"/>
    <x v="279"/>
    <n v="3"/>
    <n v="19"/>
    <n v="199"/>
    <x v="36"/>
    <m/>
    <m/>
    <m/>
    <m/>
  </r>
  <r>
    <x v="0"/>
    <d v="2019-06-25T00:00:00"/>
    <n v="6"/>
    <x v="29"/>
    <n v="1"/>
    <x v="29"/>
    <s v="Genetiniai"/>
    <x v="280"/>
    <n v="4"/>
    <n v="33"/>
    <n v="273"/>
    <x v="36"/>
    <m/>
    <m/>
    <m/>
    <m/>
  </r>
  <r>
    <x v="0"/>
    <d v="2019-06-26T00:00:00"/>
    <n v="6"/>
    <x v="29"/>
    <n v="1"/>
    <x v="29"/>
    <s v="Dovydiskai"/>
    <x v="233"/>
    <m/>
    <n v="14"/>
    <n v="14"/>
    <x v="36"/>
    <s v="Ukmerge"/>
    <m/>
    <m/>
    <m/>
  </r>
  <r>
    <x v="0"/>
    <d v="2019-06-26T00:00:00"/>
    <n v="6"/>
    <x v="29"/>
    <n v="0"/>
    <x v="29"/>
    <s v="Dovydiskai"/>
    <x v="281"/>
    <n v="2"/>
    <n v="40"/>
    <n v="160"/>
    <x v="36"/>
    <s v="Ukmerge"/>
    <m/>
    <m/>
    <m/>
  </r>
  <r>
    <x v="0"/>
    <d v="2019-07-14T00:00:00"/>
    <n v="7"/>
    <x v="29"/>
    <n v="1"/>
    <x v="29"/>
    <s v="Heimat"/>
    <x v="282"/>
    <n v="1"/>
    <n v="29"/>
    <n v="89"/>
    <x v="2"/>
    <m/>
    <m/>
    <m/>
    <m/>
  </r>
  <r>
    <x v="0"/>
    <d v="2019-07-17T00:00:00"/>
    <n v="7"/>
    <x v="29"/>
    <n v="1"/>
    <x v="29"/>
    <s v="Richinen"/>
    <x v="35"/>
    <n v="1"/>
    <n v="8"/>
    <n v="68"/>
    <x v="2"/>
    <m/>
    <m/>
    <m/>
    <m/>
  </r>
  <r>
    <x v="0"/>
    <d v="2019-07-21T00:00:00"/>
    <n v="7"/>
    <x v="29"/>
    <n v="1"/>
    <x v="29"/>
    <s v="Galfera"/>
    <x v="63"/>
    <n v="1"/>
    <n v="15"/>
    <n v="75"/>
    <x v="2"/>
    <m/>
    <m/>
    <m/>
    <m/>
  </r>
  <r>
    <x v="0"/>
    <d v="2019-07-22T00:00:00"/>
    <n v="7"/>
    <x v="29"/>
    <n v="1"/>
    <x v="29"/>
    <s v="Richinen"/>
    <x v="63"/>
    <m/>
    <n v="30"/>
    <n v="30"/>
    <x v="2"/>
    <m/>
    <m/>
    <m/>
    <m/>
  </r>
  <r>
    <x v="0"/>
    <d v="2019-07-23T00:00:00"/>
    <n v="7"/>
    <x v="29"/>
    <n v="1"/>
    <x v="29"/>
    <s v="Heimat"/>
    <x v="63"/>
    <n v="2"/>
    <n v="19"/>
    <n v="139"/>
    <x v="2"/>
    <m/>
    <m/>
    <m/>
    <m/>
  </r>
  <r>
    <x v="0"/>
    <d v="2019-07-29T00:00:00"/>
    <n v="7"/>
    <x v="29"/>
    <n v="1"/>
    <x v="29"/>
    <s v="Steibenkreuz"/>
    <x v="63"/>
    <m/>
    <n v="36"/>
    <n v="36"/>
    <x v="2"/>
    <m/>
    <m/>
    <m/>
    <m/>
  </r>
  <r>
    <x v="0"/>
    <d v="2019-07-30T00:00:00"/>
    <n v="7"/>
    <x v="29"/>
    <n v="1"/>
    <x v="29"/>
    <s v="Richinen"/>
    <x v="35"/>
    <m/>
    <n v="30"/>
    <n v="30"/>
    <x v="2"/>
    <m/>
    <m/>
    <m/>
    <m/>
  </r>
  <r>
    <x v="0"/>
    <d v="2019-08-01T00:00:00"/>
    <n v="8"/>
    <x v="29"/>
    <n v="1"/>
    <x v="29"/>
    <s v="Galfera"/>
    <x v="35"/>
    <n v="1"/>
    <n v="43"/>
    <n v="103"/>
    <x v="2"/>
    <s v="Alexandra / Andrea"/>
    <m/>
    <m/>
    <m/>
  </r>
  <r>
    <x v="0"/>
    <d v="2019-08-03T00:00:00"/>
    <n v="8"/>
    <x v="29"/>
    <n v="1"/>
    <x v="29"/>
    <s v="Heimat"/>
    <x v="63"/>
    <m/>
    <n v="41"/>
    <n v="41"/>
    <x v="2"/>
    <s v="Andrea"/>
    <m/>
    <m/>
    <m/>
  </r>
  <r>
    <x v="0"/>
    <d v="2019-08-04T00:00:00"/>
    <n v="8"/>
    <x v="29"/>
    <n v="1"/>
    <x v="29"/>
    <s v="Galfera"/>
    <x v="63"/>
    <n v="1"/>
    <n v="38"/>
    <n v="98"/>
    <x v="2"/>
    <s v="Ernesto"/>
    <m/>
    <m/>
    <m/>
  </r>
  <r>
    <x v="0"/>
    <d v="2019-08-08T00:00:00"/>
    <n v="8"/>
    <x v="29"/>
    <n v="1"/>
    <x v="29"/>
    <s v="Richinen"/>
    <x v="35"/>
    <n v="1"/>
    <n v="4"/>
    <n v="64"/>
    <x v="2"/>
    <m/>
    <m/>
    <m/>
    <m/>
  </r>
  <r>
    <x v="0"/>
    <d v="2019-08-09T00:00:00"/>
    <n v="8"/>
    <x v="29"/>
    <n v="1"/>
    <x v="29"/>
    <s v="Steibenkreuz"/>
    <x v="80"/>
    <m/>
    <n v="20"/>
    <n v="20"/>
    <x v="2"/>
    <m/>
    <m/>
    <m/>
    <m/>
  </r>
  <r>
    <x v="0"/>
    <d v="2019-08-25T00:00:00"/>
    <n v="8"/>
    <x v="29"/>
    <n v="1"/>
    <x v="29"/>
    <s v="Patara Lilo / Tbilisi"/>
    <x v="283"/>
    <m/>
    <n v="5"/>
    <n v="5"/>
    <x v="40"/>
    <s v="Meck, Zufi, Tedi, Ernesto, Dirk, Jarem, Markus, Markus, Anne/Simon, Denise/Roli, Ursi/Eric, Nicole, Andre"/>
    <m/>
    <m/>
    <m/>
  </r>
  <r>
    <x v="0"/>
    <d v="2019-08-26T00:00:00"/>
    <n v="8"/>
    <x v="29"/>
    <n v="1"/>
    <x v="29"/>
    <s v="Akhalsopeli unten"/>
    <x v="284"/>
    <n v="2"/>
    <n v="13"/>
    <n v="133"/>
    <x v="40"/>
    <m/>
    <m/>
    <m/>
    <m/>
  </r>
  <r>
    <x v="0"/>
    <d v="2019-08-27T00:00:00"/>
    <n v="8"/>
    <x v="29"/>
    <n v="1"/>
    <x v="29"/>
    <s v="Akhalsopeli oben"/>
    <x v="284"/>
    <n v="1"/>
    <n v="32"/>
    <n v="92"/>
    <x v="40"/>
    <m/>
    <m/>
    <m/>
    <m/>
  </r>
  <r>
    <x v="0"/>
    <d v="2019-08-28T00:00:00"/>
    <n v="8"/>
    <x v="29"/>
    <n v="1"/>
    <x v="29"/>
    <s v="Akhalsopeli unten"/>
    <x v="285"/>
    <n v="3"/>
    <n v="23"/>
    <n v="203"/>
    <x v="40"/>
    <m/>
    <m/>
    <m/>
    <m/>
  </r>
  <r>
    <x v="0"/>
    <d v="2019-08-29T00:00:00"/>
    <n v="8"/>
    <x v="29"/>
    <n v="1"/>
    <x v="29"/>
    <s v="Zaridzeebi"/>
    <x v="286"/>
    <n v="2"/>
    <n v="23"/>
    <n v="143"/>
    <x v="40"/>
    <m/>
    <m/>
    <m/>
    <m/>
  </r>
  <r>
    <x v="0"/>
    <d v="2019-09-01T00:00:00"/>
    <n v="9"/>
    <x v="29"/>
    <n v="1"/>
    <x v="29"/>
    <s v="Cloudbase Hut Mestia"/>
    <x v="287"/>
    <n v="2"/>
    <n v="57"/>
    <n v="177"/>
    <x v="40"/>
    <s v="Andrea hat mich fotografiert:)"/>
    <m/>
    <m/>
    <m/>
  </r>
  <r>
    <x v="0"/>
    <d v="2019-09-02T00:00:00"/>
    <n v="9"/>
    <x v="29"/>
    <n v="1"/>
    <x v="29"/>
    <s v="Cloudbase Hut Mestia"/>
    <x v="287"/>
    <n v="1"/>
    <n v="8"/>
    <n v="68"/>
    <x v="40"/>
    <m/>
    <m/>
    <m/>
    <m/>
  </r>
  <r>
    <x v="0"/>
    <d v="2019-09-03T00:00:00"/>
    <n v="9"/>
    <x v="29"/>
    <n v="1"/>
    <x v="29"/>
    <s v="Latpari Pass"/>
    <x v="288"/>
    <n v="1"/>
    <n v="11"/>
    <n v="71"/>
    <x v="40"/>
    <m/>
    <m/>
    <m/>
    <m/>
  </r>
  <r>
    <x v="0"/>
    <d v="2019-09-04T00:00:00"/>
    <n v="9"/>
    <x v="29"/>
    <n v="1"/>
    <x v="29"/>
    <s v="Goudauri Khada Hut"/>
    <x v="289"/>
    <m/>
    <n v="52"/>
    <n v="52"/>
    <x v="40"/>
    <m/>
    <m/>
    <m/>
    <m/>
  </r>
  <r>
    <x v="0"/>
    <d v="2019-09-04T00:00:00"/>
    <n v="9"/>
    <x v="29"/>
    <n v="0"/>
    <x v="29"/>
    <s v="Goudauri Khada Hut"/>
    <x v="290"/>
    <n v="1"/>
    <n v="6"/>
    <n v="66"/>
    <x v="40"/>
    <m/>
    <m/>
    <m/>
    <m/>
  </r>
  <r>
    <x v="0"/>
    <d v="2019-09-05T00:00:00"/>
    <n v="9"/>
    <x v="29"/>
    <n v="1"/>
    <x v="29"/>
    <s v="Goudauri Pass"/>
    <x v="291"/>
    <m/>
    <n v="33"/>
    <n v="33"/>
    <x v="40"/>
    <m/>
    <m/>
    <m/>
    <m/>
  </r>
  <r>
    <x v="0"/>
    <d v="2019-09-06T00:00:00"/>
    <n v="9"/>
    <x v="29"/>
    <n v="1"/>
    <x v="29"/>
    <s v="Patara Lilo / Tbilisi"/>
    <x v="283"/>
    <m/>
    <n v="6"/>
    <n v="6"/>
    <x v="40"/>
    <m/>
    <m/>
    <m/>
    <m/>
  </r>
  <r>
    <x v="0"/>
    <d v="2019-09-06T00:00:00"/>
    <n v="9"/>
    <x v="29"/>
    <n v="0"/>
    <x v="29"/>
    <s v="Patara Lilo / Tbilisi"/>
    <x v="283"/>
    <m/>
    <n v="6"/>
    <n v="6"/>
    <x v="40"/>
    <m/>
    <m/>
    <m/>
    <m/>
  </r>
  <r>
    <x v="0"/>
    <d v="2019-09-06T00:00:00"/>
    <n v="9"/>
    <x v="29"/>
    <n v="0"/>
    <x v="29"/>
    <s v="Patara Lilo / Tbilisi"/>
    <x v="283"/>
    <n v="1"/>
    <n v="11"/>
    <n v="71"/>
    <x v="40"/>
    <m/>
    <m/>
    <m/>
    <m/>
  </r>
  <r>
    <x v="0"/>
    <d v="2019-09-09T00:00:00"/>
    <n v="9"/>
    <x v="29"/>
    <n v="1"/>
    <x v="29"/>
    <s v="Richinen"/>
    <x v="63"/>
    <n v="1"/>
    <n v="17"/>
    <n v="77"/>
    <x v="2"/>
    <s v="Risihorn erkämpft"/>
    <m/>
    <m/>
    <m/>
  </r>
  <r>
    <x v="0"/>
    <d v="2019-09-11T00:00:00"/>
    <n v="9"/>
    <x v="29"/>
    <n v="1"/>
    <x v="29"/>
    <s v="Richinen"/>
    <x v="35"/>
    <n v="1"/>
    <n v="36"/>
    <n v="96"/>
    <x v="2"/>
    <m/>
    <m/>
    <m/>
    <m/>
  </r>
  <r>
    <x v="0"/>
    <d v="2019-09-12T00:00:00"/>
    <n v="9"/>
    <x v="29"/>
    <n v="1"/>
    <x v="29"/>
    <s v="Richinen"/>
    <x v="63"/>
    <m/>
    <n v="20"/>
    <n v="20"/>
    <x v="2"/>
    <s v="Knopf in Bremsleine"/>
    <m/>
    <m/>
    <m/>
  </r>
  <r>
    <x v="0"/>
    <d v="2019-09-12T00:00:00"/>
    <n v="9"/>
    <x v="29"/>
    <n v="0"/>
    <x v="29"/>
    <s v="Heimat"/>
    <x v="63"/>
    <n v="2"/>
    <n v="20"/>
    <n v="140"/>
    <x v="2"/>
    <m/>
    <m/>
    <m/>
    <m/>
  </r>
  <r>
    <x v="0"/>
    <d v="2019-09-13T00:00:00"/>
    <n v="9"/>
    <x v="29"/>
    <n v="1"/>
    <x v="29"/>
    <s v="Richinen"/>
    <x v="63"/>
    <m/>
    <n v="33"/>
    <n v="33"/>
    <x v="2"/>
    <m/>
    <m/>
    <m/>
    <m/>
  </r>
  <r>
    <x v="4"/>
    <d v="2019-09-14T00:00:00"/>
    <n v="9"/>
    <x v="29"/>
    <n v="1"/>
    <x v="30"/>
    <s v="Galfera"/>
    <x v="227"/>
    <n v="2"/>
    <n v="29"/>
    <n v="149"/>
    <x v="2"/>
    <s v="Andrea mit Xandis BiPlace Bettmerhorn, Eggishorn, Sidelhorn"/>
    <m/>
    <m/>
    <m/>
  </r>
  <r>
    <x v="0"/>
    <d v="2019-09-15T00:00:00"/>
    <n v="9"/>
    <x v="29"/>
    <n v="1"/>
    <x v="29"/>
    <s v="Blauherd"/>
    <x v="292"/>
    <m/>
    <n v="19"/>
    <n v="19"/>
    <x v="2"/>
    <s v="mit Albert in Zermat"/>
    <m/>
    <m/>
    <m/>
  </r>
  <r>
    <x v="0"/>
    <d v="2019-09-15T00:00:00"/>
    <n v="9"/>
    <x v="29"/>
    <n v="0"/>
    <x v="29"/>
    <s v="Riffelberg"/>
    <x v="292"/>
    <m/>
    <n v="31"/>
    <n v="31"/>
    <x v="2"/>
    <m/>
    <m/>
    <m/>
    <m/>
  </r>
  <r>
    <x v="0"/>
    <d v="2019-09-19T00:00:00"/>
    <n v="9"/>
    <x v="29"/>
    <n v="1"/>
    <x v="29"/>
    <s v="Richinen"/>
    <x v="63"/>
    <n v="1"/>
    <n v="43"/>
    <n v="103"/>
    <x v="2"/>
    <m/>
    <m/>
    <m/>
    <m/>
  </r>
  <r>
    <x v="0"/>
    <d v="2019-09-20T00:00:00"/>
    <n v="9"/>
    <x v="29"/>
    <n v="1"/>
    <x v="29"/>
    <s v="Heimat"/>
    <x v="63"/>
    <n v="1"/>
    <n v="14"/>
    <n v="74"/>
    <x v="2"/>
    <m/>
    <m/>
    <m/>
    <m/>
  </r>
  <r>
    <x v="0"/>
    <d v="2019-10-06T00:00:00"/>
    <n v="10"/>
    <x v="29"/>
    <n v="1"/>
    <x v="29"/>
    <s v="Chalves W"/>
    <x v="71"/>
    <n v="2"/>
    <n v="5"/>
    <n v="125"/>
    <x v="28"/>
    <m/>
    <m/>
    <m/>
    <m/>
  </r>
  <r>
    <x v="0"/>
    <d v="2019-10-07T00:00:00"/>
    <n v="10"/>
    <x v="29"/>
    <n v="1"/>
    <x v="29"/>
    <s v="St Vincent Les Forts"/>
    <x v="160"/>
    <m/>
    <n v="17"/>
    <n v="17"/>
    <x v="28"/>
    <m/>
    <m/>
    <m/>
    <m/>
  </r>
  <r>
    <x v="0"/>
    <d v="2019-10-07T00:00:00"/>
    <n v="10"/>
    <x v="29"/>
    <n v="0"/>
    <x v="29"/>
    <s v="St Vincent Les Forts"/>
    <x v="160"/>
    <n v="2"/>
    <n v="17"/>
    <n v="137"/>
    <x v="28"/>
    <m/>
    <m/>
    <m/>
    <m/>
  </r>
  <r>
    <x v="0"/>
    <d v="2019-10-07T00:00:00"/>
    <n v="10"/>
    <x v="29"/>
    <n v="0"/>
    <x v="29"/>
    <s v="St Vincent Les Forts"/>
    <x v="160"/>
    <m/>
    <n v="24"/>
    <n v="24"/>
    <x v="28"/>
    <m/>
    <m/>
    <m/>
    <m/>
  </r>
  <r>
    <x v="0"/>
    <d v="2019-10-08T00:00:00"/>
    <n v="10"/>
    <x v="29"/>
    <n v="1"/>
    <x v="29"/>
    <s v="Montdenir - Moustiers-Sainte-Marie"/>
    <x v="162"/>
    <m/>
    <n v="2"/>
    <n v="2"/>
    <x v="28"/>
    <m/>
    <m/>
    <m/>
    <m/>
  </r>
  <r>
    <x v="0"/>
    <d v="2019-10-09T00:00:00"/>
    <n v="10"/>
    <x v="29"/>
    <n v="1"/>
    <x v="29"/>
    <s v="Chalves W"/>
    <x v="71"/>
    <m/>
    <n v="9"/>
    <n v="9"/>
    <x v="28"/>
    <m/>
    <m/>
    <m/>
    <m/>
  </r>
  <r>
    <x v="0"/>
    <d v="2019-10-10T00:00:00"/>
    <n v="10"/>
    <x v="29"/>
    <n v="1"/>
    <x v="29"/>
    <s v="St Vincent Les Forts"/>
    <x v="160"/>
    <n v="1"/>
    <n v="5"/>
    <n v="65"/>
    <x v="28"/>
    <m/>
    <m/>
    <m/>
    <m/>
  </r>
  <r>
    <x v="0"/>
    <d v="2019-10-10T00:00:00"/>
    <n v="10"/>
    <x v="29"/>
    <n v="0"/>
    <x v="29"/>
    <s v="St Vincent Les Forts"/>
    <x v="160"/>
    <m/>
    <n v="29"/>
    <n v="29"/>
    <x v="28"/>
    <m/>
    <m/>
    <m/>
    <m/>
  </r>
  <r>
    <x v="0"/>
    <d v="2019-10-10T00:00:00"/>
    <n v="10"/>
    <x v="29"/>
    <n v="0"/>
    <x v="29"/>
    <s v="St Vincent Les Forts"/>
    <x v="160"/>
    <m/>
    <n v="31"/>
    <n v="31"/>
    <x v="28"/>
    <m/>
    <m/>
    <m/>
    <m/>
  </r>
  <r>
    <x v="0"/>
    <d v="2019-10-10T00:00:00"/>
    <n v="10"/>
    <x v="29"/>
    <n v="0"/>
    <x v="29"/>
    <s v="St Vincent Les Forts"/>
    <x v="160"/>
    <m/>
    <n v="22"/>
    <n v="22"/>
    <x v="28"/>
    <m/>
    <m/>
    <m/>
    <m/>
  </r>
  <r>
    <x v="0"/>
    <d v="2019-10-11T00:00:00"/>
    <n v="10"/>
    <x v="29"/>
    <n v="1"/>
    <x v="29"/>
    <s v="Chalves S"/>
    <x v="71"/>
    <n v="3"/>
    <n v="29"/>
    <n v="209"/>
    <x v="28"/>
    <m/>
    <m/>
    <m/>
    <m/>
  </r>
  <r>
    <x v="0"/>
    <d v="2019-10-11T00:00:00"/>
    <n v="10"/>
    <x v="29"/>
    <n v="0"/>
    <x v="29"/>
    <s v="Chalves W"/>
    <x v="71"/>
    <n v="1"/>
    <n v="29"/>
    <n v="89"/>
    <x v="28"/>
    <m/>
    <m/>
    <m/>
    <m/>
  </r>
  <r>
    <x v="0"/>
    <d v="2019-10-12T00:00:00"/>
    <n v="10"/>
    <x v="29"/>
    <n v="1"/>
    <x v="29"/>
    <s v="Aspres sur Buech"/>
    <x v="159"/>
    <m/>
    <n v="26"/>
    <n v="26"/>
    <x v="28"/>
    <m/>
    <m/>
    <m/>
    <m/>
  </r>
  <r>
    <x v="0"/>
    <d v="2019-10-26T00:00:00"/>
    <n v="10"/>
    <x v="29"/>
    <n v="1"/>
    <x v="29"/>
    <s v="Heimat"/>
    <x v="63"/>
    <m/>
    <n v="45"/>
    <n v="45"/>
    <x v="2"/>
    <m/>
    <m/>
    <m/>
    <m/>
  </r>
  <r>
    <x v="0"/>
    <d v="2019-10-26T00:00:00"/>
    <n v="10"/>
    <x v="29"/>
    <n v="0"/>
    <x v="29"/>
    <s v="Chalet Ü50"/>
    <x v="35"/>
    <n v="1"/>
    <n v="1"/>
    <n v="61"/>
    <x v="2"/>
    <m/>
    <m/>
    <m/>
    <m/>
  </r>
  <r>
    <x v="0"/>
    <d v="2019-10-27T00:00:00"/>
    <n v="10"/>
    <x v="29"/>
    <n v="1"/>
    <x v="29"/>
    <s v="Chalet Ü50"/>
    <x v="63"/>
    <n v="1"/>
    <n v="21"/>
    <n v="81"/>
    <x v="2"/>
    <m/>
    <m/>
    <m/>
    <m/>
  </r>
  <r>
    <x v="0"/>
    <d v="2019-12-06T00:00:00"/>
    <n v="12"/>
    <x v="29"/>
    <n v="1"/>
    <x v="29"/>
    <s v="Heimat"/>
    <x v="63"/>
    <m/>
    <n v="39"/>
    <n v="39"/>
    <x v="2"/>
    <m/>
    <m/>
    <m/>
    <m/>
  </r>
  <r>
    <x v="0"/>
    <d v="2019-12-30T00:00:00"/>
    <n v="12"/>
    <x v="29"/>
    <n v="1"/>
    <x v="29"/>
    <s v="Steibenkreuz"/>
    <x v="63"/>
    <m/>
    <n v="34"/>
    <n v="34"/>
    <x v="2"/>
    <m/>
    <m/>
    <m/>
    <m/>
  </r>
  <r>
    <x v="0"/>
    <d v="2020-01-01T00:00:00"/>
    <n v="1"/>
    <x v="30"/>
    <n v="1"/>
    <x v="29"/>
    <s v="Heimat"/>
    <x v="63"/>
    <m/>
    <n v="47"/>
    <n v="47"/>
    <x v="2"/>
    <m/>
    <m/>
    <m/>
    <m/>
  </r>
  <r>
    <x v="0"/>
    <d v="2020-01-02T00:00:00"/>
    <n v="1"/>
    <x v="30"/>
    <n v="1"/>
    <x v="29"/>
    <s v="Steibenkreuz"/>
    <x v="63"/>
    <m/>
    <n v="33"/>
    <n v="33"/>
    <x v="2"/>
    <m/>
    <m/>
    <m/>
    <m/>
  </r>
  <r>
    <x v="0"/>
    <d v="2020-01-14T00:00:00"/>
    <n v="1"/>
    <x v="30"/>
    <n v="1"/>
    <x v="29"/>
    <s v="Formosa /Argeintinien"/>
    <x v="293"/>
    <m/>
    <n v="10"/>
    <n v="10"/>
    <x v="41"/>
    <m/>
    <m/>
    <m/>
    <m/>
  </r>
  <r>
    <x v="0"/>
    <d v="2020-01-14T00:00:00"/>
    <n v="1"/>
    <x v="30"/>
    <n v="0"/>
    <x v="29"/>
    <s v="Formosa /Argeintinien"/>
    <x v="293"/>
    <m/>
    <n v="13"/>
    <n v="13"/>
    <x v="41"/>
    <m/>
    <m/>
    <m/>
    <m/>
  </r>
  <r>
    <x v="0"/>
    <d v="2020-01-16T00:00:00"/>
    <n v="1"/>
    <x v="30"/>
    <n v="1"/>
    <x v="29"/>
    <s v="Parana/Argentinien"/>
    <x v="294"/>
    <n v="2"/>
    <n v="23"/>
    <n v="143"/>
    <x v="41"/>
    <m/>
    <m/>
    <m/>
    <m/>
  </r>
  <r>
    <x v="0"/>
    <d v="2020-01-17T00:00:00"/>
    <n v="1"/>
    <x v="30"/>
    <n v="1"/>
    <x v="29"/>
    <s v="Maria Grande/Argentinien"/>
    <x v="295"/>
    <n v="1"/>
    <n v="46"/>
    <n v="106"/>
    <x v="41"/>
    <m/>
    <m/>
    <m/>
    <m/>
  </r>
  <r>
    <x v="0"/>
    <d v="2020-01-18T00:00:00"/>
    <n v="1"/>
    <x v="30"/>
    <n v="1"/>
    <x v="29"/>
    <s v="Sauce de Luna/Argentinien"/>
    <x v="296"/>
    <m/>
    <n v="16"/>
    <n v="16"/>
    <x v="41"/>
    <m/>
    <m/>
    <m/>
    <m/>
  </r>
  <r>
    <x v="0"/>
    <d v="2020-01-18T00:00:00"/>
    <n v="1"/>
    <x v="30"/>
    <n v="0"/>
    <x v="29"/>
    <s v="Sauce de Luna/Argentinien"/>
    <x v="296"/>
    <m/>
    <n v="25"/>
    <n v="25"/>
    <x v="41"/>
    <m/>
    <m/>
    <m/>
    <m/>
  </r>
  <r>
    <x v="0"/>
    <d v="2020-01-18T00:00:00"/>
    <n v="1"/>
    <x v="30"/>
    <n v="0"/>
    <x v="29"/>
    <s v="Sauce de Luna/Argentinien"/>
    <x v="296"/>
    <m/>
    <n v="19"/>
    <n v="19"/>
    <x v="41"/>
    <m/>
    <m/>
    <m/>
    <m/>
  </r>
  <r>
    <x v="0"/>
    <d v="2020-01-19T00:00:00"/>
    <n v="1"/>
    <x v="30"/>
    <n v="1"/>
    <x v="29"/>
    <s v="Club le Planeadores Parana/Argentinien"/>
    <x v="297"/>
    <m/>
    <n v="22"/>
    <n v="22"/>
    <x v="41"/>
    <m/>
    <m/>
    <m/>
    <m/>
  </r>
  <r>
    <x v="0"/>
    <d v="2020-01-19T00:00:00"/>
    <n v="1"/>
    <x v="30"/>
    <n v="0"/>
    <x v="29"/>
    <s v="Club le Planeadores Parana/Argentinien"/>
    <x v="297"/>
    <m/>
    <n v="10"/>
    <n v="10"/>
    <x v="41"/>
    <m/>
    <m/>
    <m/>
    <m/>
  </r>
  <r>
    <x v="0"/>
    <d v="2020-01-19T00:00:00"/>
    <n v="1"/>
    <x v="30"/>
    <n v="0"/>
    <x v="29"/>
    <s v="Club le Planeadores Parana/Argentinien"/>
    <x v="297"/>
    <m/>
    <n v="10"/>
    <n v="10"/>
    <x v="41"/>
    <m/>
    <m/>
    <m/>
    <m/>
  </r>
  <r>
    <x v="0"/>
    <d v="2020-01-20T00:00:00"/>
    <n v="1"/>
    <x v="30"/>
    <n v="1"/>
    <x v="29"/>
    <s v="Casilda"/>
    <x v="298"/>
    <m/>
    <n v="16"/>
    <n v="16"/>
    <x v="41"/>
    <m/>
    <m/>
    <m/>
    <m/>
  </r>
  <r>
    <x v="0"/>
    <d v="2020-01-22T00:00:00"/>
    <n v="1"/>
    <x v="30"/>
    <n v="1"/>
    <x v="29"/>
    <s v="Vagues"/>
    <x v="299"/>
    <m/>
    <n v="13"/>
    <n v="13"/>
    <x v="41"/>
    <m/>
    <m/>
    <m/>
    <m/>
  </r>
  <r>
    <x v="0"/>
    <d v="2020-01-22T00:00:00"/>
    <n v="1"/>
    <x v="30"/>
    <n v="0"/>
    <x v="29"/>
    <s v="Vagues"/>
    <x v="299"/>
    <m/>
    <n v="5"/>
    <n v="5"/>
    <x v="41"/>
    <m/>
    <m/>
    <m/>
    <m/>
  </r>
  <r>
    <x v="0"/>
    <d v="2020-01-22T00:00:00"/>
    <n v="1"/>
    <x v="30"/>
    <n v="0"/>
    <x v="29"/>
    <s v="Vagues"/>
    <x v="299"/>
    <m/>
    <n v="18"/>
    <n v="18"/>
    <x v="41"/>
    <m/>
    <m/>
    <m/>
    <m/>
  </r>
  <r>
    <x v="0"/>
    <d v="2020-01-22T00:00:00"/>
    <n v="1"/>
    <x v="30"/>
    <n v="0"/>
    <x v="29"/>
    <s v="Vagues"/>
    <x v="299"/>
    <m/>
    <n v="10"/>
    <n v="10"/>
    <x v="41"/>
    <m/>
    <m/>
    <m/>
    <m/>
  </r>
  <r>
    <x v="0"/>
    <d v="2020-01-22T00:00:00"/>
    <n v="1"/>
    <x v="30"/>
    <n v="0"/>
    <x v="29"/>
    <s v="Vagues"/>
    <x v="300"/>
    <n v="1"/>
    <n v="34"/>
    <n v="94"/>
    <x v="41"/>
    <m/>
    <m/>
    <m/>
    <m/>
  </r>
  <r>
    <x v="0"/>
    <d v="2020-01-23T00:00:00"/>
    <n v="1"/>
    <x v="30"/>
    <n v="1"/>
    <x v="29"/>
    <s v="Solis"/>
    <x v="301"/>
    <n v="2"/>
    <n v="33"/>
    <n v="153"/>
    <x v="41"/>
    <m/>
    <m/>
    <m/>
    <m/>
  </r>
  <r>
    <x v="0"/>
    <d v="2020-01-24T00:00:00"/>
    <n v="1"/>
    <x v="30"/>
    <n v="1"/>
    <x v="29"/>
    <s v="San Antonio"/>
    <x v="302"/>
    <m/>
    <n v="56"/>
    <n v="56"/>
    <x v="41"/>
    <s v="Uruguay"/>
    <m/>
    <m/>
    <m/>
  </r>
  <r>
    <x v="0"/>
    <d v="2020-01-24T00:00:00"/>
    <n v="1"/>
    <x v="30"/>
    <n v="0"/>
    <x v="29"/>
    <s v="San Antonio"/>
    <x v="303"/>
    <n v="2"/>
    <n v="55"/>
    <n v="175"/>
    <x v="41"/>
    <s v="Uruguay"/>
    <m/>
    <m/>
    <m/>
  </r>
  <r>
    <x v="0"/>
    <d v="2020-01-25T00:00:00"/>
    <n v="1"/>
    <x v="30"/>
    <n v="1"/>
    <x v="29"/>
    <s v="La Rosadita"/>
    <x v="304"/>
    <m/>
    <n v="12"/>
    <n v="12"/>
    <x v="41"/>
    <m/>
    <m/>
    <m/>
    <m/>
  </r>
  <r>
    <x v="0"/>
    <d v="2020-01-25T00:00:00"/>
    <n v="1"/>
    <x v="30"/>
    <n v="0"/>
    <x v="29"/>
    <s v="La Rosadita"/>
    <x v="304"/>
    <m/>
    <n v="26"/>
    <n v="26"/>
    <x v="41"/>
    <m/>
    <m/>
    <m/>
    <m/>
  </r>
  <r>
    <x v="0"/>
    <d v="2020-01-27T00:00:00"/>
    <n v="1"/>
    <x v="30"/>
    <n v="1"/>
    <x v="29"/>
    <s v="Santa Elena"/>
    <x v="305"/>
    <n v="2"/>
    <m/>
    <n v="120"/>
    <x v="29"/>
    <m/>
    <m/>
    <m/>
    <m/>
  </r>
  <r>
    <x v="0"/>
    <d v="2020-01-28T00:00:00"/>
    <n v="1"/>
    <x v="30"/>
    <n v="1"/>
    <x v="29"/>
    <s v="Santa Elena"/>
    <x v="306"/>
    <n v="1"/>
    <n v="47"/>
    <n v="107"/>
    <x v="29"/>
    <m/>
    <m/>
    <m/>
    <m/>
  </r>
  <r>
    <x v="0"/>
    <d v="2020-01-29T00:00:00"/>
    <n v="1"/>
    <x v="30"/>
    <n v="1"/>
    <x v="29"/>
    <s v="Santa Elena"/>
    <x v="306"/>
    <n v="2"/>
    <n v="31"/>
    <n v="151"/>
    <x v="29"/>
    <m/>
    <m/>
    <m/>
    <m/>
  </r>
  <r>
    <x v="0"/>
    <d v="2020-01-30T00:00:00"/>
    <n v="1"/>
    <x v="30"/>
    <n v="1"/>
    <x v="29"/>
    <s v="Santa Elena"/>
    <x v="307"/>
    <n v="3"/>
    <n v="57"/>
    <n v="237"/>
    <x v="29"/>
    <m/>
    <m/>
    <m/>
    <m/>
  </r>
  <r>
    <x v="0"/>
    <d v="2020-01-31T00:00:00"/>
    <n v="1"/>
    <x v="30"/>
    <n v="1"/>
    <x v="29"/>
    <s v="Roldanillo"/>
    <x v="308"/>
    <n v="4"/>
    <n v="13"/>
    <n v="253"/>
    <x v="29"/>
    <m/>
    <m/>
    <m/>
    <m/>
  </r>
  <r>
    <x v="0"/>
    <d v="2020-02-01T00:00:00"/>
    <n v="2"/>
    <x v="30"/>
    <n v="1"/>
    <x v="29"/>
    <s v="Roldanillo"/>
    <x v="171"/>
    <n v="5"/>
    <n v="37"/>
    <n v="337"/>
    <x v="29"/>
    <m/>
    <m/>
    <m/>
    <m/>
  </r>
  <r>
    <x v="0"/>
    <d v="2020-02-02T00:00:00"/>
    <n v="2"/>
    <x v="30"/>
    <n v="1"/>
    <x v="29"/>
    <s v="Roldanillo"/>
    <x v="308"/>
    <n v="1"/>
    <n v="23"/>
    <n v="83"/>
    <x v="29"/>
    <m/>
    <m/>
    <m/>
    <m/>
  </r>
  <r>
    <x v="0"/>
    <d v="2020-02-03T00:00:00"/>
    <n v="2"/>
    <x v="30"/>
    <n v="1"/>
    <x v="29"/>
    <s v="Roldanillo"/>
    <x v="173"/>
    <n v="3"/>
    <n v="6"/>
    <n v="186"/>
    <x v="29"/>
    <m/>
    <m/>
    <m/>
    <m/>
  </r>
  <r>
    <x v="0"/>
    <d v="2020-02-04T00:00:00"/>
    <n v="2"/>
    <x v="30"/>
    <n v="1"/>
    <x v="29"/>
    <s v="Ansermanuevo"/>
    <x v="172"/>
    <n v="3"/>
    <n v="52"/>
    <n v="232"/>
    <x v="29"/>
    <m/>
    <m/>
    <m/>
    <m/>
  </r>
  <r>
    <x v="0"/>
    <d v="2020-02-05T00:00:00"/>
    <n v="2"/>
    <x v="30"/>
    <n v="1"/>
    <x v="29"/>
    <s v="Ansermanuevo"/>
    <x v="173"/>
    <n v="5"/>
    <n v="7"/>
    <n v="307"/>
    <x v="29"/>
    <m/>
    <m/>
    <m/>
    <m/>
  </r>
  <r>
    <x v="0"/>
    <d v="2020-02-06T00:00:00"/>
    <n v="2"/>
    <x v="30"/>
    <n v="1"/>
    <x v="29"/>
    <s v="El Aguila"/>
    <x v="309"/>
    <n v="1"/>
    <n v="46"/>
    <n v="106"/>
    <x v="29"/>
    <m/>
    <m/>
    <m/>
    <m/>
  </r>
  <r>
    <x v="0"/>
    <d v="2020-02-07T00:00:00"/>
    <n v="2"/>
    <x v="30"/>
    <n v="1"/>
    <x v="29"/>
    <s v="Ansermanuevo"/>
    <x v="310"/>
    <n v="5"/>
    <n v="4"/>
    <n v="304"/>
    <x v="29"/>
    <m/>
    <m/>
    <m/>
    <m/>
  </r>
  <r>
    <x v="0"/>
    <d v="2020-02-22T00:00:00"/>
    <n v="2"/>
    <x v="30"/>
    <n v="1"/>
    <x v="29"/>
    <s v="Heimat"/>
    <x v="63"/>
    <m/>
    <n v="40"/>
    <n v="40"/>
    <x v="2"/>
    <m/>
    <m/>
    <m/>
    <m/>
  </r>
  <r>
    <x v="0"/>
    <d v="2020-03-17T00:00:00"/>
    <n v="3"/>
    <x v="30"/>
    <n v="1"/>
    <x v="29"/>
    <s v="Heimat"/>
    <x v="63"/>
    <n v="1"/>
    <n v="50"/>
    <n v="110"/>
    <x v="2"/>
    <m/>
    <m/>
    <m/>
    <m/>
  </r>
  <r>
    <x v="0"/>
    <d v="2020-03-18T00:00:00"/>
    <n v="3"/>
    <x v="30"/>
    <n v="1"/>
    <x v="29"/>
    <s v="Steibenkreuz"/>
    <x v="63"/>
    <n v="1"/>
    <n v="14"/>
    <n v="74"/>
    <x v="2"/>
    <m/>
    <m/>
    <m/>
    <m/>
  </r>
  <r>
    <x v="0"/>
    <d v="2020-04-10T00:00:00"/>
    <n v="4"/>
    <x v="30"/>
    <n v="1"/>
    <x v="29"/>
    <s v="Mutti"/>
    <x v="227"/>
    <m/>
    <n v="39"/>
    <n v="39"/>
    <x v="2"/>
    <m/>
    <m/>
    <m/>
    <m/>
  </r>
  <r>
    <x v="0"/>
    <d v="2020-04-26T00:00:00"/>
    <n v="4"/>
    <x v="30"/>
    <n v="1"/>
    <x v="29"/>
    <s v="Mutti"/>
    <x v="63"/>
    <m/>
    <n v="33"/>
    <n v="33"/>
    <x v="2"/>
    <m/>
    <m/>
    <m/>
    <m/>
  </r>
  <r>
    <x v="0"/>
    <d v="2020-05-07T00:00:00"/>
    <n v="5"/>
    <x v="30"/>
    <n v="1"/>
    <x v="29"/>
    <s v="Mutti"/>
    <x v="205"/>
    <n v="1"/>
    <n v="36"/>
    <n v="96"/>
    <x v="2"/>
    <m/>
    <m/>
    <m/>
    <m/>
  </r>
  <r>
    <x v="0"/>
    <d v="2020-05-17T00:00:00"/>
    <n v="5"/>
    <x v="30"/>
    <n v="1"/>
    <x v="29"/>
    <s v="Mutti"/>
    <x v="63"/>
    <n v="1"/>
    <n v="5"/>
    <n v="65"/>
    <x v="2"/>
    <m/>
    <m/>
    <m/>
    <m/>
  </r>
  <r>
    <x v="0"/>
    <d v="2020-05-21T00:00:00"/>
    <n v="5"/>
    <x v="30"/>
    <n v="1"/>
    <x v="29"/>
    <s v="Mutti"/>
    <x v="311"/>
    <n v="1"/>
    <n v="9"/>
    <n v="69"/>
    <x v="2"/>
    <m/>
    <m/>
    <m/>
    <m/>
  </r>
  <r>
    <x v="0"/>
    <d v="2020-05-31T00:00:00"/>
    <n v="5"/>
    <x v="30"/>
    <n v="1"/>
    <x v="29"/>
    <s v="Heimat"/>
    <x v="63"/>
    <n v="1"/>
    <n v="25"/>
    <n v="85"/>
    <x v="2"/>
    <m/>
    <m/>
    <m/>
    <m/>
  </r>
  <r>
    <x v="0"/>
    <d v="2020-06-03T00:00:00"/>
    <n v="6"/>
    <x v="30"/>
    <n v="1"/>
    <x v="29"/>
    <s v="Heimat"/>
    <x v="63"/>
    <m/>
    <n v="31"/>
    <n v="31"/>
    <x v="2"/>
    <m/>
    <m/>
    <m/>
    <m/>
  </r>
  <r>
    <x v="0"/>
    <d v="2020-06-20T00:00:00"/>
    <n v="6"/>
    <x v="30"/>
    <n v="1"/>
    <x v="29"/>
    <s v="Atkociai"/>
    <x v="312"/>
    <m/>
    <n v="13"/>
    <n v="13"/>
    <x v="36"/>
    <m/>
    <m/>
    <m/>
    <m/>
  </r>
  <r>
    <x v="0"/>
    <d v="2020-06-20T00:00:00"/>
    <n v="6"/>
    <x v="30"/>
    <n v="0"/>
    <x v="29"/>
    <s v="Atkociai"/>
    <x v="313"/>
    <m/>
    <n v="50"/>
    <n v="50"/>
    <x v="36"/>
    <m/>
    <m/>
    <m/>
    <m/>
  </r>
  <r>
    <x v="0"/>
    <d v="2020-06-21T00:00:00"/>
    <n v="6"/>
    <x v="30"/>
    <n v="1"/>
    <x v="29"/>
    <s v="Valkininku aerodromas"/>
    <x v="314"/>
    <m/>
    <n v="23"/>
    <n v="23"/>
    <x v="36"/>
    <m/>
    <m/>
    <m/>
    <m/>
  </r>
  <r>
    <x v="0"/>
    <d v="2020-06-22T00:00:00"/>
    <n v="6"/>
    <x v="30"/>
    <n v="1"/>
    <x v="29"/>
    <s v="Antandraja"/>
    <x v="315"/>
    <n v="1"/>
    <n v="14"/>
    <n v="74"/>
    <x v="36"/>
    <m/>
    <m/>
    <m/>
    <m/>
  </r>
  <r>
    <x v="0"/>
    <d v="2020-06-23T00:00:00"/>
    <n v="6"/>
    <x v="30"/>
    <n v="1"/>
    <x v="29"/>
    <s v="Antandraja"/>
    <x v="316"/>
    <n v="1"/>
    <n v="26"/>
    <n v="86"/>
    <x v="36"/>
    <m/>
    <m/>
    <m/>
    <m/>
  </r>
  <r>
    <x v="0"/>
    <d v="2020-06-23T00:00:00"/>
    <n v="6"/>
    <x v="30"/>
    <n v="0"/>
    <x v="29"/>
    <s v="Libertava"/>
    <x v="317"/>
    <m/>
    <n v="47"/>
    <n v="47"/>
    <x v="36"/>
    <m/>
    <m/>
    <m/>
    <m/>
  </r>
  <r>
    <x v="0"/>
    <d v="2020-06-24T00:00:00"/>
    <n v="6"/>
    <x v="30"/>
    <n v="1"/>
    <x v="29"/>
    <s v="Antandraja"/>
    <x v="318"/>
    <n v="5"/>
    <n v="25"/>
    <n v="325"/>
    <x v="36"/>
    <m/>
    <m/>
    <m/>
    <m/>
  </r>
  <r>
    <x v="0"/>
    <d v="2020-06-25T00:00:00"/>
    <n v="6"/>
    <x v="30"/>
    <n v="1"/>
    <x v="29"/>
    <s v="Antaksciai"/>
    <x v="319"/>
    <m/>
    <n v="10"/>
    <n v="10"/>
    <x v="36"/>
    <m/>
    <m/>
    <m/>
    <m/>
  </r>
  <r>
    <x v="0"/>
    <d v="2020-06-25T00:00:00"/>
    <n v="6"/>
    <x v="30"/>
    <n v="0"/>
    <x v="29"/>
    <s v="Antaksciai"/>
    <x v="319"/>
    <m/>
    <n v="17"/>
    <n v="17"/>
    <x v="36"/>
    <m/>
    <m/>
    <m/>
    <m/>
  </r>
  <r>
    <x v="0"/>
    <d v="2020-06-25T00:00:00"/>
    <n v="6"/>
    <x v="30"/>
    <n v="0"/>
    <x v="29"/>
    <s v="Antaksciai"/>
    <x v="319"/>
    <m/>
    <n v="12"/>
    <n v="12"/>
    <x v="36"/>
    <m/>
    <m/>
    <m/>
    <m/>
  </r>
  <r>
    <x v="0"/>
    <d v="2020-06-25T00:00:00"/>
    <n v="6"/>
    <x v="30"/>
    <n v="0"/>
    <x v="29"/>
    <s v="Antaksciai"/>
    <x v="320"/>
    <n v="5"/>
    <n v="50"/>
    <n v="350"/>
    <x v="36"/>
    <m/>
    <m/>
    <m/>
    <m/>
  </r>
  <r>
    <x v="0"/>
    <d v="2020-06-26T00:00:00"/>
    <n v="6"/>
    <x v="30"/>
    <n v="1"/>
    <x v="29"/>
    <s v="Antaksciai"/>
    <x v="319"/>
    <m/>
    <n v="18"/>
    <n v="18"/>
    <x v="36"/>
    <m/>
    <m/>
    <m/>
    <m/>
  </r>
  <r>
    <x v="0"/>
    <d v="2020-06-26T00:00:00"/>
    <n v="6"/>
    <x v="30"/>
    <n v="0"/>
    <x v="29"/>
    <s v="Antaksciai"/>
    <x v="319"/>
    <m/>
    <n v="10"/>
    <n v="10"/>
    <x v="36"/>
    <m/>
    <m/>
    <m/>
    <m/>
  </r>
  <r>
    <x v="0"/>
    <d v="2020-06-26T00:00:00"/>
    <n v="6"/>
    <x v="30"/>
    <n v="0"/>
    <x v="29"/>
    <s v="Antaksciai"/>
    <x v="319"/>
    <m/>
    <n v="18"/>
    <n v="18"/>
    <x v="36"/>
    <m/>
    <m/>
    <m/>
    <m/>
  </r>
  <r>
    <x v="0"/>
    <d v="2020-06-26T00:00:00"/>
    <n v="6"/>
    <x v="30"/>
    <n v="0"/>
    <x v="29"/>
    <s v="Antaksciai"/>
    <x v="321"/>
    <n v="1"/>
    <n v="21"/>
    <n v="81"/>
    <x v="36"/>
    <m/>
    <m/>
    <m/>
    <m/>
  </r>
  <r>
    <x v="0"/>
    <d v="2020-06-27T00:00:00"/>
    <n v="6"/>
    <x v="30"/>
    <n v="1"/>
    <x v="29"/>
    <s v="Antaksciai"/>
    <x v="322"/>
    <n v="1"/>
    <n v="22"/>
    <n v="82"/>
    <x v="36"/>
    <m/>
    <m/>
    <m/>
    <m/>
  </r>
  <r>
    <x v="0"/>
    <d v="2020-07-04T00:00:00"/>
    <n v="7"/>
    <x v="30"/>
    <n v="1"/>
    <x v="29"/>
    <s v="Heimat"/>
    <x v="63"/>
    <n v="1"/>
    <n v="7"/>
    <n v="67"/>
    <x v="2"/>
    <s v="Mit Andrea"/>
    <m/>
    <m/>
    <m/>
  </r>
  <r>
    <x v="0"/>
    <d v="2020-07-05T00:00:00"/>
    <n v="7"/>
    <x v="30"/>
    <n v="1"/>
    <x v="29"/>
    <s v="Galfera"/>
    <x v="63"/>
    <n v="2"/>
    <n v="18"/>
    <n v="138"/>
    <x v="2"/>
    <s v="Mit Andrea"/>
    <m/>
    <m/>
    <m/>
  </r>
  <r>
    <x v="0"/>
    <d v="2020-07-07T00:00:00"/>
    <n v="7"/>
    <x v="30"/>
    <n v="1"/>
    <x v="29"/>
    <s v="Heimat"/>
    <x v="63"/>
    <n v="1"/>
    <n v="53"/>
    <n v="113"/>
    <x v="2"/>
    <s v="Mit Alexandra"/>
    <m/>
    <m/>
    <m/>
  </r>
  <r>
    <x v="0"/>
    <d v="2020-07-08T00:00:00"/>
    <n v="7"/>
    <x v="30"/>
    <n v="1"/>
    <x v="29"/>
    <s v="Richinen"/>
    <x v="35"/>
    <n v="1"/>
    <n v="1"/>
    <n v="61"/>
    <x v="2"/>
    <m/>
    <m/>
    <m/>
    <m/>
  </r>
  <r>
    <x v="0"/>
    <d v="2020-07-12T00:00:00"/>
    <n v="7"/>
    <x v="30"/>
    <n v="1"/>
    <x v="29"/>
    <s v="Galfera"/>
    <x v="63"/>
    <n v="2"/>
    <n v="29"/>
    <n v="149"/>
    <x v="2"/>
    <s v="Mit Alexandra (Gletscher)"/>
    <m/>
    <m/>
    <m/>
  </r>
  <r>
    <x v="0"/>
    <d v="2020-07-18T00:00:00"/>
    <n v="7"/>
    <x v="30"/>
    <n v="1"/>
    <x v="29"/>
    <s v="Galfera"/>
    <x v="63"/>
    <n v="1"/>
    <n v="2"/>
    <n v="62"/>
    <x v="2"/>
    <m/>
    <m/>
    <m/>
    <m/>
  </r>
  <r>
    <x v="0"/>
    <d v="2020-07-19T00:00:00"/>
    <n v="7"/>
    <x v="30"/>
    <n v="1"/>
    <x v="29"/>
    <s v="Galfera"/>
    <x v="63"/>
    <n v="2"/>
    <n v="19"/>
    <n v="139"/>
    <x v="2"/>
    <s v="Mit Andrea"/>
    <m/>
    <m/>
    <m/>
  </r>
  <r>
    <x v="0"/>
    <d v="2020-07-23T00:00:00"/>
    <n v="7"/>
    <x v="30"/>
    <n v="1"/>
    <x v="29"/>
    <s v="Steibenkreuz"/>
    <x v="35"/>
    <m/>
    <n v="38"/>
    <n v="38"/>
    <x v="2"/>
    <m/>
    <m/>
    <m/>
    <m/>
  </r>
  <r>
    <x v="0"/>
    <d v="2020-07-25T00:00:00"/>
    <n v="7"/>
    <x v="30"/>
    <n v="1"/>
    <x v="29"/>
    <s v="Galfera"/>
    <x v="35"/>
    <n v="1"/>
    <n v="47"/>
    <n v="107"/>
    <x v="2"/>
    <s v="Mit Ernesto"/>
    <m/>
    <m/>
    <m/>
  </r>
  <r>
    <x v="0"/>
    <d v="2020-07-27T00:00:00"/>
    <n v="7"/>
    <x v="30"/>
    <n v="1"/>
    <x v="29"/>
    <s v="Steibenkreuz"/>
    <x v="63"/>
    <n v="1"/>
    <n v="39"/>
    <n v="99"/>
    <x v="2"/>
    <m/>
    <m/>
    <m/>
    <m/>
  </r>
  <r>
    <x v="0"/>
    <d v="2020-07-30T00:00:00"/>
    <n v="7"/>
    <x v="30"/>
    <n v="1"/>
    <x v="29"/>
    <s v="Steibenkreuz"/>
    <x v="63"/>
    <n v="1"/>
    <n v="35"/>
    <n v="95"/>
    <x v="2"/>
    <m/>
    <m/>
    <m/>
    <m/>
  </r>
  <r>
    <x v="0"/>
    <d v="2020-07-31T00:00:00"/>
    <n v="7"/>
    <x v="30"/>
    <n v="1"/>
    <x v="29"/>
    <s v="Steibenkreuz"/>
    <x v="63"/>
    <n v="2"/>
    <n v="28"/>
    <n v="148"/>
    <x v="2"/>
    <m/>
    <m/>
    <m/>
    <m/>
  </r>
  <r>
    <x v="0"/>
    <d v="2020-08-01T00:00:00"/>
    <n v="8"/>
    <x v="30"/>
    <n v="1"/>
    <x v="26"/>
    <s v="Risihorn"/>
    <x v="63"/>
    <m/>
    <n v="15"/>
    <n v="15"/>
    <x v="2"/>
    <s v="Christoph, Christina, Andrea"/>
    <m/>
    <m/>
    <m/>
  </r>
  <r>
    <x v="0"/>
    <d v="2020-08-05T00:00:00"/>
    <n v="8"/>
    <x v="30"/>
    <n v="1"/>
    <x v="29"/>
    <s v="Steibenkreuz"/>
    <x v="35"/>
    <m/>
    <n v="48"/>
    <n v="48"/>
    <x v="2"/>
    <m/>
    <m/>
    <m/>
    <m/>
  </r>
  <r>
    <x v="0"/>
    <d v="2020-08-06T00:00:00"/>
    <n v="8"/>
    <x v="30"/>
    <n v="1"/>
    <x v="29"/>
    <s v="Steibenkreuz"/>
    <x v="35"/>
    <n v="1"/>
    <n v="41"/>
    <n v="101"/>
    <x v="2"/>
    <m/>
    <m/>
    <m/>
    <m/>
  </r>
  <r>
    <x v="0"/>
    <d v="2020-08-07T00:00:00"/>
    <n v="8"/>
    <x v="30"/>
    <n v="1"/>
    <x v="29"/>
    <s v="Steibenkreuz"/>
    <x v="35"/>
    <n v="1"/>
    <n v="37"/>
    <n v="97"/>
    <x v="2"/>
    <m/>
    <m/>
    <m/>
    <m/>
  </r>
  <r>
    <x v="0"/>
    <d v="2020-08-08T00:00:00"/>
    <n v="8"/>
    <x v="30"/>
    <n v="1"/>
    <x v="29"/>
    <s v="Steibenkreuz"/>
    <x v="120"/>
    <n v="1"/>
    <n v="15"/>
    <n v="75"/>
    <x v="2"/>
    <s v="Mit Andrea"/>
    <m/>
    <m/>
    <m/>
  </r>
  <r>
    <x v="0"/>
    <d v="2020-08-09T00:00:00"/>
    <n v="8"/>
    <x v="30"/>
    <n v="1"/>
    <x v="29"/>
    <s v="Steibenkreuz"/>
    <x v="63"/>
    <n v="3"/>
    <n v="9"/>
    <n v="189"/>
    <x v="2"/>
    <s v="über Breithorn"/>
    <m/>
    <m/>
    <m/>
  </r>
  <r>
    <x v="0"/>
    <d v="2020-08-15T00:00:00"/>
    <n v="8"/>
    <x v="30"/>
    <n v="1"/>
    <x v="31"/>
    <s v="Steibenkreuz"/>
    <x v="35"/>
    <n v="1"/>
    <n v="46"/>
    <n v="106"/>
    <x v="2"/>
    <m/>
    <m/>
    <m/>
    <m/>
  </r>
  <r>
    <x v="0"/>
    <d v="2020-08-16T00:00:00"/>
    <n v="8"/>
    <x v="30"/>
    <n v="1"/>
    <x v="31"/>
    <s v="Steibenkreuz"/>
    <x v="166"/>
    <m/>
    <n v="57"/>
    <n v="57"/>
    <x v="2"/>
    <m/>
    <m/>
    <m/>
    <m/>
  </r>
  <r>
    <x v="0"/>
    <d v="2020-08-20T00:00:00"/>
    <n v="8"/>
    <x v="30"/>
    <n v="1"/>
    <x v="29"/>
    <s v="Galfera"/>
    <x v="35"/>
    <n v="1"/>
    <n v="26"/>
    <n v="86"/>
    <x v="2"/>
    <m/>
    <m/>
    <m/>
    <m/>
  </r>
  <r>
    <x v="0"/>
    <d v="2020-08-21T00:00:00"/>
    <n v="8"/>
    <x v="30"/>
    <n v="1"/>
    <x v="29"/>
    <s v="Galfera"/>
    <x v="80"/>
    <m/>
    <n v="54"/>
    <n v="54"/>
    <x v="2"/>
    <m/>
    <m/>
    <m/>
    <m/>
  </r>
  <r>
    <x v="0"/>
    <d v="2020-09-02T00:00:00"/>
    <n v="9"/>
    <x v="30"/>
    <n v="1"/>
    <x v="29"/>
    <s v="Heimat"/>
    <x v="121"/>
    <m/>
    <n v="22"/>
    <n v="22"/>
    <x v="2"/>
    <m/>
    <m/>
    <m/>
    <m/>
  </r>
  <r>
    <x v="0"/>
    <d v="2020-09-03T00:00:00"/>
    <n v="9"/>
    <x v="30"/>
    <n v="1"/>
    <x v="29"/>
    <s v="Galfera"/>
    <x v="63"/>
    <n v="2"/>
    <n v="12"/>
    <n v="132"/>
    <x v="2"/>
    <m/>
    <m/>
    <m/>
    <m/>
  </r>
  <r>
    <x v="0"/>
    <d v="2020-09-04T00:00:00"/>
    <n v="9"/>
    <x v="30"/>
    <n v="1"/>
    <x v="29"/>
    <s v="Galfera"/>
    <x v="63"/>
    <n v="3"/>
    <n v="38"/>
    <n v="218"/>
    <x v="2"/>
    <m/>
    <m/>
    <m/>
    <m/>
  </r>
  <r>
    <x v="0"/>
    <d v="2020-09-05T00:00:00"/>
    <n v="9"/>
    <x v="30"/>
    <n v="1"/>
    <x v="29"/>
    <s v="Galfera"/>
    <x v="35"/>
    <n v="1"/>
    <n v="39"/>
    <n v="99"/>
    <x v="2"/>
    <m/>
    <m/>
    <m/>
    <m/>
  </r>
  <r>
    <x v="0"/>
    <d v="2020-09-07T00:00:00"/>
    <n v="9"/>
    <x v="30"/>
    <n v="1"/>
    <x v="29"/>
    <s v="Heimat"/>
    <x v="63"/>
    <n v="1"/>
    <n v="34"/>
    <n v="94"/>
    <x v="2"/>
    <m/>
    <m/>
    <m/>
    <m/>
  </r>
  <r>
    <x v="0"/>
    <d v="2020-09-08T00:00:00"/>
    <n v="9"/>
    <x v="30"/>
    <n v="1"/>
    <x v="29"/>
    <s v="Ebenalp"/>
    <x v="8"/>
    <n v="2"/>
    <n v="13"/>
    <n v="133"/>
    <x v="2"/>
    <s v="Ruth Ueli"/>
    <m/>
    <m/>
    <m/>
  </r>
  <r>
    <x v="0"/>
    <d v="2020-09-09T00:00:00"/>
    <n v="9"/>
    <x v="30"/>
    <n v="1"/>
    <x v="29"/>
    <s v="Hoher Kasten"/>
    <x v="9"/>
    <m/>
    <n v="31"/>
    <n v="31"/>
    <x v="2"/>
    <s v="Rith Ueli"/>
    <m/>
    <m/>
    <m/>
  </r>
  <r>
    <x v="0"/>
    <d v="2020-09-10T00:00:00"/>
    <n v="9"/>
    <x v="30"/>
    <n v="1"/>
    <x v="29"/>
    <s v="Heimat"/>
    <x v="63"/>
    <m/>
    <n v="33"/>
    <n v="33"/>
    <x v="2"/>
    <s v="Andrea Pi"/>
    <m/>
    <m/>
    <m/>
  </r>
  <r>
    <x v="0"/>
    <d v="2020-09-10T00:00:00"/>
    <n v="9"/>
    <x v="30"/>
    <n v="0"/>
    <x v="29"/>
    <s v="Heimat"/>
    <x v="205"/>
    <n v="1"/>
    <n v="28"/>
    <n v="88"/>
    <x v="2"/>
    <s v="Andrea Pi"/>
    <m/>
    <m/>
    <m/>
  </r>
  <r>
    <x v="0"/>
    <d v="2020-09-11T00:00:00"/>
    <n v="9"/>
    <x v="30"/>
    <n v="1"/>
    <x v="29"/>
    <s v="Heimat"/>
    <x v="35"/>
    <n v="1"/>
    <n v="37"/>
    <n v="97"/>
    <x v="2"/>
    <s v="Edi mit Töff, Andrea Baschi Nachtessen"/>
    <m/>
    <m/>
    <m/>
  </r>
  <r>
    <x v="0"/>
    <d v="2020-09-12T00:00:00"/>
    <n v="9"/>
    <x v="30"/>
    <n v="1"/>
    <x v="29"/>
    <s v="Steibenkreuz"/>
    <x v="63"/>
    <n v="3"/>
    <n v="25"/>
    <n v="205"/>
    <x v="2"/>
    <s v="Mit Andrea zur Chue gelaufen"/>
    <m/>
    <m/>
    <m/>
  </r>
  <r>
    <x v="0"/>
    <d v="2020-09-13T00:00:00"/>
    <n v="9"/>
    <x v="30"/>
    <n v="1"/>
    <x v="29"/>
    <s v="Galfera"/>
    <x v="166"/>
    <n v="1"/>
    <n v="49"/>
    <n v="109"/>
    <x v="2"/>
    <m/>
    <m/>
    <m/>
    <m/>
  </r>
  <r>
    <x v="0"/>
    <d v="2020-09-18T00:00:00"/>
    <n v="9"/>
    <x v="30"/>
    <n v="1"/>
    <x v="29"/>
    <s v="Galfera"/>
    <x v="63"/>
    <n v="3"/>
    <n v="0"/>
    <n v="180"/>
    <x v="2"/>
    <s v="Andrea Pi"/>
    <m/>
    <m/>
    <m/>
  </r>
  <r>
    <x v="0"/>
    <d v="2020-10-05T00:00:00"/>
    <n v="10"/>
    <x v="30"/>
    <n v="1"/>
    <x v="29"/>
    <s v="Santa Elisabetta"/>
    <x v="323"/>
    <m/>
    <n v="22"/>
    <n v="22"/>
    <x v="42"/>
    <m/>
    <m/>
    <m/>
    <m/>
  </r>
  <r>
    <x v="0"/>
    <d v="2020-10-06T00:00:00"/>
    <n v="10"/>
    <x v="30"/>
    <n v="1"/>
    <x v="29"/>
    <s v="Santa Elisabetta"/>
    <x v="324"/>
    <n v="2"/>
    <n v="3"/>
    <n v="123"/>
    <x v="42"/>
    <m/>
    <m/>
    <m/>
    <m/>
  </r>
  <r>
    <x v="0"/>
    <d v="2020-10-06T00:00:00"/>
    <n v="10"/>
    <x v="30"/>
    <n v="0"/>
    <x v="29"/>
    <s v="San Giacomo"/>
    <x v="324"/>
    <m/>
    <n v="16"/>
    <n v="16"/>
    <x v="42"/>
    <m/>
    <m/>
    <m/>
    <m/>
  </r>
  <r>
    <x v="0"/>
    <d v="2020-10-07T00:00:00"/>
    <n v="10"/>
    <x v="30"/>
    <n v="1"/>
    <x v="29"/>
    <s v="Monte Tovo"/>
    <x v="325"/>
    <m/>
    <n v="18"/>
    <n v="18"/>
    <x v="42"/>
    <m/>
    <m/>
    <m/>
    <m/>
  </r>
  <r>
    <x v="0"/>
    <d v="2020-10-08T00:00:00"/>
    <n v="10"/>
    <x v="30"/>
    <n v="1"/>
    <x v="29"/>
    <s v="San Giacomo"/>
    <x v="326"/>
    <n v="3"/>
    <n v="23"/>
    <n v="203"/>
    <x v="42"/>
    <m/>
    <m/>
    <m/>
    <m/>
  </r>
  <r>
    <x v="0"/>
    <d v="2020-10-09T00:00:00"/>
    <n v="10"/>
    <x v="30"/>
    <n v="1"/>
    <x v="29"/>
    <s v="Santa Elisabetta"/>
    <x v="323"/>
    <m/>
    <n v="33"/>
    <n v="33"/>
    <x v="42"/>
    <m/>
    <m/>
    <m/>
    <m/>
  </r>
  <r>
    <x v="0"/>
    <d v="2020-10-09T00:00:00"/>
    <n v="10"/>
    <x v="30"/>
    <n v="0"/>
    <x v="29"/>
    <s v="Santa Elisabetta"/>
    <x v="323"/>
    <m/>
    <n v="56"/>
    <n v="56"/>
    <x v="42"/>
    <m/>
    <m/>
    <m/>
    <m/>
  </r>
  <r>
    <x v="0"/>
    <d v="2020-10-10T00:00:00"/>
    <n v="10"/>
    <x v="30"/>
    <n v="1"/>
    <x v="29"/>
    <s v="Laveno"/>
    <x v="68"/>
    <n v="2"/>
    <n v="48"/>
    <n v="168"/>
    <x v="42"/>
    <m/>
    <m/>
    <m/>
    <m/>
  </r>
  <r>
    <x v="0"/>
    <d v="2020-10-11T00:00:00"/>
    <n v="10"/>
    <x v="30"/>
    <n v="1"/>
    <x v="29"/>
    <s v="Santa Elisabetta"/>
    <x v="323"/>
    <n v="1"/>
    <n v="0"/>
    <n v="60"/>
    <x v="42"/>
    <m/>
    <m/>
    <m/>
    <m/>
  </r>
  <r>
    <x v="0"/>
    <d v="2020-10-17T00:00:00"/>
    <n v="10"/>
    <x v="30"/>
    <n v="1"/>
    <x v="29"/>
    <s v="Heimat"/>
    <x v="63"/>
    <n v="2"/>
    <n v="13"/>
    <n v="133"/>
    <x v="2"/>
    <m/>
    <m/>
    <m/>
    <m/>
  </r>
  <r>
    <x v="0"/>
    <d v="2020-10-18T00:00:00"/>
    <n v="10"/>
    <x v="30"/>
    <n v="1"/>
    <x v="29"/>
    <s v="Heimat"/>
    <x v="63"/>
    <n v="1"/>
    <n v="27"/>
    <n v="87"/>
    <x v="2"/>
    <s v="ohne Vario"/>
    <m/>
    <m/>
    <m/>
  </r>
  <r>
    <x v="0"/>
    <d v="2020-10-31T00:00:00"/>
    <n v="10"/>
    <x v="30"/>
    <n v="1"/>
    <x v="29"/>
    <s v="Galfera"/>
    <x v="63"/>
    <n v="1"/>
    <n v="54"/>
    <n v="114"/>
    <x v="2"/>
    <m/>
    <m/>
    <m/>
    <m/>
  </r>
  <r>
    <x v="0"/>
    <d v="2020-11-11T00:00:00"/>
    <n v="11"/>
    <x v="30"/>
    <n v="1"/>
    <x v="29"/>
    <s v="Galfera"/>
    <x v="63"/>
    <n v="1"/>
    <n v="9"/>
    <n v="69"/>
    <x v="2"/>
    <m/>
    <m/>
    <m/>
    <m/>
  </r>
  <r>
    <x v="0"/>
    <d v="2020-11-12T00:00:00"/>
    <n v="11"/>
    <x v="30"/>
    <n v="1"/>
    <x v="29"/>
    <s v="Galfera"/>
    <x v="63"/>
    <n v="1"/>
    <n v="59"/>
    <n v="119"/>
    <x v="2"/>
    <m/>
    <m/>
    <m/>
    <m/>
  </r>
  <r>
    <x v="0"/>
    <d v="2020-11-14T00:00:00"/>
    <n v="11"/>
    <x v="30"/>
    <n v="1"/>
    <x v="29"/>
    <s v="Salzgäb"/>
    <x v="63"/>
    <n v="2"/>
    <n v="44"/>
    <n v="164"/>
    <x v="2"/>
    <m/>
    <m/>
    <m/>
    <m/>
  </r>
  <r>
    <x v="0"/>
    <d v="2020-11-18T00:00:00"/>
    <n v="11"/>
    <x v="30"/>
    <n v="1"/>
    <x v="29"/>
    <s v="Galfera"/>
    <x v="63"/>
    <n v="2"/>
    <n v="7"/>
    <n v="127"/>
    <x v="2"/>
    <m/>
    <m/>
    <m/>
    <m/>
  </r>
  <r>
    <x v="0"/>
    <d v="2020-11-22T00:00:00"/>
    <n v="11"/>
    <x v="30"/>
    <n v="1"/>
    <x v="29"/>
    <s v="Salzgäb"/>
    <x v="63"/>
    <m/>
    <n v="44"/>
    <n v="44"/>
    <x v="2"/>
    <m/>
    <m/>
    <m/>
    <m/>
  </r>
  <r>
    <x v="0"/>
    <d v="2020-12-17T00:00:00"/>
    <n v="12"/>
    <x v="30"/>
    <n v="1"/>
    <x v="29"/>
    <s v="Heimat"/>
    <x v="166"/>
    <n v="2"/>
    <n v="5"/>
    <n v="125"/>
    <x v="2"/>
    <m/>
    <m/>
    <m/>
    <m/>
  </r>
  <r>
    <x v="0"/>
    <d v="2020-12-18T00:00:00"/>
    <n v="12"/>
    <x v="30"/>
    <n v="1"/>
    <x v="29"/>
    <s v="Heimat"/>
    <x v="166"/>
    <n v="1"/>
    <n v="34"/>
    <n v="94"/>
    <x v="2"/>
    <m/>
    <m/>
    <m/>
    <m/>
  </r>
  <r>
    <x v="0"/>
    <d v="2021-03-01T00:00:00"/>
    <n v="3"/>
    <x v="31"/>
    <n v="1"/>
    <x v="29"/>
    <s v="Heimat"/>
    <x v="63"/>
    <n v="2"/>
    <n v="16"/>
    <n v="136"/>
    <x v="2"/>
    <m/>
    <m/>
    <m/>
    <m/>
  </r>
  <r>
    <x v="0"/>
    <d v="2021-03-02T00:00:00"/>
    <n v="3"/>
    <x v="31"/>
    <n v="1"/>
    <x v="29"/>
    <s v="Heimat"/>
    <x v="63"/>
    <n v="2"/>
    <n v="16"/>
    <n v="136"/>
    <x v="2"/>
    <m/>
    <m/>
    <m/>
    <m/>
  </r>
  <r>
    <x v="0"/>
    <d v="2021-03-24T00:00:00"/>
    <n v="3"/>
    <x v="31"/>
    <n v="1"/>
    <x v="29"/>
    <s v="Heimat"/>
    <x v="63"/>
    <n v="2"/>
    <n v="6"/>
    <n v="126"/>
    <x v="2"/>
    <m/>
    <m/>
    <m/>
    <m/>
  </r>
  <r>
    <x v="0"/>
    <d v="2021-03-25T00:00:00"/>
    <n v="3"/>
    <x v="31"/>
    <n v="1"/>
    <x v="29"/>
    <s v="Heimat"/>
    <x v="63"/>
    <n v="1"/>
    <n v="44"/>
    <n v="104"/>
    <x v="2"/>
    <m/>
    <m/>
    <m/>
    <m/>
  </r>
  <r>
    <x v="0"/>
    <d v="2021-03-28T00:00:00"/>
    <n v="3"/>
    <x v="31"/>
    <n v="1"/>
    <x v="29"/>
    <s v="Steibenkreuz"/>
    <x v="63"/>
    <n v="2"/>
    <n v="5"/>
    <n v="125"/>
    <x v="2"/>
    <m/>
    <m/>
    <m/>
    <m/>
  </r>
  <r>
    <x v="0"/>
    <d v="2021-03-29T00:00:00"/>
    <n v="3"/>
    <x v="31"/>
    <n v="1"/>
    <x v="29"/>
    <s v="Steibenkreuz"/>
    <x v="63"/>
    <n v="2"/>
    <n v="12"/>
    <n v="132"/>
    <x v="2"/>
    <m/>
    <m/>
    <m/>
    <m/>
  </r>
  <r>
    <x v="0"/>
    <d v="2021-03-31T00:00:00"/>
    <n v="3"/>
    <x v="31"/>
    <n v="1"/>
    <x v="29"/>
    <s v="Heimat"/>
    <x v="63"/>
    <n v="2"/>
    <n v="49"/>
    <n v="169"/>
    <x v="2"/>
    <m/>
    <m/>
    <m/>
    <m/>
  </r>
  <r>
    <x v="0"/>
    <d v="2021-04-01T00:00:00"/>
    <n v="4"/>
    <x v="31"/>
    <n v="1"/>
    <x v="29"/>
    <s v="Steibenkreuz"/>
    <x v="63"/>
    <n v="1"/>
    <n v="52"/>
    <n v="112"/>
    <x v="2"/>
    <m/>
    <m/>
    <m/>
    <m/>
  </r>
  <r>
    <x v="0"/>
    <d v="2021-04-08T00:00:00"/>
    <n v="4"/>
    <x v="31"/>
    <n v="1"/>
    <x v="29"/>
    <s v="Lema"/>
    <x v="91"/>
    <n v="1"/>
    <n v="31"/>
    <n v="91"/>
    <x v="43"/>
    <s v="Dominik Rohner, Michael Sigel, Ernesto, …"/>
    <m/>
    <m/>
    <m/>
  </r>
  <r>
    <x v="0"/>
    <d v="2021-04-18T00:00:00"/>
    <n v="4"/>
    <x v="31"/>
    <n v="1"/>
    <x v="32"/>
    <s v="Heimat"/>
    <x v="63"/>
    <m/>
    <n v="48"/>
    <n v="48"/>
    <x v="2"/>
    <m/>
    <m/>
    <m/>
    <m/>
  </r>
  <r>
    <x v="0"/>
    <d v="2021-04-20T00:00:00"/>
    <n v="4"/>
    <x v="31"/>
    <n v="1"/>
    <x v="32"/>
    <s v="Heimat"/>
    <x v="63"/>
    <n v="1"/>
    <n v="35"/>
    <n v="95"/>
    <x v="2"/>
    <m/>
    <m/>
    <m/>
    <m/>
  </r>
  <r>
    <x v="0"/>
    <d v="2021-04-23T00:00:00"/>
    <n v="4"/>
    <x v="31"/>
    <n v="1"/>
    <x v="32"/>
    <s v="Heimat"/>
    <x v="63"/>
    <n v="2"/>
    <n v="9"/>
    <n v="129"/>
    <x v="2"/>
    <m/>
    <m/>
    <m/>
    <m/>
  </r>
  <r>
    <x v="0"/>
    <d v="2021-04-24T00:00:00"/>
    <n v="4"/>
    <x v="31"/>
    <n v="1"/>
    <x v="32"/>
    <s v="Heimat"/>
    <x v="63"/>
    <n v="2"/>
    <n v="30"/>
    <n v="150"/>
    <x v="2"/>
    <m/>
    <m/>
    <m/>
    <m/>
  </r>
  <r>
    <x v="0"/>
    <d v="2021-05-28T00:00:00"/>
    <n v="5"/>
    <x v="31"/>
    <n v="1"/>
    <x v="32"/>
    <s v="Azinha"/>
    <x v="327"/>
    <n v="1"/>
    <n v="13"/>
    <n v="73"/>
    <x v="23"/>
    <s v="SumSum, Jenny, Marcel, Andy, Christa, Ueli, Walti, Guido, Lucien, Andreas, Chantal, Claudio"/>
    <m/>
    <m/>
    <m/>
  </r>
  <r>
    <x v="0"/>
    <d v="2021-05-28T00:00:00"/>
    <n v="5"/>
    <x v="31"/>
    <n v="0"/>
    <x v="32"/>
    <s v="Linhares"/>
    <x v="136"/>
    <n v="2"/>
    <n v="36"/>
    <n v="156"/>
    <x v="23"/>
    <m/>
    <m/>
    <m/>
    <m/>
  </r>
  <r>
    <x v="0"/>
    <d v="2021-05-29T00:00:00"/>
    <n v="5"/>
    <x v="31"/>
    <n v="1"/>
    <x v="32"/>
    <s v="Azinha"/>
    <x v="328"/>
    <n v="1"/>
    <n v="20"/>
    <n v="80"/>
    <x v="23"/>
    <m/>
    <m/>
    <m/>
    <m/>
  </r>
  <r>
    <x v="0"/>
    <d v="2021-05-29T00:00:00"/>
    <n v="5"/>
    <x v="31"/>
    <n v="0"/>
    <x v="32"/>
    <s v="Linhares"/>
    <x v="136"/>
    <m/>
    <n v="56"/>
    <n v="56"/>
    <x v="23"/>
    <m/>
    <m/>
    <m/>
    <m/>
  </r>
  <r>
    <x v="0"/>
    <d v="2021-05-30T00:00:00"/>
    <n v="5"/>
    <x v="31"/>
    <n v="1"/>
    <x v="32"/>
    <s v="Larouco"/>
    <x v="140"/>
    <n v="1"/>
    <n v="28"/>
    <n v="88"/>
    <x v="23"/>
    <m/>
    <m/>
    <m/>
    <m/>
  </r>
  <r>
    <x v="0"/>
    <d v="2021-05-31T00:00:00"/>
    <n v="5"/>
    <x v="31"/>
    <n v="1"/>
    <x v="32"/>
    <s v="Soutelo"/>
    <x v="329"/>
    <m/>
    <n v="33"/>
    <n v="33"/>
    <x v="23"/>
    <m/>
    <m/>
    <m/>
    <m/>
  </r>
  <r>
    <x v="0"/>
    <d v="2021-06-01T00:00:00"/>
    <n v="6"/>
    <x v="31"/>
    <n v="1"/>
    <x v="32"/>
    <s v="Larouco"/>
    <x v="181"/>
    <m/>
    <n v="43"/>
    <n v="43"/>
    <x v="23"/>
    <m/>
    <m/>
    <m/>
    <m/>
  </r>
  <r>
    <x v="0"/>
    <d v="2021-06-02T00:00:00"/>
    <n v="6"/>
    <x v="31"/>
    <n v="1"/>
    <x v="32"/>
    <s v="Linhares"/>
    <x v="330"/>
    <n v="1"/>
    <n v="52"/>
    <n v="112"/>
    <x v="23"/>
    <m/>
    <m/>
    <m/>
    <m/>
  </r>
  <r>
    <x v="0"/>
    <d v="2021-06-03T00:00:00"/>
    <n v="6"/>
    <x v="31"/>
    <n v="1"/>
    <x v="32"/>
    <s v="Bornes"/>
    <x v="331"/>
    <m/>
    <n v="24"/>
    <n v="24"/>
    <x v="23"/>
    <m/>
    <m/>
    <m/>
    <m/>
  </r>
  <r>
    <x v="0"/>
    <d v="2021-06-03T00:00:00"/>
    <n v="6"/>
    <x v="31"/>
    <n v="0"/>
    <x v="32"/>
    <s v="Bornes"/>
    <x v="332"/>
    <m/>
    <n v="48"/>
    <n v="48"/>
    <x v="23"/>
    <m/>
    <m/>
    <m/>
    <m/>
  </r>
  <r>
    <x v="0"/>
    <d v="2021-06-03T00:00:00"/>
    <n v="6"/>
    <x v="31"/>
    <n v="0"/>
    <x v="32"/>
    <s v="Linhares"/>
    <x v="136"/>
    <m/>
    <n v="58"/>
    <n v="58"/>
    <x v="23"/>
    <m/>
    <m/>
    <m/>
    <m/>
  </r>
  <r>
    <x v="0"/>
    <d v="2021-06-06T00:00:00"/>
    <n v="6"/>
    <x v="31"/>
    <n v="1"/>
    <x v="32"/>
    <s v="Heimat"/>
    <x v="63"/>
    <m/>
    <n v="56"/>
    <n v="56"/>
    <x v="2"/>
    <m/>
    <m/>
    <m/>
    <m/>
  </r>
  <r>
    <x v="0"/>
    <d v="2021-06-12T00:00:00"/>
    <n v="6"/>
    <x v="31"/>
    <n v="1"/>
    <x v="32"/>
    <s v="Heimat"/>
    <x v="63"/>
    <n v="1"/>
    <n v="37"/>
    <n v="97"/>
    <x v="2"/>
    <m/>
    <m/>
    <m/>
    <m/>
  </r>
  <r>
    <x v="0"/>
    <d v="2021-06-18T00:00:00"/>
    <n v="6"/>
    <x v="31"/>
    <n v="1"/>
    <x v="32"/>
    <s v="Vlora"/>
    <x v="333"/>
    <m/>
    <n v="59"/>
    <n v="59"/>
    <x v="44"/>
    <m/>
    <m/>
    <m/>
    <m/>
  </r>
  <r>
    <x v="0"/>
    <d v="2021-06-18T00:00:00"/>
    <n v="6"/>
    <x v="31"/>
    <n v="0"/>
    <x v="32"/>
    <s v="Vlora"/>
    <x v="333"/>
    <m/>
    <n v="33"/>
    <n v="33"/>
    <x v="44"/>
    <m/>
    <m/>
    <m/>
    <m/>
  </r>
  <r>
    <x v="0"/>
    <d v="2021-06-19T00:00:00"/>
    <n v="6"/>
    <x v="31"/>
    <n v="1"/>
    <x v="32"/>
    <s v="Korce"/>
    <x v="334"/>
    <m/>
    <n v="25"/>
    <n v="25"/>
    <x v="44"/>
    <m/>
    <m/>
    <m/>
    <m/>
  </r>
  <r>
    <x v="0"/>
    <d v="2021-06-20T00:00:00"/>
    <n v="6"/>
    <x v="31"/>
    <n v="1"/>
    <x v="32"/>
    <s v="Korce"/>
    <x v="335"/>
    <m/>
    <n v="10"/>
    <n v="10"/>
    <x v="44"/>
    <m/>
    <m/>
    <m/>
    <m/>
  </r>
  <r>
    <x v="0"/>
    <d v="2021-06-20T00:00:00"/>
    <n v="6"/>
    <x v="31"/>
    <n v="0"/>
    <x v="32"/>
    <s v="Korce"/>
    <x v="336"/>
    <m/>
    <n v="44"/>
    <n v="44"/>
    <x v="44"/>
    <m/>
    <m/>
    <m/>
    <m/>
  </r>
  <r>
    <x v="0"/>
    <d v="2021-06-21T00:00:00"/>
    <n v="6"/>
    <x v="31"/>
    <n v="1"/>
    <x v="32"/>
    <s v="Galichica"/>
    <x v="337"/>
    <m/>
    <n v="44"/>
    <n v="44"/>
    <x v="44"/>
    <m/>
    <m/>
    <m/>
    <m/>
  </r>
  <r>
    <x v="0"/>
    <d v="2021-06-21T00:00:00"/>
    <n v="6"/>
    <x v="31"/>
    <n v="0"/>
    <x v="32"/>
    <s v="Galichica"/>
    <x v="337"/>
    <m/>
    <n v="20"/>
    <n v="20"/>
    <x v="44"/>
    <m/>
    <m/>
    <m/>
    <m/>
  </r>
  <r>
    <x v="0"/>
    <d v="2021-06-22T00:00:00"/>
    <n v="6"/>
    <x v="31"/>
    <n v="1"/>
    <x v="32"/>
    <s v="Prilep"/>
    <x v="338"/>
    <n v="1"/>
    <n v="32"/>
    <n v="92"/>
    <x v="44"/>
    <m/>
    <m/>
    <m/>
    <m/>
  </r>
  <r>
    <x v="0"/>
    <d v="2021-06-23T00:00:00"/>
    <n v="6"/>
    <x v="31"/>
    <n v="1"/>
    <x v="32"/>
    <s v="Krusevo"/>
    <x v="339"/>
    <n v="1"/>
    <n v="55"/>
    <n v="115"/>
    <x v="44"/>
    <m/>
    <m/>
    <m/>
    <m/>
  </r>
  <r>
    <x v="0"/>
    <d v="2021-06-25T00:00:00"/>
    <n v="6"/>
    <x v="31"/>
    <n v="1"/>
    <x v="32"/>
    <s v="Galichica"/>
    <x v="337"/>
    <n v="1"/>
    <n v="1"/>
    <n v="61"/>
    <x v="44"/>
    <m/>
    <m/>
    <m/>
    <m/>
  </r>
  <r>
    <x v="0"/>
    <d v="2021-07-02T00:00:00"/>
    <n v="7"/>
    <x v="31"/>
    <n v="1"/>
    <x v="32"/>
    <s v="Richinen"/>
    <x v="63"/>
    <n v="1"/>
    <n v="4"/>
    <n v="64"/>
    <x v="2"/>
    <m/>
    <m/>
    <m/>
    <m/>
  </r>
  <r>
    <x v="0"/>
    <d v="2021-07-03T00:00:00"/>
    <n v="7"/>
    <x v="31"/>
    <n v="1"/>
    <x v="26"/>
    <s v="Richinen"/>
    <x v="63"/>
    <m/>
    <n v="45"/>
    <n v="45"/>
    <x v="2"/>
    <m/>
    <m/>
    <m/>
    <m/>
  </r>
  <r>
    <x v="0"/>
    <d v="2021-07-10T00:00:00"/>
    <n v="7"/>
    <x v="31"/>
    <n v="1"/>
    <x v="32"/>
    <s v="Heimat"/>
    <x v="35"/>
    <m/>
    <n v="57"/>
    <n v="57"/>
    <x v="2"/>
    <m/>
    <m/>
    <m/>
    <m/>
  </r>
  <r>
    <x v="0"/>
    <d v="2021-07-11T00:00:00"/>
    <n v="7"/>
    <x v="31"/>
    <n v="1"/>
    <x v="32"/>
    <s v="Steibenkreuz"/>
    <x v="227"/>
    <m/>
    <n v="21"/>
    <n v="21"/>
    <x v="2"/>
    <m/>
    <m/>
    <m/>
    <m/>
  </r>
  <r>
    <x v="0"/>
    <d v="2021-07-29T00:00:00"/>
    <n v="7"/>
    <x v="31"/>
    <n v="1"/>
    <x v="32"/>
    <s v="Steibenkreuz"/>
    <x v="35"/>
    <m/>
    <n v="46"/>
    <n v="46"/>
    <x v="2"/>
    <m/>
    <m/>
    <m/>
    <m/>
  </r>
  <r>
    <x v="0"/>
    <d v="2021-08-14T00:00:00"/>
    <n v="8"/>
    <x v="31"/>
    <n v="1"/>
    <x v="32"/>
    <s v="Steibenkreuz"/>
    <x v="35"/>
    <n v="1"/>
    <n v="21"/>
    <n v="81"/>
    <x v="2"/>
    <m/>
    <m/>
    <m/>
    <m/>
  </r>
  <r>
    <x v="0"/>
    <d v="2021-08-20T00:00:00"/>
    <n v="8"/>
    <x v="31"/>
    <n v="1"/>
    <x v="32"/>
    <s v="Heimat"/>
    <x v="63"/>
    <n v="2"/>
    <n v="17"/>
    <n v="137"/>
    <x v="2"/>
    <m/>
    <m/>
    <m/>
    <m/>
  </r>
  <r>
    <x v="0"/>
    <d v="2021-08-21T00:00:00"/>
    <n v="8"/>
    <x v="31"/>
    <n v="1"/>
    <x v="32"/>
    <s v="Steibenkreuz"/>
    <x v="166"/>
    <n v="1"/>
    <n v="17"/>
    <n v="77"/>
    <x v="2"/>
    <s v="Mit Andrea"/>
    <m/>
    <m/>
    <m/>
  </r>
  <r>
    <x v="0"/>
    <d v="2021-08-25T00:00:00"/>
    <n v="8"/>
    <x v="31"/>
    <n v="1"/>
    <x v="32"/>
    <s v="Steibenkreuz"/>
    <x v="35"/>
    <n v="1"/>
    <n v="12"/>
    <n v="72"/>
    <x v="2"/>
    <m/>
    <m/>
    <m/>
    <m/>
  </r>
  <r>
    <x v="0"/>
    <d v="2021-09-01T00:00:00"/>
    <n v="9"/>
    <x v="31"/>
    <n v="1"/>
    <x v="32"/>
    <s v="Heimat"/>
    <x v="63"/>
    <n v="1"/>
    <n v="4"/>
    <n v="64"/>
    <x v="2"/>
    <m/>
    <m/>
    <m/>
    <m/>
  </r>
  <r>
    <x v="0"/>
    <d v="2021-09-01T00:00:00"/>
    <n v="9"/>
    <x v="31"/>
    <n v="0"/>
    <x v="32"/>
    <s v="cret-du-midi"/>
    <x v="147"/>
    <n v="1"/>
    <n v="52"/>
    <n v="112"/>
    <x v="2"/>
    <s v="Andrea mit Mathieu, Vario Akku leer, Unfall"/>
    <m/>
    <m/>
    <m/>
  </r>
  <r>
    <x v="0"/>
    <d v="2021-09-02T00:00:00"/>
    <n v="9"/>
    <x v="31"/>
    <n v="1"/>
    <x v="32"/>
    <s v="cret-du-midi"/>
    <x v="340"/>
    <m/>
    <n v="13"/>
    <n v="13"/>
    <x v="2"/>
    <m/>
    <m/>
    <m/>
    <m/>
  </r>
  <r>
    <x v="0"/>
    <d v="2021-09-02T00:00:00"/>
    <n v="9"/>
    <x v="31"/>
    <n v="0"/>
    <x v="32"/>
    <s v="Illhorn"/>
    <x v="112"/>
    <n v="1"/>
    <n v="12"/>
    <n v="72"/>
    <x v="2"/>
    <m/>
    <m/>
    <m/>
    <m/>
  </r>
  <r>
    <x v="0"/>
    <d v="2021-09-05T00:00:00"/>
    <n v="9"/>
    <x v="31"/>
    <n v="1"/>
    <x v="32"/>
    <s v="Corvatsch 3300"/>
    <x v="341"/>
    <m/>
    <n v="36"/>
    <n v="36"/>
    <x v="2"/>
    <m/>
    <m/>
    <m/>
    <m/>
  </r>
  <r>
    <x v="0"/>
    <d v="2021-09-12T00:00:00"/>
    <n v="9"/>
    <x v="31"/>
    <n v="1"/>
    <x v="32"/>
    <s v="Steibenkreuz"/>
    <x v="63"/>
    <n v="1"/>
    <n v="33"/>
    <n v="93"/>
    <x v="2"/>
    <m/>
    <m/>
    <m/>
    <m/>
  </r>
  <r>
    <x v="0"/>
    <d v="2021-09-13T00:00:00"/>
    <n v="9"/>
    <x v="31"/>
    <n v="1"/>
    <x v="32"/>
    <s v="Richinen"/>
    <x v="282"/>
    <m/>
    <n v="40"/>
    <n v="40"/>
    <x v="2"/>
    <m/>
    <m/>
    <m/>
    <m/>
  </r>
  <r>
    <x v="0"/>
    <d v="2021-11-21T00:00:00"/>
    <n v="11"/>
    <x v="31"/>
    <n v="1"/>
    <x v="32"/>
    <s v="Heimat"/>
    <x v="63"/>
    <n v="1"/>
    <n v="29"/>
    <n v="89"/>
    <x v="2"/>
    <m/>
    <m/>
    <m/>
    <m/>
  </r>
  <r>
    <x v="0"/>
    <d v="2021-11-24T00:00:00"/>
    <n v="11"/>
    <x v="31"/>
    <n v="1"/>
    <x v="32"/>
    <s v="Heimat"/>
    <x v="63"/>
    <m/>
    <n v="43"/>
    <n v="43"/>
    <x v="2"/>
    <m/>
    <m/>
    <m/>
    <m/>
  </r>
  <r>
    <x v="0"/>
    <d v="2021-12-13T00:00:00"/>
    <n v="12"/>
    <x v="31"/>
    <n v="1"/>
    <x v="32"/>
    <s v="Heimat"/>
    <x v="63"/>
    <m/>
    <n v="16"/>
    <n v="16"/>
    <x v="2"/>
    <m/>
    <m/>
    <m/>
    <m/>
  </r>
  <r>
    <x v="0"/>
    <d v="2021-12-18T00:00:00"/>
    <n v="12"/>
    <x v="31"/>
    <n v="1"/>
    <x v="32"/>
    <s v="Heimat"/>
    <x v="63"/>
    <m/>
    <n v="17"/>
    <n v="17"/>
    <x v="2"/>
    <s v="mit Skytraxx 4"/>
    <m/>
    <m/>
    <m/>
  </r>
  <r>
    <x v="0"/>
    <d v="2022-01-15T00:00:00"/>
    <n v="1"/>
    <x v="32"/>
    <n v="1"/>
    <x v="32"/>
    <s v="Steibenkreuz"/>
    <x v="63"/>
    <n v="1"/>
    <n v="12"/>
    <n v="72"/>
    <x v="2"/>
    <m/>
    <m/>
    <m/>
    <m/>
  </r>
  <r>
    <x v="0"/>
    <d v="2022-01-24T00:00:00"/>
    <n v="1"/>
    <x v="32"/>
    <n v="1"/>
    <x v="32"/>
    <s v="Heimat"/>
    <x v="63"/>
    <n v="1"/>
    <n v="2"/>
    <n v="62"/>
    <x v="2"/>
    <m/>
    <m/>
    <m/>
    <m/>
  </r>
  <r>
    <x v="0"/>
    <d v="2022-01-25T00:00:00"/>
    <n v="1"/>
    <x v="32"/>
    <n v="1"/>
    <x v="32"/>
    <s v="Heimat"/>
    <x v="63"/>
    <n v="1"/>
    <n v="19"/>
    <n v="79"/>
    <x v="2"/>
    <m/>
    <m/>
    <m/>
    <m/>
  </r>
  <r>
    <x v="0"/>
    <d v="2022-02-12T00:00:00"/>
    <n v="2"/>
    <x v="32"/>
    <n v="1"/>
    <x v="32"/>
    <s v="Heimat"/>
    <x v="35"/>
    <n v="1"/>
    <n v="17"/>
    <n v="77"/>
    <x v="2"/>
    <m/>
    <m/>
    <m/>
    <m/>
  </r>
  <r>
    <x v="0"/>
    <d v="2022-02-23T00:00:00"/>
    <n v="2"/>
    <x v="32"/>
    <n v="1"/>
    <x v="32"/>
    <s v="Steibenkreuz"/>
    <x v="63"/>
    <m/>
    <n v="57"/>
    <n v="57"/>
    <x v="2"/>
    <m/>
    <m/>
    <m/>
    <m/>
  </r>
  <r>
    <x v="0"/>
    <d v="2022-03-08T00:00:00"/>
    <n v="3"/>
    <x v="32"/>
    <n v="1"/>
    <x v="32"/>
    <s v="Heimat"/>
    <x v="35"/>
    <n v="1"/>
    <n v="19"/>
    <n v="79"/>
    <x v="2"/>
    <m/>
    <m/>
    <m/>
    <m/>
  </r>
  <r>
    <x v="0"/>
    <d v="2022-03-24T00:00:00"/>
    <n v="3"/>
    <x v="32"/>
    <n v="1"/>
    <x v="32"/>
    <s v="Zermatt Rothorn"/>
    <x v="292"/>
    <n v="1"/>
    <n v="5"/>
    <n v="65"/>
    <x v="2"/>
    <s v="Mit Albert und Ernesto"/>
    <m/>
    <m/>
    <m/>
  </r>
  <r>
    <x v="0"/>
    <d v="2022-03-27T00:00:00"/>
    <n v="3"/>
    <x v="32"/>
    <n v="1"/>
    <x v="32"/>
    <s v="Steibenkreuz"/>
    <x v="166"/>
    <m/>
    <n v="40"/>
    <n v="40"/>
    <x v="2"/>
    <m/>
    <m/>
    <m/>
    <m/>
  </r>
  <r>
    <x v="0"/>
    <d v="2022-03-28T00:00:00"/>
    <n v="3"/>
    <x v="32"/>
    <n v="1"/>
    <x v="32"/>
    <s v="Steibenkreuz"/>
    <x v="342"/>
    <n v="1"/>
    <n v="49"/>
    <n v="109"/>
    <x v="2"/>
    <s v="Wurstsalat bei Peter/Regina"/>
    <m/>
    <m/>
    <m/>
  </r>
  <r>
    <x v="0"/>
    <d v="2022-04-03T00:00:00"/>
    <n v="4"/>
    <x v="32"/>
    <n v="1"/>
    <x v="26"/>
    <s v="Steibenkreuz"/>
    <x v="63"/>
    <m/>
    <n v="15"/>
    <n v="15"/>
    <x v="2"/>
    <s v="Letzter Tag mit alter Bahn"/>
    <m/>
    <m/>
    <m/>
  </r>
  <r>
    <x v="0"/>
    <d v="2022-04-05T00:00:00"/>
    <n v="4"/>
    <x v="32"/>
    <n v="1"/>
    <x v="32"/>
    <s v="Heimat"/>
    <x v="63"/>
    <n v="1"/>
    <n v="3"/>
    <n v="63"/>
    <x v="2"/>
    <m/>
    <m/>
    <m/>
    <m/>
  </r>
  <r>
    <x v="0"/>
    <d v="2022-04-09T00:00:00"/>
    <n v="4"/>
    <x v="32"/>
    <n v="1"/>
    <x v="32"/>
    <s v="Gallodoro"/>
    <x v="265"/>
    <n v="1"/>
    <n v="12"/>
    <n v="72"/>
    <x v="39"/>
    <s v="Lucien gestorben"/>
    <m/>
    <m/>
    <m/>
  </r>
  <r>
    <x v="0"/>
    <d v="2022-04-11T00:00:00"/>
    <n v="4"/>
    <x v="32"/>
    <n v="1"/>
    <x v="32"/>
    <s v="Monte Scala"/>
    <x v="268"/>
    <n v="1"/>
    <n v="11"/>
    <n v="71"/>
    <x v="39"/>
    <m/>
    <m/>
    <m/>
    <m/>
  </r>
  <r>
    <x v="0"/>
    <d v="2022-04-11T00:00:00"/>
    <n v="4"/>
    <x v="32"/>
    <n v="0"/>
    <x v="32"/>
    <s v="Niscemi"/>
    <x v="268"/>
    <n v="1"/>
    <n v="8"/>
    <n v="68"/>
    <x v="39"/>
    <m/>
    <m/>
    <m/>
    <m/>
  </r>
  <r>
    <x v="0"/>
    <d v="2022-04-11T00:00:00"/>
    <n v="4"/>
    <x v="32"/>
    <n v="0"/>
    <x v="32"/>
    <s v="Niscemi"/>
    <x v="268"/>
    <n v="1"/>
    <n v="12"/>
    <n v="72"/>
    <x v="39"/>
    <m/>
    <m/>
    <m/>
    <m/>
  </r>
  <r>
    <x v="0"/>
    <d v="2022-04-12T00:00:00"/>
    <n v="4"/>
    <x v="32"/>
    <n v="1"/>
    <x v="32"/>
    <s v="Ätna"/>
    <x v="343"/>
    <m/>
    <n v="35"/>
    <n v="35"/>
    <x v="39"/>
    <m/>
    <m/>
    <m/>
    <m/>
  </r>
  <r>
    <x v="0"/>
    <d v="2022-04-12T00:00:00"/>
    <n v="4"/>
    <x v="32"/>
    <n v="0"/>
    <x v="32"/>
    <s v="Monte Veneretta"/>
    <x v="265"/>
    <m/>
    <n v="23"/>
    <n v="23"/>
    <x v="39"/>
    <m/>
    <m/>
    <m/>
    <m/>
  </r>
  <r>
    <x v="0"/>
    <d v="2022-04-13T00:00:00"/>
    <n v="4"/>
    <x v="32"/>
    <n v="1"/>
    <x v="32"/>
    <s v="Gallodoro"/>
    <x v="265"/>
    <n v="1"/>
    <n v="8"/>
    <n v="68"/>
    <x v="39"/>
    <m/>
    <m/>
    <m/>
    <m/>
  </r>
  <r>
    <x v="0"/>
    <d v="2022-04-14T00:00:00"/>
    <n v="4"/>
    <x v="32"/>
    <n v="1"/>
    <x v="32"/>
    <s v="Gallodoro"/>
    <x v="265"/>
    <n v="1"/>
    <n v="27"/>
    <n v="87"/>
    <x v="39"/>
    <m/>
    <m/>
    <m/>
    <m/>
  </r>
  <r>
    <x v="0"/>
    <d v="2022-04-15T00:00:00"/>
    <n v="4"/>
    <x v="32"/>
    <n v="1"/>
    <x v="32"/>
    <s v="Monte Veneretta"/>
    <x v="265"/>
    <m/>
    <n v="20"/>
    <n v="20"/>
    <x v="39"/>
    <m/>
    <m/>
    <m/>
    <m/>
  </r>
  <r>
    <x v="0"/>
    <d v="2022-04-18T00:00:00"/>
    <n v="4"/>
    <x v="32"/>
    <n v="1"/>
    <x v="32"/>
    <s v="Heimat"/>
    <x v="63"/>
    <m/>
    <n v="50"/>
    <n v="50"/>
    <x v="2"/>
    <m/>
    <m/>
    <m/>
    <m/>
  </r>
  <r>
    <x v="0"/>
    <d v="2022-04-27T00:00:00"/>
    <n v="4"/>
    <x v="32"/>
    <n v="1"/>
    <x v="32"/>
    <s v="Heimat"/>
    <x v="63"/>
    <m/>
    <n v="42"/>
    <n v="42"/>
    <x v="2"/>
    <m/>
    <m/>
    <m/>
    <m/>
  </r>
  <r>
    <x v="0"/>
    <d v="2022-04-28T00:00:00"/>
    <n v="4"/>
    <x v="32"/>
    <n v="1"/>
    <x v="32"/>
    <s v="Heimat"/>
    <x v="63"/>
    <n v="1"/>
    <n v="13"/>
    <n v="73"/>
    <x v="2"/>
    <m/>
    <m/>
    <m/>
    <m/>
  </r>
  <r>
    <x v="0"/>
    <d v="2022-04-29T00:00:00"/>
    <n v="4"/>
    <x v="32"/>
    <n v="1"/>
    <x v="32"/>
    <s v="Heimat"/>
    <x v="63"/>
    <n v="1"/>
    <n v="56"/>
    <n v="116"/>
    <x v="2"/>
    <m/>
    <m/>
    <m/>
    <m/>
  </r>
  <r>
    <x v="0"/>
    <d v="2022-05-01T00:00:00"/>
    <n v="5"/>
    <x v="32"/>
    <n v="1"/>
    <x v="32"/>
    <s v="Heimat"/>
    <x v="63"/>
    <n v="1"/>
    <n v="34"/>
    <n v="94"/>
    <x v="2"/>
    <m/>
    <m/>
    <m/>
    <m/>
  </r>
  <r>
    <x v="0"/>
    <d v="2022-05-02T00:00:00"/>
    <n v="5"/>
    <x v="32"/>
    <n v="1"/>
    <x v="32"/>
    <s v="Heimat"/>
    <x v="63"/>
    <n v="1"/>
    <n v="50"/>
    <n v="110"/>
    <x v="2"/>
    <m/>
    <m/>
    <m/>
    <m/>
  </r>
  <r>
    <x v="0"/>
    <d v="2022-05-12T00:00:00"/>
    <n v="5"/>
    <x v="32"/>
    <n v="1"/>
    <x v="32"/>
    <s v="Riederalp"/>
    <x v="63"/>
    <n v="1"/>
    <n v="37"/>
    <n v="97"/>
    <x v="2"/>
    <m/>
    <m/>
    <m/>
    <m/>
  </r>
  <r>
    <x v="0"/>
    <d v="2022-05-13T00:00:00"/>
    <n v="5"/>
    <x v="32"/>
    <n v="1"/>
    <x v="26"/>
    <s v="Mutti"/>
    <x v="63"/>
    <m/>
    <n v="30"/>
    <n v="30"/>
    <x v="2"/>
    <m/>
    <m/>
    <m/>
    <m/>
  </r>
  <r>
    <x v="0"/>
    <d v="2022-05-14T00:00:00"/>
    <n v="5"/>
    <x v="32"/>
    <n v="1"/>
    <x v="32"/>
    <s v="Heimat"/>
    <x v="63"/>
    <n v="2"/>
    <n v="4"/>
    <n v="124"/>
    <x v="2"/>
    <m/>
    <m/>
    <m/>
    <m/>
  </r>
  <r>
    <x v="0"/>
    <d v="2022-05-15T00:00:00"/>
    <n v="5"/>
    <x v="32"/>
    <n v="1"/>
    <x v="32"/>
    <s v="Heimat"/>
    <x v="63"/>
    <n v="2"/>
    <n v="17"/>
    <n v="137"/>
    <x v="2"/>
    <m/>
    <m/>
    <m/>
    <m/>
  </r>
  <r>
    <x v="0"/>
    <d v="2022-05-17T00:00:00"/>
    <n v="5"/>
    <x v="32"/>
    <n v="1"/>
    <x v="32"/>
    <s v="Riederalp"/>
    <x v="63"/>
    <n v="2"/>
    <n v="15"/>
    <n v="135"/>
    <x v="2"/>
    <m/>
    <m/>
    <m/>
    <m/>
  </r>
  <r>
    <x v="0"/>
    <d v="2022-05-19T00:00:00"/>
    <n v="5"/>
    <x v="32"/>
    <n v="1"/>
    <x v="32"/>
    <s v="Riederalp"/>
    <x v="63"/>
    <n v="2"/>
    <n v="33"/>
    <n v="153"/>
    <x v="2"/>
    <m/>
    <m/>
    <m/>
    <m/>
  </r>
  <r>
    <x v="0"/>
    <d v="2022-05-20T00:00:00"/>
    <n v="5"/>
    <x v="32"/>
    <n v="1"/>
    <x v="26"/>
    <s v="Eggebiel"/>
    <x v="63"/>
    <m/>
    <n v="15"/>
    <n v="15"/>
    <x v="2"/>
    <m/>
    <m/>
    <m/>
    <m/>
  </r>
  <r>
    <x v="0"/>
    <d v="2022-05-27T00:00:00"/>
    <n v="5"/>
    <x v="32"/>
    <n v="1"/>
    <x v="32"/>
    <s v="Larouco"/>
    <x v="183"/>
    <n v="1"/>
    <n v="10"/>
    <n v="70"/>
    <x v="23"/>
    <m/>
    <m/>
    <m/>
    <m/>
  </r>
  <r>
    <x v="0"/>
    <d v="2022-05-28T00:00:00"/>
    <n v="5"/>
    <x v="32"/>
    <n v="1"/>
    <x v="32"/>
    <s v="Larouco"/>
    <x v="140"/>
    <n v="2"/>
    <n v="52"/>
    <n v="172"/>
    <x v="23"/>
    <m/>
    <m/>
    <m/>
    <m/>
  </r>
  <r>
    <x v="0"/>
    <d v="2022-05-29T00:00:00"/>
    <n v="5"/>
    <x v="32"/>
    <n v="1"/>
    <x v="32"/>
    <s v="Larouco"/>
    <x v="344"/>
    <n v="1"/>
    <n v="46"/>
    <n v="106"/>
    <x v="23"/>
    <m/>
    <m/>
    <m/>
    <m/>
  </r>
  <r>
    <x v="0"/>
    <d v="2022-06-11T00:00:00"/>
    <n v="6"/>
    <x v="32"/>
    <n v="1"/>
    <x v="32"/>
    <s v="Heimat"/>
    <x v="35"/>
    <n v="1"/>
    <n v="4"/>
    <n v="64"/>
    <x v="2"/>
    <s v="Mit Edi auf den Furka"/>
    <m/>
    <m/>
    <m/>
  </r>
  <r>
    <x v="0"/>
    <d v="2022-06-12T00:00:00"/>
    <n v="6"/>
    <x v="32"/>
    <n v="1"/>
    <x v="32"/>
    <s v="Heimat"/>
    <x v="63"/>
    <n v="1"/>
    <n v="34"/>
    <n v="94"/>
    <x v="2"/>
    <m/>
    <m/>
    <m/>
    <m/>
  </r>
  <r>
    <x v="0"/>
    <d v="2022-06-14T00:00:00"/>
    <n v="6"/>
    <x v="32"/>
    <n v="1"/>
    <x v="32"/>
    <s v="Heimat"/>
    <x v="35"/>
    <n v="1"/>
    <n v="51"/>
    <n v="111"/>
    <x v="2"/>
    <m/>
    <m/>
    <m/>
    <m/>
  </r>
  <r>
    <x v="0"/>
    <d v="2022-06-18T00:00:00"/>
    <n v="6"/>
    <x v="32"/>
    <n v="1"/>
    <x v="32"/>
    <s v="Heimat"/>
    <x v="63"/>
    <n v="2"/>
    <n v="13"/>
    <n v="133"/>
    <x v="2"/>
    <m/>
    <m/>
    <m/>
    <m/>
  </r>
  <r>
    <x v="0"/>
    <d v="2022-06-23T00:00:00"/>
    <n v="6"/>
    <x v="32"/>
    <n v="1"/>
    <x v="32"/>
    <s v="Heimat"/>
    <x v="63"/>
    <m/>
    <n v="35"/>
    <n v="35"/>
    <x v="2"/>
    <m/>
    <m/>
    <m/>
    <m/>
  </r>
  <r>
    <x v="0"/>
    <d v="2022-06-25T00:00:00"/>
    <n v="6"/>
    <x v="32"/>
    <n v="1"/>
    <x v="32"/>
    <s v="Heimat"/>
    <x v="35"/>
    <n v="1"/>
    <n v="40"/>
    <n v="100"/>
    <x v="2"/>
    <m/>
    <m/>
    <m/>
    <m/>
  </r>
  <r>
    <x v="0"/>
    <d v="2022-06-29T00:00:00"/>
    <n v="6"/>
    <x v="32"/>
    <n v="1"/>
    <x v="32"/>
    <s v="Galfera"/>
    <x v="63"/>
    <n v="2"/>
    <n v="6"/>
    <n v="126"/>
    <x v="2"/>
    <m/>
    <m/>
    <m/>
    <m/>
  </r>
  <r>
    <x v="0"/>
    <d v="2022-06-30T00:00:00"/>
    <n v="6"/>
    <x v="32"/>
    <n v="1"/>
    <x v="32"/>
    <s v="Heimat"/>
    <x v="63"/>
    <m/>
    <n v="15"/>
    <n v="15"/>
    <x v="2"/>
    <m/>
    <m/>
    <m/>
    <m/>
  </r>
  <r>
    <x v="0"/>
    <d v="2022-07-02T00:00:00"/>
    <n v="7"/>
    <x v="32"/>
    <n v="1"/>
    <x v="32"/>
    <s v="Galfera"/>
    <x v="35"/>
    <m/>
    <n v="59"/>
    <n v="59"/>
    <x v="2"/>
    <m/>
    <m/>
    <m/>
    <m/>
  </r>
  <r>
    <x v="0"/>
    <d v="2022-07-03T00:00:00"/>
    <n v="7"/>
    <x v="32"/>
    <n v="1"/>
    <x v="32"/>
    <s v="Heimat"/>
    <x v="63"/>
    <m/>
    <n v="10"/>
    <n v="10"/>
    <x v="2"/>
    <m/>
    <m/>
    <m/>
    <m/>
  </r>
  <r>
    <x v="0"/>
    <d v="2022-07-06T00:00:00"/>
    <n v="7"/>
    <x v="32"/>
    <n v="1"/>
    <x v="32"/>
    <s v="Heimat"/>
    <x v="63"/>
    <n v="2"/>
    <n v="0"/>
    <n v="120"/>
    <x v="2"/>
    <m/>
    <m/>
    <m/>
    <m/>
  </r>
  <r>
    <x v="0"/>
    <d v="2022-07-11T00:00:00"/>
    <n v="7"/>
    <x v="32"/>
    <n v="1"/>
    <x v="32"/>
    <s v="Heimat"/>
    <x v="63"/>
    <n v="1"/>
    <n v="53"/>
    <n v="113"/>
    <x v="2"/>
    <m/>
    <m/>
    <m/>
    <m/>
  </r>
  <r>
    <x v="0"/>
    <d v="2022-07-12T00:00:00"/>
    <n v="7"/>
    <x v="32"/>
    <n v="1"/>
    <x v="32"/>
    <s v="Heimat"/>
    <x v="63"/>
    <n v="1"/>
    <n v="24"/>
    <n v="84"/>
    <x v="2"/>
    <m/>
    <m/>
    <m/>
    <m/>
  </r>
  <r>
    <x v="0"/>
    <d v="2022-07-13T00:00:00"/>
    <n v="7"/>
    <x v="32"/>
    <n v="1"/>
    <x v="32"/>
    <s v="Heimat"/>
    <x v="63"/>
    <n v="2"/>
    <n v="37"/>
    <n v="157"/>
    <x v="2"/>
    <m/>
    <m/>
    <m/>
    <m/>
  </r>
  <r>
    <x v="0"/>
    <d v="2022-07-17T00:00:00"/>
    <n v="7"/>
    <x v="32"/>
    <n v="1"/>
    <x v="32"/>
    <s v="Heimat"/>
    <x v="63"/>
    <n v="2"/>
    <n v="3"/>
    <n v="123"/>
    <x v="2"/>
    <m/>
    <m/>
    <m/>
    <m/>
  </r>
  <r>
    <x v="0"/>
    <d v="2022-07-18T00:00:00"/>
    <n v="7"/>
    <x v="32"/>
    <n v="1"/>
    <x v="32"/>
    <s v="Heimat"/>
    <x v="63"/>
    <n v="2"/>
    <n v="5"/>
    <n v="125"/>
    <x v="2"/>
    <m/>
    <m/>
    <m/>
    <m/>
  </r>
  <r>
    <x v="0"/>
    <d v="2022-07-19T00:00:00"/>
    <n v="7"/>
    <x v="32"/>
    <n v="1"/>
    <x v="32"/>
    <s v="Heimat"/>
    <x v="63"/>
    <n v="3"/>
    <n v="0"/>
    <n v="180"/>
    <x v="2"/>
    <m/>
    <m/>
    <m/>
    <m/>
  </r>
  <r>
    <x v="0"/>
    <d v="2022-07-22T00:00:00"/>
    <n v="7"/>
    <x v="32"/>
    <n v="1"/>
    <x v="32"/>
    <s v="Heimat"/>
    <x v="63"/>
    <n v="1"/>
    <n v="27"/>
    <n v="87"/>
    <x v="2"/>
    <m/>
    <m/>
    <m/>
    <m/>
  </r>
  <r>
    <x v="0"/>
    <d v="2022-07-24T00:00:00"/>
    <n v="7"/>
    <x v="32"/>
    <n v="1"/>
    <x v="32"/>
    <s v="Heimat"/>
    <x v="63"/>
    <n v="3"/>
    <n v="12"/>
    <n v="192"/>
    <x v="2"/>
    <m/>
    <m/>
    <m/>
    <m/>
  </r>
  <r>
    <x v="0"/>
    <d v="2022-07-25T00:00:00"/>
    <n v="7"/>
    <x v="32"/>
    <n v="1"/>
    <x v="32"/>
    <s v="Heimat"/>
    <x v="63"/>
    <n v="1"/>
    <n v="12"/>
    <n v="72"/>
    <x v="2"/>
    <m/>
    <m/>
    <m/>
    <m/>
  </r>
  <r>
    <x v="0"/>
    <d v="2022-07-31T00:00:00"/>
    <n v="7"/>
    <x v="32"/>
    <n v="1"/>
    <x v="32"/>
    <s v="Heimat"/>
    <x v="63"/>
    <n v="1"/>
    <n v="46"/>
    <n v="106"/>
    <x v="2"/>
    <m/>
    <m/>
    <m/>
    <m/>
  </r>
  <r>
    <x v="0"/>
    <d v="2022-08-01T00:00:00"/>
    <n v="8"/>
    <x v="32"/>
    <n v="1"/>
    <x v="32"/>
    <s v="Galfera"/>
    <x v="63"/>
    <n v="1"/>
    <n v="37"/>
    <n v="97"/>
    <x v="2"/>
    <m/>
    <m/>
    <m/>
    <m/>
  </r>
  <r>
    <x v="0"/>
    <d v="2022-08-03T00:00:00"/>
    <n v="8"/>
    <x v="32"/>
    <n v="1"/>
    <x v="32"/>
    <s v="Heimat"/>
    <x v="63"/>
    <n v="2"/>
    <n v="29"/>
    <n v="149"/>
    <x v="2"/>
    <m/>
    <m/>
    <m/>
    <m/>
  </r>
  <r>
    <x v="0"/>
    <d v="2022-08-04T00:00:00"/>
    <n v="8"/>
    <x v="32"/>
    <n v="1"/>
    <x v="32"/>
    <s v="Heimat"/>
    <x v="63"/>
    <n v="1"/>
    <n v="38"/>
    <n v="98"/>
    <x v="2"/>
    <m/>
    <m/>
    <m/>
    <m/>
  </r>
  <r>
    <x v="0"/>
    <d v="2022-08-08T00:00:00"/>
    <n v="8"/>
    <x v="32"/>
    <n v="1"/>
    <x v="32"/>
    <s v="Heimat"/>
    <x v="63"/>
    <n v="2"/>
    <n v="6"/>
    <n v="126"/>
    <x v="2"/>
    <m/>
    <m/>
    <m/>
    <m/>
  </r>
  <r>
    <x v="0"/>
    <d v="2022-08-09T00:00:00"/>
    <n v="8"/>
    <x v="32"/>
    <n v="1"/>
    <x v="32"/>
    <s v="Galfera"/>
    <x v="35"/>
    <n v="1"/>
    <n v="48"/>
    <n v="108"/>
    <x v="2"/>
    <m/>
    <m/>
    <m/>
    <m/>
  </r>
  <r>
    <x v="0"/>
    <d v="2022-08-10T00:00:00"/>
    <n v="8"/>
    <x v="32"/>
    <n v="1"/>
    <x v="32"/>
    <s v="Heimat"/>
    <x v="63"/>
    <n v="1"/>
    <n v="43"/>
    <n v="103"/>
    <x v="2"/>
    <m/>
    <m/>
    <m/>
    <m/>
  </r>
  <r>
    <x v="0"/>
    <d v="2022-08-11T00:00:00"/>
    <n v="8"/>
    <x v="32"/>
    <n v="1"/>
    <x v="32"/>
    <s v="Heimat"/>
    <x v="166"/>
    <n v="1"/>
    <n v="26"/>
    <n v="86"/>
    <x v="2"/>
    <m/>
    <m/>
    <m/>
    <m/>
  </r>
  <r>
    <x v="0"/>
    <d v="2022-08-12T00:00:00"/>
    <n v="8"/>
    <x v="32"/>
    <n v="1"/>
    <x v="32"/>
    <s v="Heimat"/>
    <x v="166"/>
    <n v="1"/>
    <n v="13"/>
    <n v="73"/>
    <x v="2"/>
    <s v="Edi hat Obst gebracht"/>
    <m/>
    <m/>
    <m/>
  </r>
  <r>
    <x v="0"/>
    <d v="2022-08-13T00:00:00"/>
    <n v="8"/>
    <x v="32"/>
    <n v="1"/>
    <x v="32"/>
    <s v="Heimat"/>
    <x v="63"/>
    <n v="1"/>
    <n v="47"/>
    <n v="107"/>
    <x v="2"/>
    <m/>
    <m/>
    <m/>
    <m/>
  </r>
  <r>
    <x v="0"/>
    <d v="2022-08-16T00:00:00"/>
    <n v="8"/>
    <x v="32"/>
    <n v="1"/>
    <x v="32"/>
    <s v="Heimat"/>
    <x v="63"/>
    <n v="1"/>
    <n v="34"/>
    <n v="94"/>
    <x v="2"/>
    <m/>
    <m/>
    <m/>
    <m/>
  </r>
  <r>
    <x v="0"/>
    <d v="2022-08-22T00:00:00"/>
    <n v="8"/>
    <x v="32"/>
    <n v="1"/>
    <x v="32"/>
    <s v="Heimat"/>
    <x v="227"/>
    <m/>
    <n v="36"/>
    <n v="36"/>
    <x v="2"/>
    <m/>
    <m/>
    <m/>
    <m/>
  </r>
  <r>
    <x v="0"/>
    <d v="2022-08-24T00:00:00"/>
    <n v="8"/>
    <x v="32"/>
    <n v="1"/>
    <x v="32"/>
    <s v="Motta Naluns"/>
    <x v="92"/>
    <m/>
    <n v="53"/>
    <n v="53"/>
    <x v="2"/>
    <s v="Ernesto"/>
    <m/>
    <m/>
    <m/>
  </r>
  <r>
    <x v="0"/>
    <d v="2022-08-25T00:00:00"/>
    <n v="8"/>
    <x v="32"/>
    <n v="1"/>
    <x v="32"/>
    <s v="Motta Naluns"/>
    <x v="92"/>
    <n v="1"/>
    <n v="8"/>
    <n v="68"/>
    <x v="2"/>
    <s v="Ernesto"/>
    <m/>
    <m/>
    <m/>
  </r>
  <r>
    <x v="0"/>
    <d v="2022-08-28T00:00:00"/>
    <n v="8"/>
    <x v="32"/>
    <n v="1"/>
    <x v="32"/>
    <s v="Heimat"/>
    <x v="342"/>
    <n v="2"/>
    <n v="20"/>
    <n v="140"/>
    <x v="2"/>
    <m/>
    <m/>
    <m/>
    <m/>
  </r>
  <r>
    <x v="0"/>
    <d v="2022-08-29T00:00:00"/>
    <n v="8"/>
    <x v="32"/>
    <n v="1"/>
    <x v="32"/>
    <s v="Heimat"/>
    <x v="63"/>
    <n v="1"/>
    <n v="52"/>
    <n v="112"/>
    <x v="2"/>
    <m/>
    <m/>
    <m/>
    <m/>
  </r>
  <r>
    <x v="0"/>
    <d v="2022-09-03T00:00:00"/>
    <n v="9"/>
    <x v="32"/>
    <n v="1"/>
    <x v="32"/>
    <s v="Sopelana (Bilbao)"/>
    <x v="245"/>
    <m/>
    <n v="35"/>
    <n v="35"/>
    <x v="37"/>
    <m/>
    <m/>
    <m/>
    <m/>
  </r>
  <r>
    <x v="0"/>
    <d v="2022-09-04T00:00:00"/>
    <n v="9"/>
    <x v="32"/>
    <n v="1"/>
    <x v="32"/>
    <s v="Ager Raudoral"/>
    <x v="206"/>
    <n v="1"/>
    <n v="37"/>
    <n v="97"/>
    <x v="37"/>
    <m/>
    <m/>
    <m/>
    <m/>
  </r>
  <r>
    <x v="0"/>
    <d v="2022-09-05T00:00:00"/>
    <n v="9"/>
    <x v="32"/>
    <n v="1"/>
    <x v="32"/>
    <s v="Ager Montsec"/>
    <x v="206"/>
    <n v="1"/>
    <n v="41"/>
    <n v="101"/>
    <x v="37"/>
    <m/>
    <m/>
    <m/>
    <m/>
  </r>
  <r>
    <x v="0"/>
    <d v="2022-09-05T00:00:00"/>
    <n v="9"/>
    <x v="32"/>
    <n v="0"/>
    <x v="32"/>
    <s v="Ager Montsec"/>
    <x v="206"/>
    <n v="1"/>
    <n v="32"/>
    <n v="92"/>
    <x v="37"/>
    <m/>
    <m/>
    <m/>
    <m/>
  </r>
  <r>
    <x v="0"/>
    <d v="2022-09-06T00:00:00"/>
    <n v="9"/>
    <x v="32"/>
    <n v="1"/>
    <x v="32"/>
    <s v="Castejon de SOS (Liri)"/>
    <x v="345"/>
    <n v="1"/>
    <n v="33"/>
    <n v="93"/>
    <x v="37"/>
    <m/>
    <m/>
    <m/>
    <m/>
  </r>
  <r>
    <x v="0"/>
    <d v="2022-09-07T00:00:00"/>
    <n v="9"/>
    <x v="32"/>
    <n v="1"/>
    <x v="32"/>
    <s v="Castejon de SOS (Liri)"/>
    <x v="345"/>
    <m/>
    <n v="38"/>
    <n v="38"/>
    <x v="37"/>
    <m/>
    <m/>
    <m/>
    <m/>
  </r>
  <r>
    <x v="0"/>
    <d v="2022-09-08T00:00:00"/>
    <n v="9"/>
    <x v="32"/>
    <n v="1"/>
    <x v="32"/>
    <s v="Pedro Bernardo W"/>
    <x v="244"/>
    <m/>
    <n v="49"/>
    <n v="49"/>
    <x v="37"/>
    <s v="Letzter Flug Ernesto"/>
    <m/>
    <m/>
    <m/>
  </r>
  <r>
    <x v="0"/>
    <d v="2022-09-09T00:00:00"/>
    <n v="9"/>
    <x v="32"/>
    <n v="1"/>
    <x v="32"/>
    <s v="Piedrahita"/>
    <x v="346"/>
    <n v="2"/>
    <n v="17"/>
    <n v="137"/>
    <x v="37"/>
    <m/>
    <m/>
    <m/>
    <m/>
  </r>
  <r>
    <x v="0"/>
    <d v="2022-09-20T00:00:00"/>
    <n v="9"/>
    <x v="32"/>
    <n v="1"/>
    <x v="32"/>
    <s v="Heimat"/>
    <x v="35"/>
    <n v="1"/>
    <n v="38"/>
    <n v="98"/>
    <x v="2"/>
    <m/>
    <m/>
    <m/>
    <m/>
  </r>
  <r>
    <x v="0"/>
    <d v="2022-09-21T00:00:00"/>
    <n v="9"/>
    <x v="32"/>
    <n v="1"/>
    <x v="32"/>
    <s v="Heimat"/>
    <x v="35"/>
    <n v="1"/>
    <n v="5"/>
    <n v="65"/>
    <x v="2"/>
    <s v="Andrea"/>
    <m/>
    <m/>
    <m/>
  </r>
  <r>
    <x v="0"/>
    <d v="2022-09-22T00:00:00"/>
    <n v="9"/>
    <x v="32"/>
    <n v="1"/>
    <x v="32"/>
    <s v="Heimat"/>
    <x v="35"/>
    <n v="1"/>
    <n v="18"/>
    <n v="78"/>
    <x v="2"/>
    <s v="Andrea"/>
    <m/>
    <m/>
    <m/>
  </r>
  <r>
    <x v="0"/>
    <d v="2022-09-23T00:00:00"/>
    <n v="9"/>
    <x v="32"/>
    <n v="1"/>
    <x v="32"/>
    <s v="Heimat"/>
    <x v="63"/>
    <n v="1"/>
    <n v="2"/>
    <n v="62"/>
    <x v="2"/>
    <s v="Andrea"/>
    <m/>
    <m/>
    <m/>
  </r>
  <r>
    <x v="0"/>
    <d v="2022-10-02T00:00:00"/>
    <n v="10"/>
    <x v="32"/>
    <n v="1"/>
    <x v="32"/>
    <s v="St Vincent Les Forts"/>
    <x v="160"/>
    <m/>
    <n v="20"/>
    <n v="20"/>
    <x v="28"/>
    <m/>
    <m/>
    <m/>
    <m/>
  </r>
  <r>
    <x v="0"/>
    <d v="2022-10-03T00:00:00"/>
    <n v="10"/>
    <x v="32"/>
    <n v="1"/>
    <x v="32"/>
    <s v="Chalves S"/>
    <x v="347"/>
    <n v="1"/>
    <n v="45"/>
    <n v="105"/>
    <x v="28"/>
    <s v="mit Markus"/>
    <m/>
    <m/>
    <m/>
  </r>
  <r>
    <x v="0"/>
    <d v="2022-10-04T00:00:00"/>
    <n v="10"/>
    <x v="32"/>
    <n v="1"/>
    <x v="32"/>
    <s v="Montdenir - Moustiers-Sainte-Marie"/>
    <x v="348"/>
    <n v="1"/>
    <n v="51"/>
    <n v="111"/>
    <x v="28"/>
    <s v="mit Markus"/>
    <m/>
    <m/>
    <m/>
  </r>
  <r>
    <x v="0"/>
    <d v="2022-10-05T00:00:00"/>
    <n v="10"/>
    <x v="32"/>
    <n v="1"/>
    <x v="32"/>
    <s v="Chalves S"/>
    <x v="71"/>
    <n v="3"/>
    <n v="39"/>
    <n v="219"/>
    <x v="28"/>
    <m/>
    <m/>
    <m/>
    <m/>
  </r>
  <r>
    <x v="0"/>
    <d v="2022-10-06T00:00:00"/>
    <n v="10"/>
    <x v="32"/>
    <n v="1"/>
    <x v="32"/>
    <s v="Thorenc_Col de Blein"/>
    <x v="349"/>
    <n v="1"/>
    <n v="32"/>
    <n v="92"/>
    <x v="28"/>
    <m/>
    <m/>
    <m/>
    <m/>
  </r>
  <r>
    <x v="0"/>
    <d v="2022-10-06T00:00:00"/>
    <n v="10"/>
    <x v="32"/>
    <n v="0"/>
    <x v="32"/>
    <s v="Chalves W"/>
    <x v="71"/>
    <n v="1"/>
    <n v="4"/>
    <n v="64"/>
    <x v="28"/>
    <m/>
    <m/>
    <m/>
    <m/>
  </r>
  <r>
    <x v="0"/>
    <d v="2022-10-07T00:00:00"/>
    <n v="10"/>
    <x v="32"/>
    <n v="1"/>
    <x v="32"/>
    <s v="Chalves S"/>
    <x v="350"/>
    <n v="1"/>
    <n v="58"/>
    <n v="118"/>
    <x v="28"/>
    <m/>
    <m/>
    <m/>
    <m/>
  </r>
  <r>
    <x v="0"/>
    <d v="2022-10-11T00:00:00"/>
    <n v="10"/>
    <x v="32"/>
    <n v="1"/>
    <x v="32"/>
    <s v="Heimat"/>
    <x v="63"/>
    <m/>
    <n v="35"/>
    <n v="35"/>
    <x v="2"/>
    <s v="mit Andrea"/>
    <m/>
    <m/>
    <m/>
  </r>
  <r>
    <x v="0"/>
    <d v="2022-10-17T00:00:00"/>
    <n v="10"/>
    <x v="32"/>
    <n v="1"/>
    <x v="32"/>
    <s v="Heimat"/>
    <x v="63"/>
    <m/>
    <n v="43"/>
    <n v="43"/>
    <x v="2"/>
    <m/>
    <m/>
    <m/>
    <m/>
  </r>
  <r>
    <x v="0"/>
    <d v="2022-10-18T00:00:00"/>
    <n v="10"/>
    <x v="32"/>
    <n v="1"/>
    <x v="32"/>
    <s v="Heimat"/>
    <x v="63"/>
    <n v="2"/>
    <n v="19"/>
    <n v="139"/>
    <x v="2"/>
    <m/>
    <m/>
    <m/>
    <m/>
  </r>
  <r>
    <x v="0"/>
    <d v="2022-10-25T00:00:00"/>
    <n v="10"/>
    <x v="32"/>
    <n v="1"/>
    <x v="32"/>
    <s v="Heimat"/>
    <x v="63"/>
    <m/>
    <n v="33"/>
    <n v="33"/>
    <x v="2"/>
    <m/>
    <m/>
    <m/>
    <m/>
  </r>
  <r>
    <x v="0"/>
    <d v="2022-10-29T00:00:00"/>
    <n v="10"/>
    <x v="32"/>
    <n v="1"/>
    <x v="32"/>
    <s v="Heimat"/>
    <x v="63"/>
    <n v="2"/>
    <n v="17"/>
    <n v="137"/>
    <x v="2"/>
    <m/>
    <m/>
    <m/>
    <m/>
  </r>
  <r>
    <x v="0"/>
    <d v="2022-10-30T00:00:00"/>
    <n v="10"/>
    <x v="32"/>
    <n v="1"/>
    <x v="32"/>
    <s v="Heimat"/>
    <x v="227"/>
    <n v="1"/>
    <n v="21"/>
    <n v="81"/>
    <x v="2"/>
    <m/>
    <m/>
    <m/>
    <m/>
  </r>
  <r>
    <x v="0"/>
    <d v="2022-12-18T00:00:00"/>
    <n v="12"/>
    <x v="32"/>
    <n v="1"/>
    <x v="32"/>
    <s v="Heimat"/>
    <x v="63"/>
    <m/>
    <n v="28"/>
    <n v="28"/>
    <x v="2"/>
    <m/>
    <m/>
    <m/>
    <m/>
  </r>
  <r>
    <x v="0"/>
    <d v="2022-12-28T00:00:00"/>
    <n v="12"/>
    <x v="32"/>
    <n v="1"/>
    <x v="32"/>
    <s v="Heimat"/>
    <x v="63"/>
    <m/>
    <n v="56"/>
    <n v="56"/>
    <x v="2"/>
    <m/>
    <m/>
    <m/>
    <m/>
  </r>
  <r>
    <x v="0"/>
    <d v="2023-01-06T00:00:00"/>
    <n v="1"/>
    <x v="33"/>
    <n v="1"/>
    <x v="32"/>
    <s v="Heimat"/>
    <x v="35"/>
    <n v="1"/>
    <n v="49"/>
    <n v="109"/>
    <x v="2"/>
    <m/>
    <m/>
    <m/>
    <m/>
  </r>
  <r>
    <x v="0"/>
    <d v="2023-01-07T00:00:00"/>
    <n v="1"/>
    <x v="33"/>
    <n v="1"/>
    <x v="32"/>
    <s v="Heimat"/>
    <x v="35"/>
    <n v="1"/>
    <n v="8"/>
    <n v="68"/>
    <x v="2"/>
    <m/>
    <m/>
    <m/>
    <m/>
  </r>
  <r>
    <x v="0"/>
    <d v="2023-01-29T00:00:00"/>
    <n v="1"/>
    <x v="33"/>
    <n v="1"/>
    <x v="32"/>
    <s v="Heimat"/>
    <x v="63"/>
    <m/>
    <n v="19"/>
    <n v="19"/>
    <x v="2"/>
    <m/>
    <m/>
    <m/>
    <m/>
  </r>
  <r>
    <x v="0"/>
    <d v="2023-02-16T00:00:00"/>
    <n v="2"/>
    <x v="33"/>
    <n v="1"/>
    <x v="32"/>
    <s v="Heimat"/>
    <x v="35"/>
    <n v="1"/>
    <n v="10"/>
    <n v="70"/>
    <x v="2"/>
    <m/>
    <m/>
    <m/>
    <m/>
  </r>
  <r>
    <x v="0"/>
    <d v="2023-02-20T00:00:00"/>
    <n v="2"/>
    <x v="33"/>
    <n v="1"/>
    <x v="32"/>
    <s v="Heimat"/>
    <x v="63"/>
    <m/>
    <n v="44"/>
    <n v="44"/>
    <x v="2"/>
    <m/>
    <m/>
    <m/>
    <m/>
  </r>
  <r>
    <x v="0"/>
    <d v="2023-02-21T00:00:00"/>
    <n v="2"/>
    <x v="33"/>
    <n v="1"/>
    <x v="32"/>
    <s v="Heimat"/>
    <x v="35"/>
    <n v="1"/>
    <n v="32"/>
    <n v="92"/>
    <x v="2"/>
    <m/>
    <m/>
    <m/>
    <m/>
  </r>
  <r>
    <x v="0"/>
    <d v="2023-02-28T00:00:00"/>
    <n v="2"/>
    <x v="33"/>
    <n v="1"/>
    <x v="32"/>
    <s v="Spikboden"/>
    <x v="351"/>
    <n v="1"/>
    <n v="35"/>
    <n v="95"/>
    <x v="45"/>
    <m/>
    <m/>
    <m/>
    <m/>
  </r>
  <r>
    <x v="0"/>
    <d v="2023-02-28T00:00:00"/>
    <n v="2"/>
    <x v="33"/>
    <n v="0"/>
    <x v="32"/>
    <s v="Ahornach"/>
    <x v="352"/>
    <n v="1"/>
    <n v="42"/>
    <n v="102"/>
    <x v="45"/>
    <m/>
    <m/>
    <m/>
    <m/>
  </r>
  <r>
    <x v="0"/>
    <d v="2023-03-01T00:00:00"/>
    <n v="3"/>
    <x v="33"/>
    <n v="1"/>
    <x v="32"/>
    <s v="Ahornach"/>
    <x v="351"/>
    <m/>
    <n v="9"/>
    <n v="9"/>
    <x v="45"/>
    <m/>
    <m/>
    <m/>
    <m/>
  </r>
  <r>
    <x v="0"/>
    <d v="2023-03-02T00:00:00"/>
    <n v="3"/>
    <x v="33"/>
    <n v="1"/>
    <x v="32"/>
    <s v="Spikboden"/>
    <x v="351"/>
    <m/>
    <n v="42"/>
    <n v="42"/>
    <x v="45"/>
    <m/>
    <m/>
    <m/>
    <m/>
  </r>
  <r>
    <x v="0"/>
    <d v="2023-03-03T00:00:00"/>
    <n v="3"/>
    <x v="33"/>
    <n v="1"/>
    <x v="32"/>
    <s v="Spitzbühel"/>
    <x v="353"/>
    <n v="1"/>
    <n v="41"/>
    <n v="101"/>
    <x v="45"/>
    <m/>
    <m/>
    <m/>
    <m/>
  </r>
  <r>
    <x v="0"/>
    <d v="2023-03-18T00:00:00"/>
    <n v="3"/>
    <x v="33"/>
    <n v="1"/>
    <x v="32"/>
    <s v="Heimat"/>
    <x v="35"/>
    <m/>
    <n v="56"/>
    <n v="56"/>
    <x v="2"/>
    <m/>
    <m/>
    <m/>
    <m/>
  </r>
  <r>
    <x v="0"/>
    <d v="2023-03-20T00:00:00"/>
    <n v="3"/>
    <x v="33"/>
    <n v="1"/>
    <x v="32"/>
    <s v="Heimat"/>
    <x v="166"/>
    <m/>
    <n v="58"/>
    <n v="58"/>
    <x v="2"/>
    <m/>
    <m/>
    <m/>
    <m/>
  </r>
  <r>
    <x v="0"/>
    <d v="2023-03-22T00:00:00"/>
    <n v="3"/>
    <x v="33"/>
    <n v="1"/>
    <x v="32"/>
    <s v="Heimat"/>
    <x v="35"/>
    <n v="1"/>
    <n v="39"/>
    <n v="99"/>
    <x v="2"/>
    <m/>
    <m/>
    <m/>
    <m/>
  </r>
  <r>
    <x v="0"/>
    <d v="2023-03-28T00:00:00"/>
    <n v="3"/>
    <x v="33"/>
    <n v="1"/>
    <x v="32"/>
    <s v="Heimat"/>
    <x v="63"/>
    <m/>
    <n v="32"/>
    <n v="32"/>
    <x v="2"/>
    <m/>
    <m/>
    <m/>
    <m/>
  </r>
  <r>
    <x v="0"/>
    <d v="2023-04-10T00:00:00"/>
    <n v="4"/>
    <x v="33"/>
    <n v="1"/>
    <x v="32"/>
    <s v="Heimat"/>
    <x v="63"/>
    <n v="1"/>
    <n v="43"/>
    <n v="103"/>
    <x v="2"/>
    <m/>
    <m/>
    <m/>
    <m/>
  </r>
  <r>
    <x v="1"/>
    <d v="2023-04-14T00:00:00"/>
    <n v="4"/>
    <x v="33"/>
    <n v="1"/>
    <x v="32"/>
    <s v="San Fermo"/>
    <x v="133"/>
    <m/>
    <n v="9"/>
    <n v="9"/>
    <x v="30"/>
    <m/>
    <m/>
    <m/>
    <m/>
  </r>
  <r>
    <x v="1"/>
    <d v="2023-04-14T00:00:00"/>
    <n v="4"/>
    <x v="33"/>
    <n v="0"/>
    <x v="32"/>
    <s v="San Fermo"/>
    <x v="133"/>
    <m/>
    <n v="22"/>
    <n v="22"/>
    <x v="30"/>
    <m/>
    <m/>
    <m/>
    <m/>
  </r>
  <r>
    <x v="1"/>
    <d v="2023-04-14T00:00:00"/>
    <n v="4"/>
    <x v="33"/>
    <n v="0"/>
    <x v="32"/>
    <s v="San Fermo"/>
    <x v="133"/>
    <m/>
    <n v="30"/>
    <n v="30"/>
    <x v="30"/>
    <m/>
    <m/>
    <m/>
    <m/>
  </r>
  <r>
    <x v="1"/>
    <d v="2023-04-15T00:00:00"/>
    <n v="4"/>
    <x v="33"/>
    <n v="1"/>
    <x v="32"/>
    <s v="San Fermo"/>
    <x v="133"/>
    <m/>
    <n v="8"/>
    <n v="8"/>
    <x v="30"/>
    <m/>
    <m/>
    <m/>
    <m/>
  </r>
  <r>
    <x v="1"/>
    <d v="2023-04-15T00:00:00"/>
    <n v="4"/>
    <x v="33"/>
    <n v="0"/>
    <x v="32"/>
    <s v="San Fermo"/>
    <x v="133"/>
    <m/>
    <n v="17"/>
    <n v="17"/>
    <x v="30"/>
    <m/>
    <m/>
    <m/>
    <m/>
  </r>
  <r>
    <x v="1"/>
    <d v="2023-04-15T00:00:00"/>
    <n v="4"/>
    <x v="33"/>
    <n v="0"/>
    <x v="32"/>
    <s v="San Fermo"/>
    <x v="133"/>
    <m/>
    <n v="18"/>
    <n v="18"/>
    <x v="30"/>
    <m/>
    <m/>
    <m/>
    <m/>
  </r>
  <r>
    <x v="1"/>
    <d v="2023-04-16T00:00:00"/>
    <n v="4"/>
    <x v="33"/>
    <n v="1"/>
    <x v="32"/>
    <s v="San Fermo"/>
    <x v="178"/>
    <m/>
    <n v="51"/>
    <n v="51"/>
    <x v="30"/>
    <m/>
    <m/>
    <m/>
    <m/>
  </r>
  <r>
    <x v="0"/>
    <d v="2023-04-18T00:00:00"/>
    <n v="4"/>
    <x v="33"/>
    <n v="1"/>
    <x v="32"/>
    <s v="Heimat"/>
    <x v="80"/>
    <m/>
    <n v="29"/>
    <n v="29"/>
    <x v="2"/>
    <m/>
    <m/>
    <m/>
    <m/>
  </r>
  <r>
    <x v="0"/>
    <d v="2023-04-19T00:00:00"/>
    <n v="4"/>
    <x v="33"/>
    <n v="1"/>
    <x v="32"/>
    <s v="Heimat"/>
    <x v="63"/>
    <n v="1"/>
    <n v="38"/>
    <n v="98"/>
    <x v="2"/>
    <m/>
    <m/>
    <m/>
    <m/>
  </r>
  <r>
    <x v="0"/>
    <d v="2023-04-21T00:00:00"/>
    <n v="4"/>
    <x v="33"/>
    <n v="1"/>
    <x v="33"/>
    <s v="Hohwald"/>
    <x v="354"/>
    <m/>
    <n v="12"/>
    <n v="12"/>
    <x v="2"/>
    <m/>
    <m/>
    <m/>
    <m/>
  </r>
  <r>
    <x v="1"/>
    <d v="2023-04-23T00:00:00"/>
    <n v="4"/>
    <x v="33"/>
    <n v="1"/>
    <x v="33"/>
    <s v="Allmend"/>
    <x v="355"/>
    <m/>
    <n v="0"/>
    <n v="0"/>
    <x v="46"/>
    <m/>
    <m/>
    <m/>
    <m/>
  </r>
  <r>
    <x v="0"/>
    <d v="2023-04-26T00:00:00"/>
    <n v="4"/>
    <x v="33"/>
    <n v="1"/>
    <x v="33"/>
    <s v="Heimat"/>
    <x v="63"/>
    <n v="1"/>
    <n v="19"/>
    <n v="79"/>
    <x v="47"/>
    <m/>
    <m/>
    <m/>
    <m/>
  </r>
  <r>
    <x v="0"/>
    <d v="2023-04-27T00:00:00"/>
    <n v="4"/>
    <x v="33"/>
    <n v="1"/>
    <x v="33"/>
    <s v="Heimat"/>
    <x v="63"/>
    <n v="1"/>
    <n v="42"/>
    <n v="102"/>
    <x v="47"/>
    <m/>
    <m/>
    <m/>
    <m/>
  </r>
  <r>
    <x v="0"/>
    <d v="2023-04-30T00:00:00"/>
    <n v="4"/>
    <x v="33"/>
    <n v="1"/>
    <x v="33"/>
    <s v="Heimat"/>
    <x v="63"/>
    <m/>
    <n v="14"/>
    <n v="14"/>
    <x v="2"/>
    <m/>
    <m/>
    <m/>
    <m/>
  </r>
  <r>
    <x v="2"/>
    <d v="2023-05-03T00:00:00"/>
    <n v="5"/>
    <x v="33"/>
    <n v="0"/>
    <x v="34"/>
    <s v="Augsburg DE"/>
    <x v="356"/>
    <n v="9"/>
    <n v="0"/>
    <n v="540"/>
    <x v="2"/>
    <s v="Ballonfahrt mit Stefan Zeberli, 1000m3 Wasserstoff (800€), 0450-1350 (9 Std), 16.9 m/s Steigen beim Start, 4500MüM, 60km/h, -13°C, 380 km, 6500 CHF, 1.25x1.25m2 "/>
    <m/>
    <m/>
    <m/>
  </r>
  <r>
    <x v="0"/>
    <d v="2023-05-05T00:00:00"/>
    <n v="5"/>
    <x v="33"/>
    <n v="1"/>
    <x v="33"/>
    <s v="Heimat"/>
    <x v="63"/>
    <n v="1"/>
    <n v="13"/>
    <n v="73"/>
    <x v="2"/>
    <m/>
    <m/>
    <m/>
    <m/>
  </r>
  <r>
    <x v="0"/>
    <d v="2023-05-06T00:00:00"/>
    <n v="5"/>
    <x v="33"/>
    <n v="1"/>
    <x v="33"/>
    <s v="Heimat"/>
    <x v="63"/>
    <n v="1"/>
    <n v="38"/>
    <n v="98"/>
    <x v="2"/>
    <m/>
    <m/>
    <m/>
    <m/>
  </r>
  <r>
    <x v="0"/>
    <d v="2023-05-07T00:00:00"/>
    <n v="5"/>
    <x v="33"/>
    <n v="1"/>
    <x v="33"/>
    <s v="Heimat"/>
    <x v="63"/>
    <m/>
    <n v="25"/>
    <n v="25"/>
    <x v="2"/>
    <m/>
    <m/>
    <m/>
    <m/>
  </r>
  <r>
    <x v="0"/>
    <d v="2023-05-18T00:00:00"/>
    <n v="5"/>
    <x v="33"/>
    <n v="1"/>
    <x v="33"/>
    <s v="Heimat"/>
    <x v="63"/>
    <m/>
    <n v="16"/>
    <n v="16"/>
    <x v="2"/>
    <m/>
    <m/>
    <m/>
    <m/>
  </r>
  <r>
    <x v="0"/>
    <d v="2023-05-19T00:00:00"/>
    <n v="5"/>
    <x v="33"/>
    <n v="1"/>
    <x v="33"/>
    <s v="Heimat"/>
    <x v="63"/>
    <m/>
    <n v="29"/>
    <n v="29"/>
    <x v="2"/>
    <m/>
    <m/>
    <m/>
    <m/>
  </r>
  <r>
    <x v="0"/>
    <d v="2023-05-22T00:00:00"/>
    <n v="5"/>
    <x v="33"/>
    <n v="1"/>
    <x v="33"/>
    <s v="Riederalp"/>
    <x v="63"/>
    <n v="1"/>
    <n v="36"/>
    <n v="96"/>
    <x v="2"/>
    <m/>
    <m/>
    <m/>
    <m/>
  </r>
  <r>
    <x v="0"/>
    <d v="2023-05-23T00:00:00"/>
    <n v="5"/>
    <x v="33"/>
    <n v="1"/>
    <x v="33"/>
    <s v="Riederalp"/>
    <x v="63"/>
    <n v="1"/>
    <n v="13"/>
    <n v="73"/>
    <x v="2"/>
    <s v="Mit Andrea/Peter"/>
    <m/>
    <m/>
    <m/>
  </r>
  <r>
    <x v="0"/>
    <d v="2023-05-26T00:00:00"/>
    <n v="5"/>
    <x v="33"/>
    <n v="1"/>
    <x v="33"/>
    <s v="Heimat"/>
    <x v="63"/>
    <n v="2"/>
    <n v="8"/>
    <n v="128"/>
    <x v="2"/>
    <m/>
    <m/>
    <m/>
    <m/>
  </r>
  <r>
    <x v="0"/>
    <d v="2023-05-27T00:00:00"/>
    <n v="5"/>
    <x v="33"/>
    <n v="1"/>
    <x v="33"/>
    <s v="Galfera"/>
    <x v="63"/>
    <n v="1"/>
    <n v="41"/>
    <n v="101"/>
    <x v="2"/>
    <m/>
    <m/>
    <m/>
    <m/>
  </r>
  <r>
    <x v="0"/>
    <d v="2023-05-28T00:00:00"/>
    <n v="5"/>
    <x v="33"/>
    <n v="1"/>
    <x v="33"/>
    <s v="Galfera"/>
    <x v="35"/>
    <n v="1"/>
    <n v="6"/>
    <n v="66"/>
    <x v="2"/>
    <m/>
    <m/>
    <m/>
    <m/>
  </r>
  <r>
    <x v="0"/>
    <d v="2023-06-01T00:00:00"/>
    <n v="6"/>
    <x v="33"/>
    <n v="1"/>
    <x v="33"/>
    <s v="Stierenberg"/>
    <x v="357"/>
    <m/>
    <n v="43"/>
    <n v="43"/>
    <x v="2"/>
    <s v="mit Roli"/>
    <m/>
    <m/>
    <m/>
  </r>
  <r>
    <x v="0"/>
    <d v="2023-06-04T00:00:00"/>
    <n v="6"/>
    <x v="33"/>
    <n v="1"/>
    <x v="33"/>
    <s v="Praia de Gralha"/>
    <x v="275"/>
    <m/>
    <n v="16"/>
    <n v="16"/>
    <x v="23"/>
    <m/>
    <m/>
    <m/>
    <m/>
  </r>
  <r>
    <x v="0"/>
    <d v="2023-06-04T00:00:00"/>
    <n v="6"/>
    <x v="33"/>
    <n v="0"/>
    <x v="33"/>
    <s v="Praia de Gralha"/>
    <x v="275"/>
    <m/>
    <n v="24"/>
    <n v="24"/>
    <x v="23"/>
    <m/>
    <m/>
    <m/>
    <m/>
  </r>
  <r>
    <x v="0"/>
    <d v="2023-06-04T00:00:00"/>
    <n v="6"/>
    <x v="33"/>
    <n v="0"/>
    <x v="33"/>
    <s v="Praia de Gralha"/>
    <x v="275"/>
    <m/>
    <n v="17"/>
    <n v="17"/>
    <x v="23"/>
    <m/>
    <m/>
    <m/>
    <m/>
  </r>
  <r>
    <x v="0"/>
    <d v="2023-06-05T00:00:00"/>
    <n v="6"/>
    <x v="33"/>
    <n v="1"/>
    <x v="33"/>
    <s v="Linhares"/>
    <x v="136"/>
    <n v="1"/>
    <n v="1"/>
    <n v="61"/>
    <x v="23"/>
    <m/>
    <m/>
    <m/>
    <m/>
  </r>
  <r>
    <x v="0"/>
    <d v="2023-06-05T00:00:00"/>
    <n v="6"/>
    <x v="33"/>
    <n v="0"/>
    <x v="33"/>
    <s v="Linhares"/>
    <x v="136"/>
    <m/>
    <n v="12"/>
    <n v="12"/>
    <x v="23"/>
    <m/>
    <m/>
    <m/>
    <m/>
  </r>
  <r>
    <x v="0"/>
    <d v="2023-06-05T00:00:00"/>
    <n v="6"/>
    <x v="33"/>
    <n v="0"/>
    <x v="33"/>
    <s v="Linhares"/>
    <x v="136"/>
    <m/>
    <n v="28"/>
    <n v="28"/>
    <x v="23"/>
    <m/>
    <m/>
    <m/>
    <m/>
  </r>
  <r>
    <x v="0"/>
    <d v="2023-06-06T00:00:00"/>
    <n v="6"/>
    <x v="33"/>
    <n v="1"/>
    <x v="33"/>
    <s v="Praia de Gralha"/>
    <x v="275"/>
    <m/>
    <n v="5"/>
    <n v="5"/>
    <x v="23"/>
    <m/>
    <m/>
    <m/>
    <m/>
  </r>
  <r>
    <x v="0"/>
    <d v="2023-06-08T00:00:00"/>
    <n v="6"/>
    <x v="33"/>
    <n v="1"/>
    <x v="33"/>
    <s v="Matalascanas"/>
    <x v="358"/>
    <m/>
    <n v="49"/>
    <n v="49"/>
    <x v="23"/>
    <m/>
    <m/>
    <m/>
    <m/>
  </r>
  <r>
    <x v="0"/>
    <d v="2023-06-09T00:00:00"/>
    <n v="6"/>
    <x v="33"/>
    <n v="1"/>
    <x v="33"/>
    <s v="Matalascanas"/>
    <x v="358"/>
    <n v="2"/>
    <n v="13"/>
    <n v="133"/>
    <x v="23"/>
    <m/>
    <m/>
    <m/>
    <m/>
  </r>
  <r>
    <x v="0"/>
    <d v="2023-06-10T00:00:00"/>
    <n v="6"/>
    <x v="33"/>
    <n v="1"/>
    <x v="33"/>
    <s v="Castelo de Vide"/>
    <x v="359"/>
    <m/>
    <n v="36"/>
    <n v="36"/>
    <x v="23"/>
    <m/>
    <m/>
    <m/>
    <m/>
  </r>
  <r>
    <x v="0"/>
    <d v="2023-06-16T00:00:00"/>
    <n v="6"/>
    <x v="33"/>
    <n v="1"/>
    <x v="33"/>
    <s v="Klabiniai"/>
    <x v="360"/>
    <m/>
    <n v="10"/>
    <n v="10"/>
    <x v="36"/>
    <m/>
    <m/>
    <m/>
    <m/>
  </r>
  <r>
    <x v="0"/>
    <d v="2023-06-16T00:00:00"/>
    <n v="6"/>
    <x v="33"/>
    <n v="0"/>
    <x v="33"/>
    <s v="Klabiniai"/>
    <x v="360"/>
    <m/>
    <n v="18"/>
    <n v="18"/>
    <x v="36"/>
    <m/>
    <m/>
    <m/>
    <m/>
  </r>
  <r>
    <x v="0"/>
    <d v="2023-06-17T00:00:00"/>
    <n v="6"/>
    <x v="33"/>
    <n v="1"/>
    <x v="33"/>
    <s v="Medeisiai"/>
    <x v="361"/>
    <n v="1"/>
    <n v="43"/>
    <n v="103"/>
    <x v="36"/>
    <m/>
    <m/>
    <m/>
    <m/>
  </r>
  <r>
    <x v="0"/>
    <d v="2023-06-18T00:00:00"/>
    <n v="6"/>
    <x v="33"/>
    <n v="1"/>
    <x v="33"/>
    <s v="Daugavpils"/>
    <x v="362"/>
    <n v="1"/>
    <n v="3"/>
    <n v="63"/>
    <x v="36"/>
    <m/>
    <m/>
    <m/>
    <m/>
  </r>
  <r>
    <x v="0"/>
    <d v="2023-06-19T00:00:00"/>
    <n v="6"/>
    <x v="33"/>
    <n v="1"/>
    <x v="33"/>
    <s v="Daugavpils"/>
    <x v="362"/>
    <m/>
    <n v="12"/>
    <n v="12"/>
    <x v="36"/>
    <m/>
    <m/>
    <m/>
    <m/>
  </r>
  <r>
    <x v="0"/>
    <d v="2023-06-19T00:00:00"/>
    <n v="6"/>
    <x v="33"/>
    <n v="0"/>
    <x v="33"/>
    <s v="Daugavpils"/>
    <x v="362"/>
    <m/>
    <n v="13"/>
    <n v="13"/>
    <x v="36"/>
    <m/>
    <m/>
    <m/>
    <m/>
  </r>
  <r>
    <x v="0"/>
    <d v="2023-06-20T00:00:00"/>
    <n v="6"/>
    <x v="33"/>
    <n v="1"/>
    <x v="33"/>
    <s v="Gulbene"/>
    <x v="363"/>
    <n v="5"/>
    <n v="42"/>
    <n v="342"/>
    <x v="36"/>
    <m/>
    <m/>
    <m/>
    <m/>
  </r>
  <r>
    <x v="0"/>
    <d v="2023-06-21T00:00:00"/>
    <n v="6"/>
    <x v="33"/>
    <n v="1"/>
    <x v="33"/>
    <s v="Gulbene"/>
    <x v="364"/>
    <n v="4"/>
    <n v="29"/>
    <n v="269"/>
    <x v="36"/>
    <m/>
    <m/>
    <m/>
    <m/>
  </r>
  <r>
    <x v="0"/>
    <d v="2023-06-22T00:00:00"/>
    <n v="6"/>
    <x v="33"/>
    <n v="1"/>
    <x v="33"/>
    <s v="Dreverna"/>
    <x v="365"/>
    <m/>
    <n v="7"/>
    <n v="7"/>
    <x v="36"/>
    <s v="Bootschlepp durch die Wolken"/>
    <m/>
    <m/>
    <m/>
  </r>
  <r>
    <x v="0"/>
    <d v="2023-06-23T00:00:00"/>
    <n v="6"/>
    <x v="33"/>
    <n v="1"/>
    <x v="33"/>
    <s v="Miegenai"/>
    <x v="366"/>
    <n v="3"/>
    <n v="30"/>
    <n v="210"/>
    <x v="36"/>
    <m/>
    <m/>
    <m/>
    <m/>
  </r>
  <r>
    <x v="0"/>
    <d v="2023-06-28T00:00:00"/>
    <n v="6"/>
    <x v="33"/>
    <n v="1"/>
    <x v="33"/>
    <s v="Heimat"/>
    <x v="63"/>
    <m/>
    <n v="16"/>
    <n v="16"/>
    <x v="2"/>
    <m/>
    <m/>
    <m/>
    <m/>
  </r>
  <r>
    <x v="0"/>
    <d v="2023-06-28T00:00:00"/>
    <n v="6"/>
    <x v="33"/>
    <n v="0"/>
    <x v="33"/>
    <s v="Heimat"/>
    <x v="185"/>
    <m/>
    <n v="56"/>
    <n v="56"/>
    <x v="2"/>
    <m/>
    <m/>
    <m/>
    <m/>
  </r>
  <r>
    <x v="0"/>
    <d v="2023-06-29T00:00:00"/>
    <n v="6"/>
    <x v="33"/>
    <n v="1"/>
    <x v="33"/>
    <s v="Heimat"/>
    <x v="35"/>
    <m/>
    <n v="41"/>
    <n v="41"/>
    <x v="2"/>
    <m/>
    <m/>
    <m/>
    <m/>
  </r>
  <r>
    <x v="0"/>
    <d v="2023-07-04T00:00:00"/>
    <n v="7"/>
    <x v="33"/>
    <n v="1"/>
    <x v="33"/>
    <s v="Heimat"/>
    <x v="35"/>
    <n v="1"/>
    <n v="1"/>
    <n v="61"/>
    <x v="2"/>
    <m/>
    <m/>
    <m/>
    <m/>
  </r>
  <r>
    <x v="0"/>
    <d v="2023-07-07T00:00:00"/>
    <n v="7"/>
    <x v="33"/>
    <n v="1"/>
    <x v="33"/>
    <s v="Galfera"/>
    <x v="35"/>
    <n v="2"/>
    <n v="0"/>
    <n v="120"/>
    <x v="2"/>
    <s v="Andrea Gletscher, Samantha"/>
    <m/>
    <m/>
    <m/>
  </r>
  <r>
    <x v="0"/>
    <d v="2023-07-09T00:00:00"/>
    <n v="7"/>
    <x v="33"/>
    <n v="1"/>
    <x v="33"/>
    <s v="Galfera"/>
    <x v="367"/>
    <n v="3"/>
    <n v="26"/>
    <n v="206"/>
    <x v="2"/>
    <s v="Andrea"/>
    <m/>
    <m/>
    <m/>
  </r>
  <r>
    <x v="0"/>
    <d v="2023-07-10T00:00:00"/>
    <n v="7"/>
    <x v="33"/>
    <n v="1"/>
    <x v="33"/>
    <s v="Galfera"/>
    <x v="63"/>
    <n v="1"/>
    <n v="4"/>
    <n v="64"/>
    <x v="2"/>
    <s v="Andrea"/>
    <m/>
    <m/>
    <m/>
  </r>
  <r>
    <x v="0"/>
    <d v="2023-07-11T00:00:00"/>
    <n v="7"/>
    <x v="33"/>
    <n v="1"/>
    <x v="33"/>
    <s v="Heimat"/>
    <x v="35"/>
    <n v="1"/>
    <n v="13"/>
    <n v="73"/>
    <x v="2"/>
    <m/>
    <m/>
    <m/>
    <m/>
  </r>
  <r>
    <x v="0"/>
    <d v="2023-07-20T00:00:00"/>
    <n v="7"/>
    <x v="33"/>
    <n v="1"/>
    <x v="33"/>
    <s v="Heimat"/>
    <x v="35"/>
    <n v="1"/>
    <n v="27"/>
    <n v="87"/>
    <x v="2"/>
    <m/>
    <m/>
    <m/>
    <m/>
  </r>
  <r>
    <x v="0"/>
    <d v="2023-07-22T00:00:00"/>
    <n v="7"/>
    <x v="33"/>
    <n v="1"/>
    <x v="33"/>
    <s v="Heimat"/>
    <x v="63"/>
    <m/>
    <n v="45"/>
    <n v="45"/>
    <x v="2"/>
    <m/>
    <m/>
    <m/>
    <m/>
  </r>
  <r>
    <x v="0"/>
    <d v="2023-07-27T00:00:00"/>
    <n v="7"/>
    <x v="33"/>
    <n v="1"/>
    <x v="33"/>
    <s v="Heimat"/>
    <x v="35"/>
    <n v="1"/>
    <n v="33"/>
    <n v="93"/>
    <x v="2"/>
    <m/>
    <m/>
    <m/>
    <m/>
  </r>
  <r>
    <x v="0"/>
    <d v="2023-07-28T00:00:00"/>
    <n v="7"/>
    <x v="33"/>
    <n v="1"/>
    <x v="33"/>
    <s v="Heimat"/>
    <x v="35"/>
    <n v="1"/>
    <n v="0"/>
    <n v="60"/>
    <x v="2"/>
    <m/>
    <m/>
    <m/>
    <m/>
  </r>
  <r>
    <x v="0"/>
    <d v="2023-07-31T00:00:00"/>
    <n v="7"/>
    <x v="33"/>
    <n v="1"/>
    <x v="33"/>
    <s v="Heimat"/>
    <x v="227"/>
    <n v="1"/>
    <n v="23"/>
    <n v="83"/>
    <x v="2"/>
    <s v="Andrea, mit Mathieu, Karin"/>
    <m/>
    <m/>
    <m/>
  </r>
  <r>
    <x v="0"/>
    <d v="2023-08-04T00:00:00"/>
    <n v="8"/>
    <x v="33"/>
    <n v="1"/>
    <x v="33"/>
    <s v="Heimat"/>
    <x v="35"/>
    <m/>
    <n v="53"/>
    <n v="53"/>
    <x v="2"/>
    <m/>
    <m/>
    <m/>
    <m/>
  </r>
  <r>
    <x v="0"/>
    <d v="2023-08-08T00:00:00"/>
    <n v="8"/>
    <x v="33"/>
    <n v="1"/>
    <x v="33"/>
    <s v="Heimat"/>
    <x v="63"/>
    <m/>
    <n v="46"/>
    <n v="46"/>
    <x v="2"/>
    <m/>
    <m/>
    <m/>
    <m/>
  </r>
  <r>
    <x v="0"/>
    <d v="2023-08-09T00:00:00"/>
    <n v="8"/>
    <x v="33"/>
    <n v="1"/>
    <x v="33"/>
    <s v="Heimat"/>
    <x v="63"/>
    <m/>
    <n v="36"/>
    <n v="36"/>
    <x v="2"/>
    <m/>
    <m/>
    <m/>
    <m/>
  </r>
  <r>
    <x v="0"/>
    <d v="2023-08-10T00:00:00"/>
    <n v="8"/>
    <x v="33"/>
    <n v="1"/>
    <x v="33"/>
    <s v="Galfera"/>
    <x v="35"/>
    <n v="1"/>
    <n v="10"/>
    <n v="70"/>
    <x v="2"/>
    <s v="Andrea"/>
    <m/>
    <m/>
    <m/>
  </r>
  <r>
    <x v="0"/>
    <d v="2023-08-11T00:00:00"/>
    <n v="8"/>
    <x v="33"/>
    <n v="1"/>
    <x v="33"/>
    <s v="Galfera"/>
    <x v="368"/>
    <n v="4"/>
    <n v="56"/>
    <n v="296"/>
    <x v="2"/>
    <s v="Andrea"/>
    <m/>
    <m/>
    <m/>
  </r>
  <r>
    <x v="0"/>
    <d v="2023-08-12T00:00:00"/>
    <n v="8"/>
    <x v="33"/>
    <n v="1"/>
    <x v="33"/>
    <s v="Steibenkreuz"/>
    <x v="35"/>
    <n v="2"/>
    <n v="1"/>
    <n v="121"/>
    <x v="2"/>
    <s v="Samantha, Bruno"/>
    <m/>
    <m/>
    <m/>
  </r>
  <r>
    <x v="0"/>
    <d v="2023-08-13T00:00:00"/>
    <n v="8"/>
    <x v="33"/>
    <n v="1"/>
    <x v="33"/>
    <s v="Steibenkreuz"/>
    <x v="227"/>
    <n v="2"/>
    <n v="20"/>
    <n v="140"/>
    <x v="2"/>
    <s v="Samantha, Bruno"/>
    <m/>
    <m/>
    <m/>
  </r>
  <r>
    <x v="0"/>
    <d v="2023-08-14T00:00:00"/>
    <n v="8"/>
    <x v="33"/>
    <n v="1"/>
    <x v="33"/>
    <s v="Steibenkreuz"/>
    <x v="227"/>
    <m/>
    <n v="33"/>
    <n v="33"/>
    <x v="2"/>
    <m/>
    <m/>
    <m/>
    <m/>
  </r>
  <r>
    <x v="0"/>
    <d v="2023-08-15T00:00:00"/>
    <n v="8"/>
    <x v="33"/>
    <n v="1"/>
    <x v="33"/>
    <s v="Steibenkreuz"/>
    <x v="35"/>
    <n v="1"/>
    <n v="27"/>
    <n v="87"/>
    <x v="2"/>
    <m/>
    <m/>
    <m/>
    <m/>
  </r>
  <r>
    <x v="0"/>
    <d v="2023-08-18T00:00:00"/>
    <n v="8"/>
    <x v="33"/>
    <n v="1"/>
    <x v="33"/>
    <s v="Steibenkreuz"/>
    <x v="35"/>
    <n v="1"/>
    <n v="32"/>
    <n v="92"/>
    <x v="2"/>
    <m/>
    <m/>
    <m/>
    <m/>
  </r>
  <r>
    <x v="0"/>
    <d v="2023-08-19T00:00:00"/>
    <n v="8"/>
    <x v="33"/>
    <n v="1"/>
    <x v="33"/>
    <s v="Galfera"/>
    <x v="63"/>
    <n v="1"/>
    <n v="31"/>
    <n v="91"/>
    <x v="2"/>
    <m/>
    <m/>
    <m/>
    <m/>
  </r>
  <r>
    <x v="0"/>
    <d v="2023-08-21T00:00:00"/>
    <n v="8"/>
    <x v="33"/>
    <n v="1"/>
    <x v="33"/>
    <s v="Galfera"/>
    <x v="63"/>
    <m/>
    <n v="13"/>
    <n v="13"/>
    <x v="2"/>
    <s v="Ernesto/Anne Marie Essen"/>
    <m/>
    <m/>
    <m/>
  </r>
  <r>
    <x v="0"/>
    <d v="2023-08-21T00:00:00"/>
    <n v="8"/>
    <x v="33"/>
    <n v="0"/>
    <x v="33"/>
    <s v="Cret du Midi"/>
    <x v="369"/>
    <m/>
    <n v="30"/>
    <n v="30"/>
    <x v="2"/>
    <s v="FG Aletsch Fondue"/>
    <m/>
    <m/>
    <m/>
  </r>
  <r>
    <x v="0"/>
    <d v="2023-08-21T00:00:00"/>
    <n v="8"/>
    <x v="33"/>
    <n v="0"/>
    <x v="33"/>
    <s v="Becs de Bosson"/>
    <x v="109"/>
    <m/>
    <n v="48"/>
    <n v="48"/>
    <x v="2"/>
    <m/>
    <m/>
    <m/>
    <m/>
  </r>
  <r>
    <x v="0"/>
    <d v="2023-08-22T00:00:00"/>
    <n v="8"/>
    <x v="33"/>
    <n v="1"/>
    <x v="33"/>
    <s v="Steibenkreuz"/>
    <x v="370"/>
    <n v="2"/>
    <n v="14"/>
    <n v="134"/>
    <x v="2"/>
    <m/>
    <m/>
    <m/>
    <m/>
  </r>
  <r>
    <x v="0"/>
    <d v="2023-08-23T00:00:00"/>
    <n v="8"/>
    <x v="33"/>
    <n v="1"/>
    <x v="33"/>
    <s v="Steibenkreuz"/>
    <x v="35"/>
    <n v="1"/>
    <n v="11"/>
    <n v="71"/>
    <x v="2"/>
    <m/>
    <m/>
    <m/>
    <m/>
  </r>
  <r>
    <x v="0"/>
    <d v="2023-08-24T00:00:00"/>
    <n v="8"/>
    <x v="33"/>
    <n v="1"/>
    <x v="33"/>
    <s v="Heimat"/>
    <x v="63"/>
    <n v="1"/>
    <n v="53"/>
    <n v="113"/>
    <x v="2"/>
    <m/>
    <m/>
    <m/>
    <m/>
  </r>
  <r>
    <x v="0"/>
    <d v="2023-09-04T00:00:00"/>
    <n v="9"/>
    <x v="33"/>
    <n v="1"/>
    <x v="33"/>
    <s v="Berga Primera Mari"/>
    <x v="371"/>
    <n v="1"/>
    <m/>
    <n v="60"/>
    <x v="32"/>
    <m/>
    <m/>
    <m/>
    <m/>
  </r>
  <r>
    <x v="0"/>
    <d v="2023-09-05T00:00:00"/>
    <n v="9"/>
    <x v="33"/>
    <n v="1"/>
    <x v="33"/>
    <s v="Berga Serrat de la Figuera"/>
    <x v="372"/>
    <n v="2"/>
    <n v="13"/>
    <n v="133"/>
    <x v="32"/>
    <m/>
    <m/>
    <m/>
    <m/>
  </r>
  <r>
    <x v="0"/>
    <d v="2023-09-06T00:00:00"/>
    <n v="9"/>
    <x v="33"/>
    <n v="1"/>
    <x v="33"/>
    <s v="Ager Monsec d'Ares"/>
    <x v="207"/>
    <n v="3"/>
    <n v="2"/>
    <n v="182"/>
    <x v="32"/>
    <m/>
    <m/>
    <m/>
    <m/>
  </r>
  <r>
    <x v="0"/>
    <d v="2023-09-07T00:00:00"/>
    <n v="9"/>
    <x v="33"/>
    <n v="1"/>
    <x v="33"/>
    <s v="Castejon de SOS (Liri)"/>
    <x v="208"/>
    <n v="1"/>
    <n v="29"/>
    <n v="89"/>
    <x v="32"/>
    <m/>
    <m/>
    <m/>
    <m/>
  </r>
  <r>
    <x v="0"/>
    <d v="2023-09-07T00:00:00"/>
    <n v="9"/>
    <x v="33"/>
    <n v="0"/>
    <x v="33"/>
    <s v="Castejon de SOS (Liri)"/>
    <x v="209"/>
    <m/>
    <n v="52"/>
    <n v="52"/>
    <x v="32"/>
    <m/>
    <m/>
    <m/>
    <m/>
  </r>
  <r>
    <x v="0"/>
    <d v="2023-09-08T00:00:00"/>
    <n v="9"/>
    <x v="33"/>
    <n v="1"/>
    <x v="33"/>
    <s v="Loarre"/>
    <x v="373"/>
    <m/>
    <n v="21"/>
    <n v="21"/>
    <x v="32"/>
    <m/>
    <m/>
    <m/>
    <m/>
  </r>
  <r>
    <x v="0"/>
    <d v="2023-09-08T00:00:00"/>
    <n v="9"/>
    <x v="33"/>
    <n v="0"/>
    <x v="33"/>
    <s v="Loarre"/>
    <x v="374"/>
    <m/>
    <n v="43"/>
    <n v="43"/>
    <x v="32"/>
    <m/>
    <m/>
    <m/>
    <m/>
  </r>
  <r>
    <x v="0"/>
    <d v="2023-09-10T00:00:00"/>
    <n v="9"/>
    <x v="33"/>
    <n v="1"/>
    <x v="33"/>
    <s v="Barcina de los Mon"/>
    <x v="375"/>
    <m/>
    <n v="14"/>
    <n v="14"/>
    <x v="32"/>
    <m/>
    <m/>
    <m/>
    <m/>
  </r>
  <r>
    <x v="0"/>
    <d v="2023-09-10T00:00:00"/>
    <n v="9"/>
    <x v="33"/>
    <n v="0"/>
    <x v="33"/>
    <s v="Barcina de los Mon"/>
    <x v="376"/>
    <m/>
    <n v="46"/>
    <n v="46"/>
    <x v="32"/>
    <m/>
    <m/>
    <m/>
    <m/>
  </r>
  <r>
    <x v="0"/>
    <d v="2023-09-12T00:00:00"/>
    <n v="9"/>
    <x v="33"/>
    <n v="1"/>
    <x v="33"/>
    <s v="Piedrehita Pena Negra"/>
    <x v="377"/>
    <n v="3"/>
    <n v="13"/>
    <n v="193"/>
    <x v="37"/>
    <m/>
    <m/>
    <m/>
    <m/>
  </r>
  <r>
    <x v="0"/>
    <d v="2023-09-13T00:00:00"/>
    <n v="9"/>
    <x v="33"/>
    <n v="1"/>
    <x v="33"/>
    <s v="Pedro Bernardo East"/>
    <x v="378"/>
    <n v="4"/>
    <n v="15"/>
    <n v="255"/>
    <x v="37"/>
    <m/>
    <m/>
    <m/>
    <m/>
  </r>
  <r>
    <x v="0"/>
    <d v="2023-09-14T00:00:00"/>
    <n v="9"/>
    <x v="33"/>
    <n v="1"/>
    <x v="33"/>
    <s v="Pedro Bernardo East"/>
    <x v="244"/>
    <m/>
    <n v="26"/>
    <n v="26"/>
    <x v="37"/>
    <m/>
    <m/>
    <m/>
    <m/>
  </r>
  <r>
    <x v="0"/>
    <d v="2023-09-15T00:00:00"/>
    <n v="9"/>
    <x v="33"/>
    <n v="1"/>
    <x v="33"/>
    <s v="Cebreros Avila"/>
    <x v="379"/>
    <m/>
    <n v="23"/>
    <n v="23"/>
    <x v="37"/>
    <m/>
    <m/>
    <m/>
    <m/>
  </r>
  <r>
    <x v="0"/>
    <d v="2023-09-20T00:00:00"/>
    <n v="9"/>
    <x v="33"/>
    <n v="1"/>
    <x v="33"/>
    <s v="Heimat"/>
    <x v="35"/>
    <m/>
    <n v="42"/>
    <n v="42"/>
    <x v="2"/>
    <m/>
    <m/>
    <m/>
    <m/>
  </r>
  <r>
    <x v="0"/>
    <d v="2023-09-24T00:00:00"/>
    <n v="9"/>
    <x v="33"/>
    <n v="1"/>
    <x v="33"/>
    <s v="Heimat"/>
    <x v="63"/>
    <n v="1"/>
    <n v="4"/>
    <n v="64"/>
    <x v="2"/>
    <m/>
    <m/>
    <m/>
    <m/>
  </r>
  <r>
    <x v="0"/>
    <d v="2023-09-25T00:00:00"/>
    <n v="9"/>
    <x v="33"/>
    <n v="1"/>
    <x v="33"/>
    <s v="Heimat"/>
    <x v="63"/>
    <m/>
    <n v="43"/>
    <n v="43"/>
    <x v="2"/>
    <m/>
    <m/>
    <m/>
    <m/>
  </r>
  <r>
    <x v="0"/>
    <d v="2023-09-28T00:00:00"/>
    <n v="9"/>
    <x v="33"/>
    <n v="1"/>
    <x v="26"/>
    <s v="Messersee"/>
    <x v="380"/>
    <m/>
    <n v="7"/>
    <n v="7"/>
    <x v="2"/>
    <s v="Geisspass"/>
    <m/>
    <m/>
    <m/>
  </r>
  <r>
    <x v="0"/>
    <d v="2023-09-30T00:00:00"/>
    <n v="9"/>
    <x v="33"/>
    <n v="1"/>
    <x v="33"/>
    <s v="Courtet"/>
    <x v="381"/>
    <m/>
    <n v="59"/>
    <n v="59"/>
    <x v="48"/>
    <m/>
    <m/>
    <m/>
    <m/>
  </r>
  <r>
    <x v="0"/>
    <d v="2023-10-01T00:00:00"/>
    <n v="10"/>
    <x v="33"/>
    <n v="1"/>
    <x v="33"/>
    <s v="Les Richards"/>
    <x v="382"/>
    <n v="1"/>
    <n v="52"/>
    <n v="112"/>
    <x v="48"/>
    <m/>
    <m/>
    <m/>
    <m/>
  </r>
  <r>
    <x v="0"/>
    <d v="2023-10-02T00:00:00"/>
    <n v="10"/>
    <x v="33"/>
    <n v="1"/>
    <x v="33"/>
    <s v="Puy Aillaud"/>
    <x v="383"/>
    <n v="2"/>
    <n v="35"/>
    <n v="155"/>
    <x v="48"/>
    <m/>
    <m/>
    <m/>
    <m/>
  </r>
  <r>
    <x v="0"/>
    <d v="2023-10-03T00:00:00"/>
    <n v="10"/>
    <x v="33"/>
    <n v="1"/>
    <x v="33"/>
    <s v="St Vincent Les Forts"/>
    <x v="160"/>
    <m/>
    <n v="26"/>
    <n v="26"/>
    <x v="48"/>
    <m/>
    <m/>
    <m/>
    <m/>
  </r>
  <r>
    <x v="0"/>
    <d v="2023-10-03T00:00:00"/>
    <n v="10"/>
    <x v="33"/>
    <n v="0"/>
    <x v="33"/>
    <s v="St Vincent Les Forts"/>
    <x v="160"/>
    <m/>
    <n v="27"/>
    <n v="27"/>
    <x v="48"/>
    <m/>
    <m/>
    <m/>
    <m/>
  </r>
  <r>
    <x v="0"/>
    <d v="2023-10-04T00:00:00"/>
    <n v="10"/>
    <x v="33"/>
    <n v="1"/>
    <x v="33"/>
    <s v="Chalves S"/>
    <x v="71"/>
    <n v="4"/>
    <n v="18"/>
    <n v="258"/>
    <x v="48"/>
    <m/>
    <m/>
    <m/>
    <m/>
  </r>
  <r>
    <x v="0"/>
    <d v="2023-10-05T00:00:00"/>
    <n v="10"/>
    <x v="33"/>
    <n v="1"/>
    <x v="33"/>
    <s v="Chalves S"/>
    <x v="71"/>
    <n v="2"/>
    <n v="30"/>
    <n v="150"/>
    <x v="48"/>
    <m/>
    <m/>
    <m/>
    <m/>
  </r>
  <r>
    <x v="0"/>
    <d v="2023-10-06T00:00:00"/>
    <n v="10"/>
    <x v="33"/>
    <n v="1"/>
    <x v="33"/>
    <s v="Montdenir - Moustiers-Sainte-Marie"/>
    <x v="213"/>
    <n v="2"/>
    <n v="38"/>
    <n v="158"/>
    <x v="48"/>
    <m/>
    <m/>
    <m/>
    <m/>
  </r>
  <r>
    <x v="0"/>
    <d v="2023-10-08T00:00:00"/>
    <n v="10"/>
    <x v="33"/>
    <n v="1"/>
    <x v="33"/>
    <s v="Heimat"/>
    <x v="227"/>
    <n v="1"/>
    <n v="37"/>
    <n v="97"/>
    <x v="2"/>
    <m/>
    <m/>
    <m/>
    <m/>
  </r>
  <r>
    <x v="0"/>
    <d v="2023-10-09T00:00:00"/>
    <n v="10"/>
    <x v="33"/>
    <n v="1"/>
    <x v="33"/>
    <s v="Heimat"/>
    <x v="63"/>
    <m/>
    <n v="53"/>
    <n v="53"/>
    <x v="2"/>
    <m/>
    <m/>
    <m/>
    <m/>
  </r>
  <r>
    <x v="0"/>
    <d v="2023-10-10T00:00:00"/>
    <n v="10"/>
    <x v="33"/>
    <n v="1"/>
    <x v="33"/>
    <s v="Heimat"/>
    <x v="35"/>
    <n v="1"/>
    <n v="17"/>
    <n v="77"/>
    <x v="2"/>
    <m/>
    <m/>
    <m/>
    <m/>
  </r>
  <r>
    <x v="0"/>
    <d v="2023-10-11T00:00:00"/>
    <n v="10"/>
    <x v="33"/>
    <n v="1"/>
    <x v="33"/>
    <s v="Heimat"/>
    <x v="35"/>
    <n v="1"/>
    <n v="40"/>
    <n v="100"/>
    <x v="2"/>
    <m/>
    <m/>
    <m/>
    <m/>
  </r>
  <r>
    <x v="0"/>
    <d v="2023-10-12T00:00:00"/>
    <n v="10"/>
    <x v="33"/>
    <n v="1"/>
    <x v="33"/>
    <s v="Heimat"/>
    <x v="227"/>
    <m/>
    <n v="33"/>
    <n v="33"/>
    <x v="2"/>
    <m/>
    <m/>
    <m/>
    <m/>
  </r>
  <r>
    <x v="0"/>
    <d v="2023-10-21T00:00:00"/>
    <n v="10"/>
    <x v="33"/>
    <n v="1"/>
    <x v="26"/>
    <s v="Heimat"/>
    <x v="63"/>
    <m/>
    <n v="10"/>
    <n v="10"/>
    <x v="2"/>
    <s v="Startplatz räumen"/>
    <m/>
    <m/>
    <m/>
  </r>
  <r>
    <x v="0"/>
    <d v="2023-10-22T00:00:00"/>
    <n v="10"/>
    <x v="33"/>
    <n v="1"/>
    <x v="33"/>
    <s v="Heimat"/>
    <x v="227"/>
    <n v="1"/>
    <n v="39"/>
    <n v="99"/>
    <x v="2"/>
    <s v="Skibrille"/>
    <m/>
    <m/>
    <m/>
  </r>
  <r>
    <x v="0"/>
    <d v="2023-10-28T00:00:00"/>
    <n v="10"/>
    <x v="33"/>
    <n v="1"/>
    <x v="33"/>
    <s v="Heimat"/>
    <x v="227"/>
    <m/>
    <n v="35"/>
    <n v="35"/>
    <x v="2"/>
    <s v="Helm/Skibrille"/>
    <m/>
    <m/>
    <m/>
  </r>
  <r>
    <x v="0"/>
    <d v="2023-11-05T00:00:00"/>
    <n v="11"/>
    <x v="33"/>
    <n v="1"/>
    <x v="33"/>
    <s v="Castala"/>
    <x v="128"/>
    <n v="1"/>
    <n v="7"/>
    <n v="67"/>
    <x v="49"/>
    <m/>
    <m/>
    <m/>
    <m/>
  </r>
  <r>
    <x v="0"/>
    <d v="2023-11-06T00:00:00"/>
    <n v="11"/>
    <x v="33"/>
    <n v="1"/>
    <x v="33"/>
    <s v="Cenes de la Vega 2"/>
    <x v="384"/>
    <n v="1"/>
    <n v="16"/>
    <n v="76"/>
    <x v="49"/>
    <m/>
    <m/>
    <m/>
    <m/>
  </r>
  <r>
    <x v="0"/>
    <d v="2023-11-07T00:00:00"/>
    <n v="11"/>
    <x v="33"/>
    <n v="1"/>
    <x v="33"/>
    <s v="Cerro de Irtabo"/>
    <x v="385"/>
    <n v="1"/>
    <n v="30"/>
    <n v="90"/>
    <x v="49"/>
    <m/>
    <m/>
    <m/>
    <m/>
  </r>
  <r>
    <x v="0"/>
    <d v="2023-11-08T00:00:00"/>
    <n v="11"/>
    <x v="33"/>
    <n v="1"/>
    <x v="33"/>
    <s v="Orgiva"/>
    <x v="386"/>
    <m/>
    <n v="35"/>
    <n v="35"/>
    <x v="49"/>
    <m/>
    <m/>
    <m/>
    <m/>
  </r>
  <r>
    <x v="0"/>
    <d v="2023-11-08T00:00:00"/>
    <n v="11"/>
    <x v="33"/>
    <n v="0"/>
    <x v="33"/>
    <s v="Alfamar"/>
    <x v="385"/>
    <m/>
    <n v="9"/>
    <n v="9"/>
    <x v="49"/>
    <m/>
    <m/>
    <m/>
    <m/>
  </r>
  <r>
    <x v="0"/>
    <d v="2023-11-09T00:00:00"/>
    <n v="11"/>
    <x v="33"/>
    <n v="1"/>
    <x v="33"/>
    <s v="La Herradu"/>
    <x v="387"/>
    <m/>
    <n v="36"/>
    <n v="36"/>
    <x v="49"/>
    <m/>
    <m/>
    <m/>
    <m/>
  </r>
  <r>
    <x v="0"/>
    <d v="2023-11-10T00:00:00"/>
    <n v="11"/>
    <x v="33"/>
    <n v="1"/>
    <x v="33"/>
    <s v="Castala"/>
    <x v="128"/>
    <m/>
    <n v="21"/>
    <n v="21"/>
    <x v="49"/>
    <m/>
    <m/>
    <m/>
    <m/>
  </r>
  <r>
    <x v="0"/>
    <d v="2023-12-07T00:00:00"/>
    <n v="12"/>
    <x v="33"/>
    <n v="1"/>
    <x v="33"/>
    <s v="Heimat"/>
    <x v="63"/>
    <m/>
    <n v="18"/>
    <n v="18"/>
    <x v="2"/>
    <m/>
    <m/>
    <m/>
    <m/>
  </r>
  <r>
    <x v="0"/>
    <d v="2023-12-17T00:00:00"/>
    <n v="12"/>
    <x v="33"/>
    <n v="1"/>
    <x v="33"/>
    <s v="Steibenkreuz"/>
    <x v="63"/>
    <m/>
    <n v="20"/>
    <n v="20"/>
    <x v="2"/>
    <m/>
    <m/>
    <m/>
    <m/>
  </r>
  <r>
    <x v="0"/>
    <d v="2023-12-18T00:00:00"/>
    <n v="12"/>
    <x v="33"/>
    <n v="1"/>
    <x v="33"/>
    <s v="Steibenkreuz"/>
    <x v="63"/>
    <m/>
    <n v="39"/>
    <n v="39"/>
    <x v="2"/>
    <m/>
    <m/>
    <m/>
    <m/>
  </r>
  <r>
    <x v="0"/>
    <d v="2023-12-19T00:00:00"/>
    <n v="12"/>
    <x v="33"/>
    <n v="1"/>
    <x v="33"/>
    <s v="Steibenkreuz"/>
    <x v="35"/>
    <m/>
    <n v="40"/>
    <n v="40"/>
    <x v="2"/>
    <m/>
    <m/>
    <m/>
    <m/>
  </r>
  <r>
    <x v="0"/>
    <d v="2023-12-27T00:00:00"/>
    <n v="12"/>
    <x v="33"/>
    <n v="1"/>
    <x v="33"/>
    <s v="Steibenkreuz"/>
    <x v="35"/>
    <m/>
    <n v="25"/>
    <n v="25"/>
    <x v="2"/>
    <s v="Gleitflug"/>
    <m/>
    <m/>
    <m/>
  </r>
  <r>
    <x v="0"/>
    <d v="2024-01-12T00:00:00"/>
    <n v="1"/>
    <x v="34"/>
    <n v="1"/>
    <x v="33"/>
    <s v="Heimat"/>
    <x v="63"/>
    <m/>
    <n v="32"/>
    <n v="32"/>
    <x v="2"/>
    <m/>
    <m/>
    <m/>
    <m/>
  </r>
  <r>
    <x v="0"/>
    <d v="2024-01-13T00:00:00"/>
    <n v="1"/>
    <x v="34"/>
    <n v="1"/>
    <x v="33"/>
    <s v="Steibenkreuz"/>
    <x v="35"/>
    <m/>
    <n v="26"/>
    <n v="26"/>
    <x v="2"/>
    <m/>
    <m/>
    <m/>
    <m/>
  </r>
  <r>
    <x v="0"/>
    <d v="2024-01-20T00:00:00"/>
    <n v="1"/>
    <x v="34"/>
    <n v="1"/>
    <x v="33"/>
    <s v="Heimat"/>
    <x v="63"/>
    <m/>
    <n v="16"/>
    <n v="16"/>
    <x v="2"/>
    <m/>
    <m/>
    <m/>
    <m/>
  </r>
  <r>
    <x v="0"/>
    <d v="2024-01-28T00:00:00"/>
    <n v="1"/>
    <x v="34"/>
    <n v="1"/>
    <x v="33"/>
    <s v="Steibenkreuz"/>
    <x v="35"/>
    <m/>
    <n v="58"/>
    <n v="58"/>
    <x v="2"/>
    <m/>
    <m/>
    <m/>
    <m/>
  </r>
  <r>
    <x v="0"/>
    <d v="2024-01-29T00:00:00"/>
    <n v="1"/>
    <x v="34"/>
    <n v="1"/>
    <x v="33"/>
    <s v="Steibenkreuz"/>
    <x v="63"/>
    <n v="1"/>
    <n v="25"/>
    <n v="85"/>
    <x v="2"/>
    <m/>
    <m/>
    <m/>
    <m/>
  </r>
  <r>
    <x v="0"/>
    <d v="2024-02-04T00:00:00"/>
    <n v="2"/>
    <x v="34"/>
    <n v="1"/>
    <x v="33"/>
    <s v="Heimat"/>
    <x v="35"/>
    <n v="1"/>
    <n v="7"/>
    <n v="67"/>
    <x v="2"/>
    <m/>
    <m/>
    <m/>
    <m/>
  </r>
  <r>
    <x v="0"/>
    <d v="2024-02-05T00:00:00"/>
    <n v="2"/>
    <x v="34"/>
    <n v="1"/>
    <x v="33"/>
    <s v="Heimat"/>
    <x v="205"/>
    <n v="1"/>
    <n v="8"/>
    <n v="68"/>
    <x v="2"/>
    <m/>
    <m/>
    <m/>
    <m/>
  </r>
  <r>
    <x v="0"/>
    <d v="2024-02-13T00:00:00"/>
    <n v="2"/>
    <x v="34"/>
    <n v="1"/>
    <x v="33"/>
    <s v="Heimat"/>
    <x v="35"/>
    <n v="1"/>
    <n v="12"/>
    <n v="72"/>
    <x v="2"/>
    <m/>
    <m/>
    <m/>
    <m/>
  </r>
  <r>
    <x v="0"/>
    <d v="2024-02-14T00:00:00"/>
    <n v="2"/>
    <x v="34"/>
    <n v="1"/>
    <x v="33"/>
    <s v="Heimat"/>
    <x v="35"/>
    <n v="1"/>
    <n v="14"/>
    <n v="74"/>
    <x v="2"/>
    <m/>
    <m/>
    <m/>
    <m/>
  </r>
  <r>
    <x v="0"/>
    <d v="2024-02-21T00:00:00"/>
    <n v="2"/>
    <x v="34"/>
    <n v="1"/>
    <x v="33"/>
    <s v="Heimat"/>
    <x v="227"/>
    <n v="1"/>
    <n v="16"/>
    <n v="76"/>
    <x v="2"/>
    <m/>
    <m/>
    <m/>
    <m/>
  </r>
  <r>
    <x v="0"/>
    <d v="2024-02-24T00:00:00"/>
    <n v="2"/>
    <x v="34"/>
    <n v="1"/>
    <x v="33"/>
    <s v="Steibenkreuz"/>
    <x v="35"/>
    <m/>
    <n v="24"/>
    <n v="24"/>
    <x v="2"/>
    <m/>
    <m/>
    <m/>
    <m/>
  </r>
  <r>
    <x v="0"/>
    <d v="2024-03-07T00:00:00"/>
    <n v="3"/>
    <x v="34"/>
    <n v="1"/>
    <x v="33"/>
    <s v="Heimat"/>
    <x v="63"/>
    <m/>
    <n v="25"/>
    <n v="25"/>
    <x v="2"/>
    <m/>
    <m/>
    <m/>
    <m/>
  </r>
  <r>
    <x v="0"/>
    <d v="2024-03-11T00:00:00"/>
    <n v="3"/>
    <x v="34"/>
    <n v="1"/>
    <x v="33"/>
    <s v="Heimat"/>
    <x v="63"/>
    <m/>
    <n v="26"/>
    <n v="26"/>
    <x v="2"/>
    <m/>
    <m/>
    <m/>
    <m/>
  </r>
  <r>
    <x v="0"/>
    <d v="2024-03-14T00:00:00"/>
    <n v="3"/>
    <x v="34"/>
    <n v="1"/>
    <x v="33"/>
    <s v="Heimat"/>
    <x v="121"/>
    <m/>
    <n v="56"/>
    <n v="56"/>
    <x v="2"/>
    <m/>
    <m/>
    <m/>
    <m/>
  </r>
  <r>
    <x v="0"/>
    <d v="2024-03-15T00:00:00"/>
    <n v="3"/>
    <x v="34"/>
    <n v="1"/>
    <x v="33"/>
    <s v="Heimat"/>
    <x v="35"/>
    <m/>
    <n v="22"/>
    <n v="22"/>
    <x v="2"/>
    <m/>
    <m/>
    <m/>
    <m/>
  </r>
  <r>
    <x v="0"/>
    <d v="2024-03-19T00:00:00"/>
    <n v="3"/>
    <x v="34"/>
    <n v="1"/>
    <x v="33"/>
    <s v="Heimat"/>
    <x v="35"/>
    <n v="1"/>
    <n v="14"/>
    <n v="74"/>
    <x v="2"/>
    <m/>
    <m/>
    <m/>
    <m/>
  </r>
  <r>
    <x v="0"/>
    <d v="2024-03-20T00:00:00"/>
    <n v="3"/>
    <x v="34"/>
    <n v="1"/>
    <x v="33"/>
    <s v="Heimat"/>
    <x v="35"/>
    <n v="1"/>
    <n v="24"/>
    <n v="84"/>
    <x v="2"/>
    <m/>
    <m/>
    <m/>
    <m/>
  </r>
  <r>
    <x v="0"/>
    <d v="2024-03-22T00:00:00"/>
    <n v="3"/>
    <x v="34"/>
    <n v="1"/>
    <x v="33"/>
    <s v="Heimat"/>
    <x v="35"/>
    <n v="1"/>
    <n v="7"/>
    <n v="67"/>
    <x v="2"/>
    <m/>
    <m/>
    <m/>
    <m/>
  </r>
  <r>
    <x v="0"/>
    <d v="2024-04-06T00:00:00"/>
    <n v="4"/>
    <x v="34"/>
    <n v="1"/>
    <x v="33"/>
    <s v="Ätna"/>
    <x v="343"/>
    <n v="1"/>
    <n v="10"/>
    <n v="70"/>
    <x v="50"/>
    <m/>
    <m/>
    <m/>
    <m/>
  </r>
  <r>
    <x v="0"/>
    <d v="2024-04-07T00:00:00"/>
    <n v="4"/>
    <x v="34"/>
    <n v="1"/>
    <x v="33"/>
    <s v="Pizzo Calabro 1"/>
    <x v="388"/>
    <n v="1"/>
    <n v="34"/>
    <n v="94"/>
    <x v="50"/>
    <m/>
    <m/>
    <m/>
    <m/>
  </r>
  <r>
    <x v="0"/>
    <d v="2024-04-07T00:00:00"/>
    <n v="4"/>
    <x v="34"/>
    <n v="0"/>
    <x v="33"/>
    <s v="Pizzo Calabro 1"/>
    <x v="389"/>
    <n v="1"/>
    <n v="3"/>
    <n v="63"/>
    <x v="50"/>
    <m/>
    <m/>
    <m/>
    <m/>
  </r>
  <r>
    <x v="0"/>
    <d v="2024-04-08T00:00:00"/>
    <n v="4"/>
    <x v="34"/>
    <n v="1"/>
    <x v="33"/>
    <s v="Certosa di Padula"/>
    <x v="390"/>
    <n v="1"/>
    <n v="22"/>
    <n v="82"/>
    <x v="50"/>
    <m/>
    <m/>
    <m/>
    <m/>
  </r>
  <r>
    <x v="0"/>
    <d v="2024-04-08T00:00:00"/>
    <n v="4"/>
    <x v="34"/>
    <n v="0"/>
    <x v="33"/>
    <s v="Monte Coccovello"/>
    <x v="391"/>
    <m/>
    <n v="27"/>
    <n v="27"/>
    <x v="50"/>
    <m/>
    <m/>
    <m/>
    <m/>
  </r>
  <r>
    <x v="0"/>
    <d v="2024-04-09T00:00:00"/>
    <n v="4"/>
    <x v="34"/>
    <n v="1"/>
    <x v="33"/>
    <s v="Monte Coccovello"/>
    <x v="392"/>
    <n v="1"/>
    <n v="7"/>
    <n v="67"/>
    <x v="50"/>
    <m/>
    <m/>
    <m/>
    <m/>
  </r>
  <r>
    <x v="0"/>
    <d v="2024-04-10T00:00:00"/>
    <n v="4"/>
    <x v="34"/>
    <n v="1"/>
    <x v="33"/>
    <s v="Atrigna"/>
    <x v="393"/>
    <n v="1"/>
    <n v="11"/>
    <n v="71"/>
    <x v="50"/>
    <m/>
    <m/>
    <m/>
    <m/>
  </r>
  <r>
    <x v="0"/>
    <d v="2024-04-11T00:00:00"/>
    <n v="4"/>
    <x v="34"/>
    <n v="1"/>
    <x v="33"/>
    <s v="Monte di Capaccio Vecchio"/>
    <x v="394"/>
    <m/>
    <n v="17"/>
    <n v="17"/>
    <x v="50"/>
    <m/>
    <m/>
    <m/>
    <m/>
  </r>
  <r>
    <x v="0"/>
    <d v="2024-04-12T00:00:00"/>
    <n v="4"/>
    <x v="34"/>
    <n v="1"/>
    <x v="33"/>
    <s v="San Donato Val di Comino"/>
    <x v="395"/>
    <n v="1"/>
    <n v="41"/>
    <n v="101"/>
    <x v="50"/>
    <m/>
    <m/>
    <m/>
    <m/>
  </r>
  <r>
    <x v="0"/>
    <d v="2024-04-13T00:00:00"/>
    <n v="4"/>
    <x v="34"/>
    <n v="1"/>
    <x v="33"/>
    <s v="Campitello Matese"/>
    <x v="396"/>
    <n v="1"/>
    <n v="17"/>
    <n v="77"/>
    <x v="51"/>
    <m/>
    <m/>
    <m/>
    <m/>
  </r>
  <r>
    <x v="0"/>
    <d v="2024-04-14T00:00:00"/>
    <n v="4"/>
    <x v="34"/>
    <n v="1"/>
    <x v="33"/>
    <s v="Cassino 1"/>
    <x v="397"/>
    <n v="2"/>
    <n v="36"/>
    <n v="156"/>
    <x v="51"/>
    <m/>
    <m/>
    <m/>
    <m/>
  </r>
  <r>
    <x v="0"/>
    <d v="2024-04-15T00:00:00"/>
    <n v="4"/>
    <x v="34"/>
    <n v="1"/>
    <x v="33"/>
    <s v="Norma"/>
    <x v="398"/>
    <m/>
    <n v="19"/>
    <n v="19"/>
    <x v="51"/>
    <m/>
    <m/>
    <m/>
    <m/>
  </r>
  <r>
    <x v="0"/>
    <d v="2024-04-16T00:00:00"/>
    <n v="4"/>
    <x v="34"/>
    <n v="1"/>
    <x v="33"/>
    <s v="Monte Capanne 1"/>
    <x v="399"/>
    <m/>
    <n v="23"/>
    <n v="23"/>
    <x v="51"/>
    <m/>
    <m/>
    <m/>
    <m/>
  </r>
  <r>
    <x v="0"/>
    <d v="2024-04-17T00:00:00"/>
    <n v="4"/>
    <x v="34"/>
    <n v="1"/>
    <x v="33"/>
    <s v="Monte Capanne 2"/>
    <x v="399"/>
    <m/>
    <n v="11"/>
    <n v="11"/>
    <x v="51"/>
    <m/>
    <m/>
    <m/>
    <m/>
  </r>
  <r>
    <x v="0"/>
    <d v="2024-04-19T00:00:00"/>
    <n v="4"/>
    <x v="34"/>
    <n v="1"/>
    <x v="33"/>
    <s v="Monfestino"/>
    <x v="400"/>
    <n v="1"/>
    <n v="21"/>
    <n v="81"/>
    <x v="51"/>
    <m/>
    <m/>
    <m/>
    <m/>
  </r>
  <r>
    <x v="1"/>
    <d v="2024-04-29T00:00:00"/>
    <n v="4"/>
    <x v="34"/>
    <n v="1"/>
    <x v="33"/>
    <s v="Col de la Forclaz"/>
    <x v="93"/>
    <m/>
    <n v="8"/>
    <n v="8"/>
    <x v="52"/>
    <s v="Nicken, Spirale, Wingover"/>
    <m/>
    <m/>
    <m/>
  </r>
  <r>
    <x v="1"/>
    <d v="2024-04-29T00:00:00"/>
    <n v="4"/>
    <x v="34"/>
    <n v="0"/>
    <x v="32"/>
    <s v="Col de la Forclaz"/>
    <x v="93"/>
    <m/>
    <n v="8"/>
    <n v="8"/>
    <x v="52"/>
    <s v="Flyback Nicken, Wingover"/>
    <m/>
    <m/>
    <m/>
  </r>
  <r>
    <x v="1"/>
    <d v="2024-04-29T00:00:00"/>
    <n v="4"/>
    <x v="34"/>
    <n v="0"/>
    <x v="32"/>
    <s v="Col de la Forclaz"/>
    <x v="93"/>
    <m/>
    <n v="8"/>
    <n v="8"/>
    <x v="52"/>
    <s v="Flyback, Wingover, Nicken"/>
    <m/>
    <m/>
    <m/>
  </r>
  <r>
    <x v="1"/>
    <d v="2024-05-01T00:00:00"/>
    <n v="5"/>
    <x v="34"/>
    <n v="1"/>
    <x v="33"/>
    <s v="Col de la Forclaz"/>
    <x v="93"/>
    <m/>
    <n v="8"/>
    <n v="8"/>
    <x v="52"/>
    <s v="Flyback, Spirale mit Ohr, Wingover"/>
    <m/>
    <m/>
    <m/>
  </r>
  <r>
    <x v="1"/>
    <d v="2024-05-01T00:00:00"/>
    <n v="5"/>
    <x v="34"/>
    <n v="0"/>
    <x v="33"/>
    <s v="Col de la Forclaz"/>
    <x v="93"/>
    <m/>
    <n v="8"/>
    <n v="8"/>
    <x v="52"/>
    <s v="Flyback, Verhänger, Wingover"/>
    <m/>
    <m/>
    <m/>
  </r>
  <r>
    <x v="1"/>
    <d v="2024-05-01T00:00:00"/>
    <n v="5"/>
    <x v="34"/>
    <n v="0"/>
    <x v="33"/>
    <s v="Col de la Forclaz"/>
    <x v="93"/>
    <m/>
    <n v="8"/>
    <n v="8"/>
    <x v="52"/>
    <s v="Flyback , Spirale mit Ohr, Spirale mit &quot;schiessen&quot;"/>
    <m/>
    <m/>
    <m/>
  </r>
  <r>
    <x v="0"/>
    <d v="2024-05-09T00:00:00"/>
    <n v="5"/>
    <x v="34"/>
    <n v="1"/>
    <x v="33"/>
    <s v="Riederalp Mitte"/>
    <x v="227"/>
    <n v="1"/>
    <n v="43"/>
    <n v="103"/>
    <x v="2"/>
    <m/>
    <m/>
    <m/>
    <m/>
  </r>
  <r>
    <x v="0"/>
    <d v="2024-05-10T00:00:00"/>
    <n v="5"/>
    <x v="34"/>
    <n v="1"/>
    <x v="33"/>
    <s v="Riederalp Mitte"/>
    <x v="63"/>
    <n v="1"/>
    <n v="38"/>
    <n v="98"/>
    <x v="2"/>
    <m/>
    <m/>
    <m/>
    <m/>
  </r>
  <r>
    <x v="0"/>
    <d v="2024-05-11T00:00:00"/>
    <n v="5"/>
    <x v="34"/>
    <n v="1"/>
    <x v="33"/>
    <s v="Riederalp Mitte"/>
    <x v="63"/>
    <n v="1"/>
    <n v="40"/>
    <n v="100"/>
    <x v="2"/>
    <m/>
    <m/>
    <m/>
    <m/>
  </r>
  <r>
    <x v="0"/>
    <d v="2024-05-12T00:00:00"/>
    <n v="5"/>
    <x v="34"/>
    <n v="1"/>
    <x v="33"/>
    <s v="Heimat"/>
    <x v="63"/>
    <n v="1"/>
    <n v="21"/>
    <n v="81"/>
    <x v="2"/>
    <m/>
    <m/>
    <m/>
    <m/>
  </r>
  <r>
    <x v="0"/>
    <d v="2024-05-17T00:00:00"/>
    <n v="5"/>
    <x v="34"/>
    <n v="1"/>
    <x v="33"/>
    <s v="Riederalp Mitte"/>
    <x v="63"/>
    <m/>
    <n v="35"/>
    <n v="35"/>
    <x v="2"/>
    <m/>
    <m/>
    <m/>
    <m/>
  </r>
  <r>
    <x v="0"/>
    <d v="2024-05-19T00:00:00"/>
    <n v="5"/>
    <x v="34"/>
    <n v="1"/>
    <x v="33"/>
    <s v="Riederalp Mitte"/>
    <x v="35"/>
    <n v="1"/>
    <n v="5"/>
    <n v="65"/>
    <x v="2"/>
    <m/>
    <m/>
    <m/>
    <m/>
  </r>
  <r>
    <x v="0"/>
    <d v="2024-05-22T00:00:00"/>
    <n v="5"/>
    <x v="34"/>
    <n v="1"/>
    <x v="33"/>
    <s v="Heimat"/>
    <x v="35"/>
    <m/>
    <n v="42"/>
    <n v="42"/>
    <x v="2"/>
    <m/>
    <m/>
    <m/>
    <m/>
  </r>
  <r>
    <x v="0"/>
    <d v="2024-05-26T00:00:00"/>
    <n v="5"/>
    <x v="34"/>
    <n v="1"/>
    <x v="33"/>
    <s v="First"/>
    <x v="368"/>
    <m/>
    <n v="54"/>
    <n v="54"/>
    <x v="2"/>
    <m/>
    <m/>
    <m/>
    <m/>
  </r>
  <r>
    <x v="0"/>
    <d v="2024-05-29T00:00:00"/>
    <n v="5"/>
    <x v="34"/>
    <n v="1"/>
    <x v="33"/>
    <s v="Sierra de Lijar W"/>
    <x v="132"/>
    <m/>
    <n v="10"/>
    <n v="10"/>
    <x v="53"/>
    <m/>
    <m/>
    <m/>
    <m/>
  </r>
  <r>
    <x v="0"/>
    <d v="2024-05-30T00:00:00"/>
    <n v="5"/>
    <x v="34"/>
    <n v="1"/>
    <x v="33"/>
    <s v="Sierra de Lijar SW"/>
    <x v="401"/>
    <n v="1"/>
    <n v="20"/>
    <n v="80"/>
    <x v="53"/>
    <m/>
    <m/>
    <m/>
    <m/>
  </r>
  <r>
    <x v="0"/>
    <d v="2024-05-30T00:00:00"/>
    <n v="5"/>
    <x v="34"/>
    <n v="0"/>
    <x v="33"/>
    <s v="Sierra de Lijar W"/>
    <x v="402"/>
    <n v="1"/>
    <n v="15"/>
    <n v="75"/>
    <x v="53"/>
    <m/>
    <m/>
    <m/>
    <m/>
  </r>
  <r>
    <x v="0"/>
    <d v="2024-05-31T00:00:00"/>
    <n v="5"/>
    <x v="34"/>
    <n v="1"/>
    <x v="33"/>
    <s v="Sierra de Lijar SW"/>
    <x v="131"/>
    <n v="1"/>
    <n v="1"/>
    <n v="61"/>
    <x v="53"/>
    <m/>
    <m/>
    <m/>
    <m/>
  </r>
  <r>
    <x v="0"/>
    <d v="2024-05-31T00:00:00"/>
    <n v="5"/>
    <x v="34"/>
    <n v="0"/>
    <x v="33"/>
    <s v="Sierra de Lijar W"/>
    <x v="132"/>
    <n v="1"/>
    <n v="18"/>
    <n v="78"/>
    <x v="53"/>
    <m/>
    <m/>
    <m/>
    <m/>
  </r>
  <r>
    <x v="0"/>
    <d v="2024-06-02T00:00:00"/>
    <n v="6"/>
    <x v="34"/>
    <n v="1"/>
    <x v="33"/>
    <s v="Matalascanas"/>
    <x v="358"/>
    <n v="2"/>
    <n v="20"/>
    <n v="140"/>
    <x v="53"/>
    <m/>
    <m/>
    <m/>
    <m/>
  </r>
  <r>
    <x v="0"/>
    <d v="2024-06-03T00:00:00"/>
    <n v="6"/>
    <x v="34"/>
    <n v="1"/>
    <x v="33"/>
    <s v="Matalascanas"/>
    <x v="403"/>
    <m/>
    <n v="28"/>
    <n v="28"/>
    <x v="53"/>
    <s v="7km laufen"/>
    <m/>
    <m/>
    <m/>
  </r>
  <r>
    <x v="0"/>
    <d v="2024-06-04T00:00:00"/>
    <n v="6"/>
    <x v="34"/>
    <n v="1"/>
    <x v="33"/>
    <s v="Praia da Gralha"/>
    <x v="404"/>
    <m/>
    <n v="2"/>
    <n v="2"/>
    <x v="53"/>
    <m/>
    <m/>
    <m/>
    <m/>
  </r>
  <r>
    <x v="0"/>
    <d v="2024-06-04T00:00:00"/>
    <n v="6"/>
    <x v="34"/>
    <n v="0"/>
    <x v="33"/>
    <s v="Praia da Gralha"/>
    <x v="404"/>
    <m/>
    <n v="13"/>
    <n v="13"/>
    <x v="53"/>
    <m/>
    <m/>
    <m/>
    <m/>
  </r>
  <r>
    <x v="0"/>
    <d v="2024-06-04T00:00:00"/>
    <n v="6"/>
    <x v="34"/>
    <n v="0"/>
    <x v="33"/>
    <s v="Praia da Gralha"/>
    <x v="184"/>
    <m/>
    <n v="40"/>
    <n v="40"/>
    <x v="53"/>
    <m/>
    <m/>
    <m/>
    <m/>
  </r>
  <r>
    <x v="0"/>
    <d v="2024-06-05T00:00:00"/>
    <n v="6"/>
    <x v="34"/>
    <n v="1"/>
    <x v="33"/>
    <s v="Praia da Gralha"/>
    <x v="184"/>
    <n v="1"/>
    <n v="48"/>
    <n v="108"/>
    <x v="53"/>
    <m/>
    <m/>
    <m/>
    <m/>
  </r>
  <r>
    <x v="0"/>
    <d v="2024-06-06T00:00:00"/>
    <n v="6"/>
    <x v="34"/>
    <n v="1"/>
    <x v="33"/>
    <s v="Castelo de Vide"/>
    <x v="359"/>
    <m/>
    <n v="6"/>
    <n v="6"/>
    <x v="53"/>
    <m/>
    <m/>
    <m/>
    <m/>
  </r>
  <r>
    <x v="0"/>
    <d v="2024-06-13T00:00:00"/>
    <n v="6"/>
    <x v="34"/>
    <n v="1"/>
    <x v="33"/>
    <s v="Dovydiskai"/>
    <x v="233"/>
    <m/>
    <n v="15"/>
    <n v="15"/>
    <x v="36"/>
    <m/>
    <m/>
    <m/>
    <m/>
  </r>
  <r>
    <x v="0"/>
    <d v="2024-06-13T00:00:00"/>
    <n v="6"/>
    <x v="34"/>
    <n v="0"/>
    <x v="33"/>
    <s v="Dovydiskai"/>
    <x v="405"/>
    <m/>
    <n v="57"/>
    <n v="57"/>
    <x v="36"/>
    <m/>
    <m/>
    <m/>
    <m/>
  </r>
  <r>
    <x v="0"/>
    <d v="2024-06-14T00:00:00"/>
    <n v="6"/>
    <x v="34"/>
    <n v="1"/>
    <x v="33"/>
    <s v="Genetiniai"/>
    <x v="406"/>
    <m/>
    <n v="14"/>
    <n v="14"/>
    <x v="36"/>
    <m/>
    <m/>
    <m/>
    <m/>
  </r>
  <r>
    <x v="0"/>
    <d v="2024-06-14T00:00:00"/>
    <n v="6"/>
    <x v="34"/>
    <n v="0"/>
    <x v="33"/>
    <s v="Genetiniai"/>
    <x v="407"/>
    <m/>
    <n v="41"/>
    <n v="41"/>
    <x v="36"/>
    <m/>
    <m/>
    <m/>
    <m/>
  </r>
  <r>
    <x v="0"/>
    <d v="2024-06-15T00:00:00"/>
    <n v="6"/>
    <x v="34"/>
    <n v="1"/>
    <x v="33"/>
    <s v="Genetiniai"/>
    <x v="408"/>
    <m/>
    <n v="34"/>
    <n v="34"/>
    <x v="36"/>
    <m/>
    <m/>
    <m/>
    <m/>
  </r>
  <r>
    <x v="0"/>
    <d v="2024-06-15T00:00:00"/>
    <n v="6"/>
    <x v="34"/>
    <n v="0"/>
    <x v="33"/>
    <s v="Genetiniai"/>
    <x v="409"/>
    <m/>
    <n v="49"/>
    <n v="49"/>
    <x v="36"/>
    <m/>
    <m/>
    <m/>
    <m/>
  </r>
  <r>
    <x v="0"/>
    <d v="2024-06-16T00:00:00"/>
    <n v="6"/>
    <x v="34"/>
    <n v="1"/>
    <x v="33"/>
    <s v="Klabiniai"/>
    <x v="410"/>
    <m/>
    <n v="57"/>
    <n v="57"/>
    <x v="36"/>
    <m/>
    <m/>
    <m/>
    <m/>
  </r>
  <r>
    <x v="0"/>
    <d v="2024-06-16T00:00:00"/>
    <n v="6"/>
    <x v="34"/>
    <n v="0"/>
    <x v="33"/>
    <s v="Klabiniai"/>
    <x v="411"/>
    <m/>
    <n v="40"/>
    <n v="40"/>
    <x v="36"/>
    <m/>
    <m/>
    <m/>
    <m/>
  </r>
  <r>
    <x v="0"/>
    <d v="2024-06-17T00:00:00"/>
    <n v="6"/>
    <x v="34"/>
    <n v="1"/>
    <x v="33"/>
    <s v="Saugos"/>
    <x v="412"/>
    <m/>
    <n v="21"/>
    <n v="21"/>
    <x v="36"/>
    <m/>
    <m/>
    <m/>
    <m/>
  </r>
  <r>
    <x v="0"/>
    <d v="2024-06-17T00:00:00"/>
    <n v="6"/>
    <x v="34"/>
    <n v="0"/>
    <x v="35"/>
    <s v="Deverna"/>
    <x v="365"/>
    <m/>
    <n v="19"/>
    <n v="19"/>
    <x v="36"/>
    <s v="Bootschlepp"/>
    <m/>
    <m/>
    <m/>
  </r>
  <r>
    <x v="0"/>
    <d v="2024-06-18T00:00:00"/>
    <n v="6"/>
    <x v="34"/>
    <n v="1"/>
    <x v="33"/>
    <s v="Saugos"/>
    <x v="413"/>
    <m/>
    <n v="16"/>
    <n v="16"/>
    <x v="36"/>
    <m/>
    <m/>
    <m/>
    <m/>
  </r>
  <r>
    <x v="0"/>
    <d v="2024-06-18T00:00:00"/>
    <n v="6"/>
    <x v="34"/>
    <n v="0"/>
    <x v="33"/>
    <s v="Saugos"/>
    <x v="414"/>
    <m/>
    <n v="30"/>
    <n v="30"/>
    <x v="36"/>
    <m/>
    <m/>
    <m/>
    <m/>
  </r>
  <r>
    <x v="0"/>
    <d v="2024-06-18T00:00:00"/>
    <n v="6"/>
    <x v="34"/>
    <n v="0"/>
    <x v="33"/>
    <s v="Deverna"/>
    <x v="415"/>
    <m/>
    <n v="19"/>
    <n v="19"/>
    <x v="36"/>
    <s v="Bootschlepp"/>
    <m/>
    <m/>
    <m/>
  </r>
  <r>
    <x v="0"/>
    <d v="2024-06-20T00:00:00"/>
    <n v="6"/>
    <x v="34"/>
    <n v="1"/>
    <x v="33"/>
    <s v="Karkie"/>
    <x v="416"/>
    <m/>
    <n v="43"/>
    <n v="43"/>
    <x v="36"/>
    <s v="Heli-Impact"/>
    <m/>
    <m/>
    <m/>
  </r>
  <r>
    <x v="0"/>
    <d v="2024-06-21T00:00:00"/>
    <n v="6"/>
    <x v="34"/>
    <n v="1"/>
    <x v="33"/>
    <s v="Saugos"/>
    <x v="417"/>
    <n v="3"/>
    <n v="0"/>
    <n v="180"/>
    <x v="36"/>
    <m/>
    <m/>
    <m/>
    <m/>
  </r>
  <r>
    <x v="0"/>
    <d v="2024-06-24T00:00:00"/>
    <n v="6"/>
    <x v="34"/>
    <n v="1"/>
    <x v="33"/>
    <s v="Heimat"/>
    <x v="227"/>
    <n v="1"/>
    <n v="2"/>
    <n v="62"/>
    <x v="2"/>
    <m/>
    <m/>
    <m/>
    <m/>
  </r>
  <r>
    <x v="0"/>
    <d v="2024-06-25T00:00:00"/>
    <n v="6"/>
    <x v="34"/>
    <n v="1"/>
    <x v="33"/>
    <s v="Heimat"/>
    <x v="227"/>
    <n v="1"/>
    <n v="25"/>
    <n v="85"/>
    <x v="2"/>
    <m/>
    <m/>
    <m/>
    <m/>
  </r>
  <r>
    <x v="0"/>
    <d v="2024-06-27T00:00:00"/>
    <n v="6"/>
    <x v="34"/>
    <n v="1"/>
    <x v="33"/>
    <s v="Heimat"/>
    <x v="35"/>
    <n v="1"/>
    <n v="4"/>
    <n v="64"/>
    <x v="2"/>
    <m/>
    <m/>
    <m/>
    <m/>
  </r>
  <r>
    <x v="0"/>
    <d v="2024-06-28T00:00:00"/>
    <n v="6"/>
    <x v="34"/>
    <n v="1"/>
    <x v="33"/>
    <s v="Heimat"/>
    <x v="35"/>
    <n v="1"/>
    <n v="29"/>
    <n v="89"/>
    <x v="2"/>
    <m/>
    <m/>
    <m/>
    <m/>
  </r>
  <r>
    <x v="0"/>
    <d v="2024-07-04T00:00:00"/>
    <n v="7"/>
    <x v="34"/>
    <n v="1"/>
    <x v="33"/>
    <s v="Heimat"/>
    <x v="35"/>
    <m/>
    <n v="46"/>
    <n v="46"/>
    <x v="2"/>
    <m/>
    <m/>
    <m/>
    <m/>
  </r>
  <r>
    <x v="0"/>
    <d v="2024-07-05T00:00:00"/>
    <n v="7"/>
    <x v="34"/>
    <n v="1"/>
    <x v="33"/>
    <s v="Heimat"/>
    <x v="35"/>
    <n v="1"/>
    <n v="17"/>
    <n v="77"/>
    <x v="2"/>
    <m/>
    <m/>
    <m/>
    <m/>
  </r>
  <r>
    <x v="0"/>
    <d v="2024-07-09T00:00:00"/>
    <n v="7"/>
    <x v="34"/>
    <n v="1"/>
    <x v="33"/>
    <s v="Heimat"/>
    <x v="35"/>
    <m/>
    <n v="58"/>
    <n v="58"/>
    <x v="2"/>
    <m/>
    <m/>
    <m/>
    <m/>
  </r>
  <r>
    <x v="0"/>
    <d v="2024-07-11T00:00:00"/>
    <n v="7"/>
    <x v="34"/>
    <n v="1"/>
    <x v="33"/>
    <s v="Heimat"/>
    <x v="35"/>
    <n v="1"/>
    <n v="3"/>
    <n v="63"/>
    <x v="2"/>
    <m/>
    <m/>
    <m/>
    <m/>
  </r>
  <r>
    <x v="0"/>
    <d v="2024-07-13T00:00:00"/>
    <n v="7"/>
    <x v="34"/>
    <n v="1"/>
    <x v="33"/>
    <s v="Heimat"/>
    <x v="35"/>
    <n v="1"/>
    <n v="36"/>
    <n v="96"/>
    <x v="2"/>
    <m/>
    <m/>
    <m/>
    <m/>
  </r>
  <r>
    <x v="0"/>
    <d v="2024-07-14T00:00:00"/>
    <n v="7"/>
    <x v="34"/>
    <n v="1"/>
    <x v="33"/>
    <s v="Heimat"/>
    <x v="227"/>
    <n v="1"/>
    <n v="15"/>
    <n v="75"/>
    <x v="2"/>
    <m/>
    <m/>
    <m/>
    <m/>
  </r>
  <r>
    <x v="0"/>
    <d v="2024-07-15T00:00:00"/>
    <n v="7"/>
    <x v="34"/>
    <n v="1"/>
    <x v="33"/>
    <s v="Heimat"/>
    <x v="311"/>
    <n v="1"/>
    <n v="22"/>
    <n v="82"/>
    <x v="2"/>
    <m/>
    <m/>
    <m/>
    <m/>
  </r>
  <r>
    <x v="0"/>
    <d v="2024-07-17T00:00:00"/>
    <n v="7"/>
    <x v="34"/>
    <n v="1"/>
    <x v="33"/>
    <s v="Heimat"/>
    <x v="35"/>
    <n v="1"/>
    <n v="31"/>
    <n v="91"/>
    <x v="2"/>
    <m/>
    <m/>
    <m/>
    <m/>
  </r>
  <r>
    <x v="0"/>
    <d v="2024-07-18T00:00:00"/>
    <n v="7"/>
    <x v="34"/>
    <n v="1"/>
    <x v="33"/>
    <s v="Galfera"/>
    <x v="35"/>
    <n v="1"/>
    <n v="1"/>
    <n v="61"/>
    <x v="2"/>
    <m/>
    <m/>
    <m/>
    <m/>
  </r>
  <r>
    <x v="0"/>
    <d v="2024-07-19T00:00:00"/>
    <n v="7"/>
    <x v="34"/>
    <n v="1"/>
    <x v="33"/>
    <s v="Heimat"/>
    <x v="227"/>
    <m/>
    <n v="50"/>
    <n v="50"/>
    <x v="2"/>
    <m/>
    <m/>
    <m/>
    <m/>
  </r>
  <r>
    <x v="0"/>
    <d v="2024-07-20T00:00:00"/>
    <n v="7"/>
    <x v="34"/>
    <n v="1"/>
    <x v="33"/>
    <s v="Galfera"/>
    <x v="35"/>
    <n v="1"/>
    <n v="7"/>
    <n v="67"/>
    <x v="2"/>
    <m/>
    <m/>
    <m/>
    <m/>
  </r>
  <r>
    <x v="0"/>
    <d v="2024-07-23T00:00:00"/>
    <n v="7"/>
    <x v="34"/>
    <n v="1"/>
    <x v="33"/>
    <s v="Steibenkreuz"/>
    <x v="35"/>
    <m/>
    <n v="28"/>
    <n v="28"/>
    <x v="2"/>
    <m/>
    <m/>
    <m/>
    <m/>
  </r>
  <r>
    <x v="0"/>
    <d v="2024-07-24T00:00:00"/>
    <n v="7"/>
    <x v="34"/>
    <n v="1"/>
    <x v="33"/>
    <s v="Galfera"/>
    <x v="35"/>
    <n v="1"/>
    <n v="0"/>
    <n v="60"/>
    <x v="2"/>
    <m/>
    <m/>
    <m/>
    <m/>
  </r>
  <r>
    <x v="0"/>
    <d v="2024-07-25T00:00:00"/>
    <n v="7"/>
    <x v="34"/>
    <n v="1"/>
    <x v="33"/>
    <s v="Heimat"/>
    <x v="35"/>
    <n v="1"/>
    <n v="36"/>
    <n v="96"/>
    <x v="2"/>
    <m/>
    <m/>
    <m/>
    <m/>
  </r>
  <r>
    <x v="0"/>
    <d v="2024-07-26T00:00:00"/>
    <n v="7"/>
    <x v="34"/>
    <n v="1"/>
    <x v="33"/>
    <s v="Heimat"/>
    <x v="311"/>
    <n v="1"/>
    <n v="13"/>
    <n v="73"/>
    <x v="2"/>
    <m/>
    <m/>
    <m/>
    <m/>
  </r>
  <r>
    <x v="0"/>
    <d v="2024-07-27T00:00:00"/>
    <n v="7"/>
    <x v="34"/>
    <n v="1"/>
    <x v="33"/>
    <s v="Heimat"/>
    <x v="35"/>
    <m/>
    <n v="45"/>
    <n v="45"/>
    <x v="2"/>
    <m/>
    <m/>
    <m/>
    <m/>
  </r>
  <r>
    <x v="4"/>
    <d v="2024-07-29T00:00:00"/>
    <n v="7"/>
    <x v="34"/>
    <n v="1"/>
    <x v="19"/>
    <s v="Galfera"/>
    <x v="227"/>
    <n v="1"/>
    <n v="7"/>
    <n v="67"/>
    <x v="2"/>
    <s v="mit Alexandra"/>
    <m/>
    <m/>
    <m/>
  </r>
  <r>
    <x v="0"/>
    <d v="2024-07-30T00:00:00"/>
    <n v="7"/>
    <x v="34"/>
    <n v="1"/>
    <x v="33"/>
    <s v="Heimat"/>
    <x v="35"/>
    <n v="2"/>
    <n v="1"/>
    <n v="121"/>
    <x v="2"/>
    <m/>
    <m/>
    <m/>
    <m/>
  </r>
  <r>
    <x v="0"/>
    <d v="2024-07-31T00:00:00"/>
    <n v="7"/>
    <x v="34"/>
    <n v="1"/>
    <x v="33"/>
    <s v="Heimat"/>
    <x v="311"/>
    <m/>
    <n v="53"/>
    <n v="53"/>
    <x v="2"/>
    <m/>
    <m/>
    <m/>
    <m/>
  </r>
  <r>
    <x v="0"/>
    <d v="2024-08-04T00:00:00"/>
    <n v="8"/>
    <x v="34"/>
    <n v="1"/>
    <x v="33"/>
    <s v="Galfera"/>
    <x v="63"/>
    <n v="1"/>
    <n v="5"/>
    <n v="65"/>
    <x v="2"/>
    <s v="Stefan und Steffi mit Peter und Ädu"/>
    <m/>
    <m/>
    <m/>
  </r>
  <r>
    <x v="0"/>
    <d v="2024-08-05T00:00:00"/>
    <n v="8"/>
    <x v="34"/>
    <n v="1"/>
    <x v="33"/>
    <s v="Heimat"/>
    <x v="227"/>
    <n v="2"/>
    <n v="32"/>
    <n v="152"/>
    <x v="2"/>
    <m/>
    <m/>
    <m/>
    <m/>
  </r>
  <r>
    <x v="0"/>
    <d v="2024-08-06T00:00:00"/>
    <n v="8"/>
    <x v="34"/>
    <n v="1"/>
    <x v="33"/>
    <s v="Heimat"/>
    <x v="35"/>
    <n v="1"/>
    <n v="54"/>
    <n v="114"/>
    <x v="2"/>
    <m/>
    <m/>
    <m/>
    <m/>
  </r>
  <r>
    <x v="0"/>
    <d v="2024-08-08T00:00:00"/>
    <n v="8"/>
    <x v="34"/>
    <n v="1"/>
    <x v="32"/>
    <s v="Heimat"/>
    <x v="227"/>
    <n v="1"/>
    <n v="46"/>
    <n v="106"/>
    <x v="2"/>
    <m/>
    <m/>
    <m/>
    <m/>
  </r>
  <r>
    <x v="0"/>
    <d v="2024-08-09T00:00:00"/>
    <n v="8"/>
    <x v="34"/>
    <n v="1"/>
    <x v="32"/>
    <s v="Heimat"/>
    <x v="35"/>
    <n v="2"/>
    <n v="5"/>
    <n v="125"/>
    <x v="2"/>
    <s v="mit Thomas Kalbermatten"/>
    <m/>
    <m/>
    <m/>
  </r>
  <r>
    <x v="0"/>
    <d v="2024-08-10T00:00:00"/>
    <n v="8"/>
    <x v="34"/>
    <n v="1"/>
    <x v="32"/>
    <s v="Heimat"/>
    <x v="368"/>
    <n v="4"/>
    <n v="52"/>
    <n v="292"/>
    <x v="2"/>
    <s v="Finsteraarhorn östlich"/>
    <m/>
    <m/>
    <m/>
  </r>
  <r>
    <x v="0"/>
    <d v="2024-08-11T00:00:00"/>
    <n v="8"/>
    <x v="34"/>
    <n v="1"/>
    <x v="32"/>
    <s v="Heimat"/>
    <x v="227"/>
    <n v="2"/>
    <n v="13"/>
    <n v="133"/>
    <x v="2"/>
    <m/>
    <m/>
    <m/>
    <m/>
  </r>
  <r>
    <x v="0"/>
    <d v="2024-08-12T00:00:00"/>
    <n v="8"/>
    <x v="34"/>
    <n v="1"/>
    <x v="32"/>
    <s v="Heimat"/>
    <x v="63"/>
    <n v="2"/>
    <n v="18"/>
    <n v="138"/>
    <x v="2"/>
    <m/>
    <m/>
    <m/>
    <m/>
  </r>
  <r>
    <x v="0"/>
    <d v="2024-08-13T00:00:00"/>
    <n v="8"/>
    <x v="34"/>
    <n v="1"/>
    <x v="32"/>
    <s v="Galfera"/>
    <x v="35"/>
    <n v="1"/>
    <n v="6"/>
    <n v="66"/>
    <x v="2"/>
    <m/>
    <m/>
    <m/>
    <m/>
  </r>
  <r>
    <x v="0"/>
    <d v="2024-08-14T00:00:00"/>
    <n v="8"/>
    <x v="34"/>
    <n v="1"/>
    <x v="32"/>
    <s v="Heimat"/>
    <x v="63"/>
    <m/>
    <n v="13"/>
    <n v="13"/>
    <x v="2"/>
    <m/>
    <m/>
    <m/>
    <m/>
  </r>
  <r>
    <x v="0"/>
    <d v="2024-08-15T00:00:00"/>
    <n v="8"/>
    <x v="34"/>
    <n v="1"/>
    <x v="32"/>
    <s v="Heimat"/>
    <x v="35"/>
    <n v="1"/>
    <n v="55"/>
    <n v="115"/>
    <x v="2"/>
    <m/>
    <m/>
    <m/>
    <m/>
  </r>
  <r>
    <x v="0"/>
    <d v="2024-08-16T00:00:00"/>
    <n v="8"/>
    <x v="34"/>
    <n v="1"/>
    <x v="32"/>
    <s v="Heimat"/>
    <x v="35"/>
    <n v="1"/>
    <n v="12"/>
    <n v="72"/>
    <x v="2"/>
    <m/>
    <m/>
    <m/>
    <m/>
  </r>
  <r>
    <x v="0"/>
    <d v="2024-08-20T00:00:00"/>
    <n v="8"/>
    <x v="34"/>
    <n v="1"/>
    <x v="33"/>
    <s v="Galfera"/>
    <x v="35"/>
    <n v="2"/>
    <n v="15"/>
    <n v="135"/>
    <x v="2"/>
    <s v="Roli, Claude"/>
    <m/>
    <m/>
    <m/>
  </r>
  <r>
    <x v="0"/>
    <d v="2024-08-22T00:00:00"/>
    <n v="8"/>
    <x v="34"/>
    <n v="1"/>
    <x v="33"/>
    <s v="Heimat"/>
    <x v="227"/>
    <m/>
    <n v="44"/>
    <n v="44"/>
    <x v="2"/>
    <m/>
    <m/>
    <m/>
    <m/>
  </r>
  <r>
    <x v="0"/>
    <d v="2024-08-24T00:00:00"/>
    <n v="8"/>
    <x v="34"/>
    <n v="1"/>
    <x v="33"/>
    <s v="Heimat"/>
    <x v="63"/>
    <m/>
    <n v="50"/>
    <n v="50"/>
    <x v="2"/>
    <s v="Clubfliegen 3."/>
    <m/>
    <m/>
    <m/>
  </r>
  <r>
    <x v="0"/>
    <d v="2024-08-26T00:00:00"/>
    <n v="8"/>
    <x v="34"/>
    <n v="1"/>
    <x v="33"/>
    <s v="Heimat"/>
    <x v="227"/>
    <n v="1"/>
    <n v="9"/>
    <n v="69"/>
    <x v="2"/>
    <m/>
    <m/>
    <m/>
    <m/>
  </r>
  <r>
    <x v="0"/>
    <d v="2024-08-27T00:00:00"/>
    <n v="8"/>
    <x v="34"/>
    <n v="1"/>
    <x v="33"/>
    <s v="Heimat"/>
    <x v="35"/>
    <m/>
    <n v="58"/>
    <n v="58"/>
    <x v="2"/>
    <m/>
    <m/>
    <m/>
    <m/>
  </r>
  <r>
    <x v="0"/>
    <d v="2024-08-28T00:00:00"/>
    <n v="8"/>
    <x v="34"/>
    <n v="1"/>
    <x v="33"/>
    <s v="Galfera"/>
    <x v="35"/>
    <n v="1"/>
    <n v="18"/>
    <n v="78"/>
    <x v="2"/>
    <s v="200ster Besuch Baschi - Gutschein chf 200.00"/>
    <m/>
    <m/>
    <m/>
  </r>
  <r>
    <x v="0"/>
    <d v="2024-08-29T00:00:00"/>
    <n v="8"/>
    <x v="34"/>
    <n v="1"/>
    <x v="33"/>
    <s v="Galfera"/>
    <x v="227"/>
    <n v="2"/>
    <n v="40"/>
    <n v="160"/>
    <x v="2"/>
    <s v="Barbara, Claude, Drehen mit Samantha"/>
    <m/>
    <m/>
    <m/>
  </r>
  <r>
    <x v="0"/>
    <d v="2024-08-30T00:00:00"/>
    <n v="8"/>
    <x v="34"/>
    <n v="1"/>
    <x v="33"/>
    <s v="Galfera"/>
    <x v="35"/>
    <n v="2"/>
    <n v="37"/>
    <n v="157"/>
    <x v="2"/>
    <m/>
    <m/>
    <m/>
    <m/>
  </r>
  <r>
    <x v="0"/>
    <d v="2024-08-31T00:00:00"/>
    <n v="8"/>
    <x v="34"/>
    <n v="1"/>
    <x v="33"/>
    <s v="Heimat"/>
    <x v="166"/>
    <n v="1"/>
    <n v="4"/>
    <n v="64"/>
    <x v="2"/>
    <m/>
    <m/>
    <m/>
    <m/>
  </r>
  <r>
    <x v="0"/>
    <d v="2024-09-01T00:00:00"/>
    <n v="9"/>
    <x v="34"/>
    <n v="1"/>
    <x v="33"/>
    <s v="Heimat"/>
    <x v="63"/>
    <n v="2"/>
    <n v="5"/>
    <n v="125"/>
    <x v="2"/>
    <m/>
    <m/>
    <m/>
    <m/>
  </r>
  <r>
    <x v="0"/>
    <d v="2024-09-03T00:00:00"/>
    <n v="9"/>
    <x v="34"/>
    <n v="1"/>
    <x v="33"/>
    <s v="Heimat"/>
    <x v="63"/>
    <m/>
    <n v="17"/>
    <n v="17"/>
    <x v="2"/>
    <m/>
    <m/>
    <m/>
    <m/>
  </r>
  <r>
    <x v="0"/>
    <d v="2024-09-06T00:00:00"/>
    <n v="9"/>
    <x v="34"/>
    <n v="1"/>
    <x v="33"/>
    <s v="Galfera"/>
    <x v="35"/>
    <m/>
    <n v="59"/>
    <n v="59"/>
    <x v="2"/>
    <m/>
    <m/>
    <m/>
    <m/>
  </r>
  <r>
    <x v="0"/>
    <d v="2024-09-18T00:00:00"/>
    <n v="9"/>
    <x v="34"/>
    <n v="1"/>
    <x v="33"/>
    <s v="Heimat"/>
    <x v="35"/>
    <m/>
    <n v="39"/>
    <n v="39"/>
    <x v="2"/>
    <m/>
    <m/>
    <m/>
    <m/>
  </r>
  <r>
    <x v="0"/>
    <d v="2024-09-19T00:00:00"/>
    <n v="9"/>
    <x v="34"/>
    <n v="1"/>
    <x v="33"/>
    <s v="Heimat"/>
    <x v="35"/>
    <m/>
    <n v="59"/>
    <n v="59"/>
    <x v="2"/>
    <m/>
    <m/>
    <m/>
    <m/>
  </r>
  <r>
    <x v="0"/>
    <d v="2024-09-20T00:00:00"/>
    <n v="9"/>
    <x v="34"/>
    <n v="1"/>
    <x v="33"/>
    <s v="Heimat"/>
    <x v="227"/>
    <n v="1"/>
    <n v="21"/>
    <n v="81"/>
    <x v="2"/>
    <m/>
    <m/>
    <m/>
    <m/>
  </r>
  <r>
    <x v="0"/>
    <d v="2021-09-21T00:00:00"/>
    <n v="9"/>
    <x v="31"/>
    <n v="1"/>
    <x v="33"/>
    <s v="Santa Maria West"/>
    <x v="418"/>
    <m/>
    <n v="16"/>
    <n v="16"/>
    <x v="54"/>
    <m/>
    <m/>
    <m/>
    <m/>
  </r>
  <r>
    <x v="0"/>
    <d v="2024-09-21T00:00:00"/>
    <n v="9"/>
    <x v="34"/>
    <n v="1"/>
    <x v="33"/>
    <s v="Santa Maria West"/>
    <x v="418"/>
    <m/>
    <n v="23"/>
    <n v="23"/>
    <x v="54"/>
    <m/>
    <m/>
    <m/>
    <m/>
  </r>
  <r>
    <x v="0"/>
    <d v="2024-09-22T00:00:00"/>
    <n v="9"/>
    <x v="34"/>
    <n v="1"/>
    <x v="36"/>
    <s v="Santa Maria Süd"/>
    <x v="418"/>
    <m/>
    <n v="12"/>
    <n v="12"/>
    <x v="54"/>
    <m/>
    <m/>
    <m/>
    <m/>
  </r>
  <r>
    <x v="0"/>
    <d v="2024-09-25T00:00:00"/>
    <n v="9"/>
    <x v="34"/>
    <n v="1"/>
    <x v="33"/>
    <s v="Heimat"/>
    <x v="63"/>
    <m/>
    <n v="18"/>
    <n v="18"/>
    <x v="2"/>
    <m/>
    <m/>
    <m/>
    <m/>
  </r>
  <r>
    <x v="0"/>
    <d v="2024-09-29T00:00:00"/>
    <n v="9"/>
    <x v="34"/>
    <n v="1"/>
    <x v="33"/>
    <s v="Puy Aillaud"/>
    <x v="383"/>
    <n v="1"/>
    <n v="41"/>
    <n v="101"/>
    <x v="48"/>
    <m/>
    <m/>
    <m/>
    <m/>
  </r>
  <r>
    <x v="0"/>
    <d v="2024-09-30T00:00:00"/>
    <n v="9"/>
    <x v="34"/>
    <n v="1"/>
    <x v="33"/>
    <s v="St Vincent Les Forts"/>
    <x v="160"/>
    <m/>
    <n v="22"/>
    <n v="22"/>
    <x v="48"/>
    <m/>
    <m/>
    <m/>
    <m/>
  </r>
  <r>
    <x v="0"/>
    <d v="2024-09-30T00:00:00"/>
    <n v="9"/>
    <x v="34"/>
    <n v="0"/>
    <x v="33"/>
    <s v="St Vincent Les Forts"/>
    <x v="162"/>
    <n v="1"/>
    <n v="15"/>
    <n v="75"/>
    <x v="48"/>
    <m/>
    <m/>
    <m/>
    <m/>
  </r>
  <r>
    <x v="0"/>
    <d v="2024-10-01T00:00:00"/>
    <n v="10"/>
    <x v="34"/>
    <n v="1"/>
    <x v="33"/>
    <s v="Les Richards"/>
    <x v="382"/>
    <m/>
    <n v="9"/>
    <n v="9"/>
    <x v="48"/>
    <m/>
    <m/>
    <m/>
    <m/>
  </r>
  <r>
    <x v="0"/>
    <d v="2024-10-02T00:00:00"/>
    <n v="10"/>
    <x v="34"/>
    <n v="1"/>
    <x v="33"/>
    <s v="Les Richards"/>
    <x v="382"/>
    <n v="1"/>
    <n v="6"/>
    <n v="66"/>
    <x v="48"/>
    <m/>
    <m/>
    <m/>
    <m/>
  </r>
  <r>
    <x v="0"/>
    <d v="2024-10-02T00:00:00"/>
    <n v="10"/>
    <x v="34"/>
    <n v="0"/>
    <x v="33"/>
    <s v="Les Richards"/>
    <x v="419"/>
    <m/>
    <n v="45"/>
    <n v="45"/>
    <x v="48"/>
    <m/>
    <m/>
    <m/>
    <m/>
  </r>
  <r>
    <x v="0"/>
    <d v="2024-10-03T00:00:00"/>
    <n v="10"/>
    <x v="34"/>
    <n v="1"/>
    <x v="33"/>
    <s v="Chalves W"/>
    <x v="71"/>
    <n v="1"/>
    <n v="31"/>
    <n v="91"/>
    <x v="48"/>
    <m/>
    <m/>
    <m/>
    <m/>
  </r>
  <r>
    <x v="0"/>
    <d v="2024-10-03T00:00:00"/>
    <n v="10"/>
    <x v="34"/>
    <n v="0"/>
    <x v="33"/>
    <s v="Chalves W"/>
    <x v="71"/>
    <m/>
    <n v="41"/>
    <n v="41"/>
    <x v="48"/>
    <m/>
    <m/>
    <m/>
    <m/>
  </r>
  <r>
    <x v="0"/>
    <d v="2024-10-04T00:00:00"/>
    <n v="10"/>
    <x v="34"/>
    <n v="1"/>
    <x v="33"/>
    <s v="Montdenir - Moustiers-Sainte-Marie"/>
    <x v="420"/>
    <n v="1"/>
    <n v="20"/>
    <n v="80"/>
    <x v="48"/>
    <m/>
    <m/>
    <m/>
    <m/>
  </r>
  <r>
    <x v="0"/>
    <d v="2024-10-05T00:00:00"/>
    <n v="10"/>
    <x v="34"/>
    <n v="1"/>
    <x v="33"/>
    <s v="Chalves W"/>
    <x v="71"/>
    <n v="1"/>
    <n v="26"/>
    <n v="86"/>
    <x v="48"/>
    <m/>
    <m/>
    <m/>
    <m/>
  </r>
  <r>
    <x v="0"/>
    <d v="2024-10-09T00:00:00"/>
    <n v="10"/>
    <x v="34"/>
    <n v="1"/>
    <x v="33"/>
    <s v="Chalwes S"/>
    <x v="71"/>
    <m/>
    <n v="9"/>
    <n v="9"/>
    <x v="28"/>
    <m/>
    <m/>
    <m/>
    <m/>
  </r>
  <r>
    <x v="0"/>
    <d v="2024-10-09T00:00:00"/>
    <n v="10"/>
    <x v="34"/>
    <n v="0"/>
    <x v="33"/>
    <s v="Chalves S"/>
    <x v="71"/>
    <m/>
    <n v="25"/>
    <n v="25"/>
    <x v="28"/>
    <m/>
    <m/>
    <m/>
    <m/>
  </r>
  <r>
    <x v="0"/>
    <d v="2024-10-10T00:00:00"/>
    <n v="10"/>
    <x v="34"/>
    <n v="1"/>
    <x v="37"/>
    <s v="St. Jean de Montclar"/>
    <x v="421"/>
    <m/>
    <n v="8"/>
    <n v="8"/>
    <x v="28"/>
    <m/>
    <m/>
    <m/>
    <m/>
  </r>
  <r>
    <x v="0"/>
    <d v="2024-10-10T00:00:00"/>
    <n v="10"/>
    <x v="34"/>
    <n v="0"/>
    <x v="37"/>
    <s v="St Vincent Les Forts"/>
    <x v="160"/>
    <m/>
    <n v="24"/>
    <n v="24"/>
    <x v="28"/>
    <m/>
    <m/>
    <m/>
    <m/>
  </r>
  <r>
    <x v="0"/>
    <d v="2024-10-11T00:00:00"/>
    <n v="10"/>
    <x v="34"/>
    <n v="1"/>
    <x v="37"/>
    <s v="Chalves S"/>
    <x v="422"/>
    <n v="1"/>
    <n v="12"/>
    <n v="72"/>
    <x v="28"/>
    <m/>
    <m/>
    <m/>
    <m/>
  </r>
  <r>
    <x v="0"/>
    <d v="2024-10-11T00:00:00"/>
    <n v="10"/>
    <x v="34"/>
    <n v="0"/>
    <x v="37"/>
    <s v="Chalves W"/>
    <x v="71"/>
    <n v="1"/>
    <n v="13"/>
    <n v="73"/>
    <x v="28"/>
    <m/>
    <m/>
    <m/>
    <m/>
  </r>
  <r>
    <x v="0"/>
    <d v="2024-10-12T00:00:00"/>
    <n v="10"/>
    <x v="34"/>
    <n v="1"/>
    <x v="37"/>
    <s v="Chalves S"/>
    <x v="71"/>
    <n v="1"/>
    <n v="40"/>
    <n v="100"/>
    <x v="28"/>
    <m/>
    <m/>
    <m/>
    <m/>
  </r>
  <r>
    <x v="0"/>
    <d v="2024-10-19T00:00:00"/>
    <n v="10"/>
    <x v="34"/>
    <n v="1"/>
    <x v="33"/>
    <s v="Steibenkreuz"/>
    <x v="185"/>
    <m/>
    <n v="17"/>
    <n v="17"/>
    <x v="2"/>
    <m/>
    <m/>
    <m/>
    <m/>
  </r>
  <r>
    <x v="0"/>
    <d v="2024-10-23T00:00:00"/>
    <n v="10"/>
    <x v="34"/>
    <n v="1"/>
    <x v="33"/>
    <s v="Heimat"/>
    <x v="35"/>
    <m/>
    <n v="39"/>
    <n v="39"/>
    <x v="2"/>
    <m/>
    <m/>
    <m/>
    <m/>
  </r>
  <r>
    <x v="0"/>
    <d v="2024-10-27T00:00:00"/>
    <n v="10"/>
    <x v="34"/>
    <n v="1"/>
    <x v="33"/>
    <s v="Montelano"/>
    <x v="423"/>
    <n v="1"/>
    <n v="31"/>
    <n v="91"/>
    <x v="55"/>
    <m/>
    <m/>
    <m/>
    <m/>
  </r>
  <r>
    <x v="0"/>
    <d v="2024-10-27T00:00:00"/>
    <n v="10"/>
    <x v="34"/>
    <n v="0"/>
    <x v="33"/>
    <s v="Montelano"/>
    <x v="423"/>
    <n v="1"/>
    <n v="9"/>
    <n v="69"/>
    <x v="55"/>
    <m/>
    <m/>
    <m/>
    <m/>
  </r>
  <r>
    <x v="0"/>
    <d v="2024-10-31T00:00:00"/>
    <n v="10"/>
    <x v="34"/>
    <n v="1"/>
    <x v="33"/>
    <s v="Heimat"/>
    <x v="227"/>
    <n v="1"/>
    <n v="17"/>
    <n v="77"/>
    <x v="2"/>
    <m/>
    <m/>
    <m/>
    <m/>
  </r>
  <r>
    <x v="0"/>
    <d v="2024-11-01T00:00:00"/>
    <n v="11"/>
    <x v="34"/>
    <n v="1"/>
    <x v="33"/>
    <s v="Heimat"/>
    <x v="63"/>
    <m/>
    <n v="19"/>
    <n v="19"/>
    <x v="2"/>
    <m/>
    <m/>
    <m/>
    <m/>
  </r>
  <r>
    <x v="0"/>
    <d v="2024-11-02T00:00:00"/>
    <n v="11"/>
    <x v="34"/>
    <n v="1"/>
    <x v="26"/>
    <s v="Steibenkreuz"/>
    <x v="63"/>
    <m/>
    <n v="13"/>
    <n v="13"/>
    <x v="2"/>
    <m/>
    <m/>
    <m/>
    <m/>
  </r>
  <r>
    <x v="0"/>
    <d v="2024-11-03T00:00:00"/>
    <n v="11"/>
    <x v="34"/>
    <n v="1"/>
    <x v="33"/>
    <s v="Torrent"/>
    <x v="23"/>
    <m/>
    <n v="50"/>
    <n v="50"/>
    <x v="2"/>
    <s v="Gedenkfliegen"/>
    <m/>
    <m/>
    <m/>
  </r>
  <r>
    <x v="0"/>
    <d v="2024-11-04T00:00:00"/>
    <n v="11"/>
    <x v="34"/>
    <n v="1"/>
    <x v="37"/>
    <s v="Heimat"/>
    <x v="63"/>
    <m/>
    <n v="15"/>
    <n v="15"/>
    <x v="2"/>
    <s v="Fehlstart Arm angeschlagen"/>
    <m/>
    <m/>
    <m/>
  </r>
  <r>
    <x v="0"/>
    <d v="2024-11-05T00:00:00"/>
    <n v="11"/>
    <x v="34"/>
    <n v="1"/>
    <x v="32"/>
    <s v="Heimat"/>
    <x v="63"/>
    <n v="1"/>
    <n v="9"/>
    <n v="69"/>
    <x v="2"/>
    <m/>
    <m/>
    <m/>
    <m/>
  </r>
  <r>
    <x v="0"/>
    <d v="2024-11-07T00:00:00"/>
    <n v="11"/>
    <x v="34"/>
    <n v="1"/>
    <x v="32"/>
    <s v="Heimat"/>
    <x v="63"/>
    <n v="1"/>
    <n v="7"/>
    <n v="67"/>
    <x v="2"/>
    <m/>
    <m/>
    <m/>
    <m/>
  </r>
  <r>
    <x v="0"/>
    <d v="2024-11-08T00:00:00"/>
    <n v="11"/>
    <x v="34"/>
    <n v="1"/>
    <x v="32"/>
    <s v="Heimat"/>
    <x v="227"/>
    <n v="1"/>
    <n v="46"/>
    <n v="106"/>
    <x v="2"/>
    <m/>
    <m/>
    <m/>
    <m/>
  </r>
  <r>
    <x v="0"/>
    <d v="2024-11-09T00:00:00"/>
    <n v="11"/>
    <x v="34"/>
    <n v="1"/>
    <x v="32"/>
    <s v="Heimat"/>
    <x v="63"/>
    <m/>
    <n v="19"/>
    <n v="19"/>
    <x v="2"/>
    <m/>
    <m/>
    <m/>
    <m/>
  </r>
  <r>
    <x v="0"/>
    <d v="2024-11-10T00:00:00"/>
    <n v="11"/>
    <x v="34"/>
    <n v="1"/>
    <x v="32"/>
    <s v="Heimat"/>
    <x v="63"/>
    <n v="2"/>
    <n v="16"/>
    <n v="136"/>
    <x v="2"/>
    <m/>
    <m/>
    <m/>
    <m/>
  </r>
  <r>
    <x v="0"/>
    <d v="2024-11-11T00:00:00"/>
    <n v="11"/>
    <x v="34"/>
    <n v="1"/>
    <x v="32"/>
    <s v="Heimat"/>
    <x v="63"/>
    <m/>
    <n v="40"/>
    <n v="40"/>
    <x v="2"/>
    <m/>
    <m/>
    <m/>
    <m/>
  </r>
  <r>
    <x v="0"/>
    <d v="2024-11-15T00:00:00"/>
    <n v="11"/>
    <x v="34"/>
    <n v="1"/>
    <x v="26"/>
    <s v="Eggebiel"/>
    <x v="63"/>
    <m/>
    <n v="10"/>
    <n v="10"/>
    <x v="2"/>
    <m/>
    <m/>
    <m/>
    <m/>
  </r>
  <r>
    <x v="0"/>
    <d v="2024-11-16T00:00:00"/>
    <n v="11"/>
    <x v="34"/>
    <n v="1"/>
    <x v="32"/>
    <s v="Heimat"/>
    <x v="227"/>
    <m/>
    <n v="32"/>
    <n v="32"/>
    <x v="2"/>
    <m/>
    <m/>
    <m/>
    <m/>
  </r>
  <r>
    <x v="0"/>
    <d v="2024-11-27T00:00:00"/>
    <n v="11"/>
    <x v="34"/>
    <n v="1"/>
    <x v="32"/>
    <s v="Heimat"/>
    <x v="120"/>
    <n v="1"/>
    <n v="9"/>
    <n v="69"/>
    <x v="2"/>
    <m/>
    <m/>
    <m/>
    <m/>
  </r>
  <r>
    <x v="0"/>
    <d v="2024-12-01T00:00:00"/>
    <n v="12"/>
    <x v="34"/>
    <n v="1"/>
    <x v="32"/>
    <s v="Heimat"/>
    <x v="227"/>
    <m/>
    <n v="47"/>
    <n v="47"/>
    <x v="2"/>
    <m/>
    <m/>
    <m/>
    <m/>
  </r>
  <r>
    <x v="0"/>
    <d v="2024-12-11T00:00:00"/>
    <n v="12"/>
    <x v="34"/>
    <n v="1"/>
    <x v="32"/>
    <s v="Heimat"/>
    <x v="63"/>
    <m/>
    <n v="40"/>
    <n v="40"/>
    <x v="2"/>
    <m/>
    <m/>
    <m/>
    <m/>
  </r>
  <r>
    <x v="0"/>
    <d v="2024-12-12T00:00:00"/>
    <n v="12"/>
    <x v="34"/>
    <n v="1"/>
    <x v="32"/>
    <s v="Heimat"/>
    <x v="63"/>
    <m/>
    <n v="30"/>
    <n v="30"/>
    <x v="2"/>
    <m/>
    <m/>
    <m/>
    <m/>
  </r>
  <r>
    <x v="0"/>
    <d v="2024-12-13T00:00:00"/>
    <n v="12"/>
    <x v="34"/>
    <n v="1"/>
    <x v="32"/>
    <s v="Heimat"/>
    <x v="35"/>
    <m/>
    <n v="56"/>
    <n v="56"/>
    <x v="2"/>
    <m/>
    <m/>
    <m/>
    <m/>
  </r>
  <r>
    <x v="0"/>
    <d v="2024-12-16T00:00:00"/>
    <n v="12"/>
    <x v="34"/>
    <n v="1"/>
    <x v="33"/>
    <s v="Heimat"/>
    <x v="63"/>
    <m/>
    <n v="21"/>
    <n v="21"/>
    <x v="2"/>
    <m/>
    <m/>
    <m/>
    <m/>
  </r>
  <r>
    <x v="0"/>
    <d v="2024-12-28T00:00:00"/>
    <n v="12"/>
    <x v="34"/>
    <n v="1"/>
    <x v="32"/>
    <s v="Heimat"/>
    <x v="35"/>
    <n v="1"/>
    <n v="22"/>
    <n v="82"/>
    <x v="2"/>
    <m/>
    <m/>
    <m/>
    <m/>
  </r>
  <r>
    <x v="0"/>
    <d v="2024-12-29T00:00:00"/>
    <n v="12"/>
    <x v="34"/>
    <n v="1"/>
    <x v="32"/>
    <s v="Heimat"/>
    <x v="63"/>
    <m/>
    <n v="53"/>
    <n v="53"/>
    <x v="2"/>
    <s v="ohne Vario"/>
    <m/>
    <m/>
    <m/>
  </r>
  <r>
    <x v="0"/>
    <d v="2024-12-30T00:00:00"/>
    <n v="12"/>
    <x v="34"/>
    <n v="1"/>
    <x v="32"/>
    <s v="Heimat"/>
    <x v="35"/>
    <n v="1"/>
    <n v="49"/>
    <n v="109"/>
    <x v="2"/>
    <m/>
    <m/>
    <m/>
    <m/>
  </r>
  <r>
    <x v="0"/>
    <d v="2024-12-31T00:00:00"/>
    <n v="12"/>
    <x v="34"/>
    <n v="1"/>
    <x v="32"/>
    <s v="Heimat"/>
    <x v="63"/>
    <n v="1"/>
    <n v="38"/>
    <n v="98"/>
    <x v="2"/>
    <m/>
    <m/>
    <m/>
    <m/>
  </r>
  <r>
    <x v="0"/>
    <d v="2025-01-14T00:00:00"/>
    <n v="1"/>
    <x v="35"/>
    <n v="1"/>
    <x v="32"/>
    <s v="Heimat"/>
    <x v="63"/>
    <n v="1"/>
    <n v="2"/>
    <n v="62"/>
    <x v="2"/>
    <m/>
    <m/>
    <m/>
    <m/>
  </r>
  <r>
    <x v="0"/>
    <d v="2025-01-16T00:00:00"/>
    <n v="1"/>
    <x v="35"/>
    <n v="1"/>
    <x v="32"/>
    <s v="Heimat"/>
    <x v="63"/>
    <m/>
    <n v="49"/>
    <n v="49"/>
    <x v="2"/>
    <m/>
    <m/>
    <m/>
    <m/>
  </r>
  <r>
    <x v="0"/>
    <d v="2025-01-17T00:00:00"/>
    <n v="1"/>
    <x v="35"/>
    <n v="1"/>
    <x v="32"/>
    <s v="Heimat"/>
    <x v="63"/>
    <m/>
    <n v="26"/>
    <n v="26"/>
    <x v="2"/>
    <m/>
    <m/>
    <m/>
    <m/>
  </r>
  <r>
    <x v="0"/>
    <d v="2025-01-21T00:00:00"/>
    <n v="1"/>
    <x v="35"/>
    <n v="1"/>
    <x v="32"/>
    <s v="Heimat"/>
    <x v="35"/>
    <n v="1"/>
    <n v="17"/>
    <n v="77"/>
    <x v="2"/>
    <m/>
    <m/>
    <m/>
    <m/>
  </r>
  <r>
    <x v="0"/>
    <d v="2025-02-02T00:00:00"/>
    <n v="2"/>
    <x v="35"/>
    <n v="1"/>
    <x v="32"/>
    <s v="Heimat"/>
    <x v="63"/>
    <n v="1"/>
    <n v="38"/>
    <n v="98"/>
    <x v="2"/>
    <m/>
    <m/>
    <m/>
    <m/>
  </r>
  <r>
    <x v="0"/>
    <d v="2025-02-03T00:00:00"/>
    <n v="2"/>
    <x v="35"/>
    <n v="1"/>
    <x v="32"/>
    <s v="Heimat"/>
    <x v="63"/>
    <m/>
    <n v="28"/>
    <n v="28"/>
    <x v="2"/>
    <m/>
    <m/>
    <m/>
    <m/>
  </r>
  <r>
    <x v="0"/>
    <d v="2025-02-04T00:00:00"/>
    <n v="2"/>
    <x v="35"/>
    <n v="1"/>
    <x v="32"/>
    <s v="Heimat"/>
    <x v="227"/>
    <m/>
    <n v="51"/>
    <n v="51"/>
    <x v="2"/>
    <m/>
    <m/>
    <m/>
    <m/>
  </r>
  <r>
    <x v="0"/>
    <d v="2025-02-05T00:00:00"/>
    <n v="2"/>
    <x v="35"/>
    <n v="1"/>
    <x v="32"/>
    <s v="Heimat"/>
    <x v="63"/>
    <n v="1"/>
    <n v="34"/>
    <n v="94"/>
    <x v="2"/>
    <m/>
    <m/>
    <m/>
    <m/>
  </r>
  <r>
    <x v="0"/>
    <d v="2025-02-06T00:00:00"/>
    <n v="2"/>
    <x v="35"/>
    <n v="1"/>
    <x v="32"/>
    <s v="Heimat"/>
    <x v="35"/>
    <n v="1"/>
    <n v="29"/>
    <n v="89"/>
    <x v="2"/>
    <m/>
    <m/>
    <m/>
    <m/>
  </r>
  <r>
    <x v="0"/>
    <d v="2025-02-12T00:00:00"/>
    <n v="2"/>
    <x v="35"/>
    <n v="1"/>
    <x v="32"/>
    <s v="Heimat"/>
    <x v="63"/>
    <m/>
    <n v="56"/>
    <n v="56"/>
    <x v="2"/>
    <m/>
    <m/>
    <m/>
    <m/>
  </r>
  <r>
    <x v="0"/>
    <d v="2025-02-15T00:00:00"/>
    <n v="2"/>
    <x v="35"/>
    <n v="1"/>
    <x v="32"/>
    <s v="Heimat"/>
    <x v="63"/>
    <n v="1"/>
    <n v="5"/>
    <n v="65"/>
    <x v="2"/>
    <m/>
    <m/>
    <m/>
    <m/>
  </r>
  <r>
    <x v="0"/>
    <d v="2025-02-17T00:00:00"/>
    <n v="2"/>
    <x v="35"/>
    <n v="1"/>
    <x v="32"/>
    <s v="Heimat"/>
    <x v="311"/>
    <n v="1"/>
    <n v="1"/>
    <n v="61"/>
    <x v="2"/>
    <m/>
    <m/>
    <m/>
    <m/>
  </r>
  <r>
    <x v="0"/>
    <d v="2025-02-18T00:00:00"/>
    <n v="2"/>
    <x v="35"/>
    <n v="1"/>
    <x v="37"/>
    <s v="Heimat"/>
    <x v="35"/>
    <n v="1"/>
    <n v="3"/>
    <n v="63"/>
    <x v="2"/>
    <m/>
    <m/>
    <m/>
    <m/>
  </r>
  <r>
    <x v="0"/>
    <d v="2025-02-19T00:00:00"/>
    <n v="2"/>
    <x v="35"/>
    <n v="1"/>
    <x v="37"/>
    <s v="Heimat"/>
    <x v="35"/>
    <n v="1"/>
    <n v="15"/>
    <n v="75"/>
    <x v="2"/>
    <s v="Gutschein verfressen"/>
    <m/>
    <m/>
    <m/>
  </r>
  <r>
    <x v="0"/>
    <d v="2025-02-20T00:00:00"/>
    <n v="2"/>
    <x v="35"/>
    <n v="1"/>
    <x v="37"/>
    <s v="Heimat"/>
    <x v="63"/>
    <n v="1"/>
    <n v="47"/>
    <n v="107"/>
    <x v="2"/>
    <m/>
    <m/>
    <m/>
    <m/>
  </r>
  <r>
    <x v="0"/>
    <d v="2025-02-21T00:00:00"/>
    <n v="2"/>
    <x v="35"/>
    <n v="1"/>
    <x v="37"/>
    <s v="Heimat"/>
    <x v="35"/>
    <m/>
    <n v="48"/>
    <n v="48"/>
    <x v="2"/>
    <s v="2000ster Flug"/>
    <m/>
    <m/>
    <m/>
  </r>
  <r>
    <x v="0"/>
    <d v="2025-02-23T00:00:00"/>
    <n v="2"/>
    <x v="35"/>
    <n v="1"/>
    <x v="37"/>
    <s v="Heimat"/>
    <x v="63"/>
    <n v="2"/>
    <n v="0"/>
    <n v="120"/>
    <x v="2"/>
    <m/>
    <m/>
    <m/>
    <m/>
  </r>
  <r>
    <x v="0"/>
    <d v="2025-02-24T00:00:00"/>
    <n v="2"/>
    <x v="35"/>
    <n v="1"/>
    <x v="37"/>
    <s v="Heimat"/>
    <x v="63"/>
    <m/>
    <n v="31"/>
    <n v="31"/>
    <x v="2"/>
    <m/>
    <m/>
    <m/>
    <m/>
  </r>
  <r>
    <x v="0"/>
    <d v="2025-02-28T00:00:00"/>
    <n v="2"/>
    <x v="35"/>
    <n v="1"/>
    <x v="37"/>
    <s v="Heimat"/>
    <x v="35"/>
    <n v="1"/>
    <n v="11"/>
    <n v="71"/>
    <x v="2"/>
    <m/>
    <m/>
    <m/>
    <m/>
  </r>
  <r>
    <x v="0"/>
    <d v="2025-03-02T00:00:00"/>
    <n v="3"/>
    <x v="35"/>
    <n v="1"/>
    <x v="37"/>
    <s v="Heimat"/>
    <x v="63"/>
    <n v="2"/>
    <n v="22"/>
    <n v="142"/>
    <x v="2"/>
    <m/>
    <m/>
    <m/>
    <m/>
  </r>
  <r>
    <x v="0"/>
    <d v="2025-03-03T00:00:00"/>
    <n v="3"/>
    <x v="35"/>
    <n v="1"/>
    <x v="37"/>
    <s v="Steibenkreuz"/>
    <x v="63"/>
    <n v="1"/>
    <n v="19"/>
    <n v="79"/>
    <x v="2"/>
    <m/>
    <m/>
    <m/>
    <m/>
  </r>
  <r>
    <x v="0"/>
    <d v="2025-03-04T00:00:00"/>
    <n v="3"/>
    <x v="35"/>
    <n v="1"/>
    <x v="37"/>
    <s v="Heimat"/>
    <x v="63"/>
    <n v="1"/>
    <n v="7"/>
    <n v="67"/>
    <x v="2"/>
    <m/>
    <m/>
    <m/>
    <m/>
  </r>
  <r>
    <x v="0"/>
    <d v="2025-03-11T00:00:00"/>
    <n v="3"/>
    <x v="35"/>
    <n v="1"/>
    <x v="37"/>
    <s v="Heimat"/>
    <x v="35"/>
    <m/>
    <n v="52"/>
    <n v="52"/>
    <x v="2"/>
    <m/>
    <m/>
    <m/>
    <m/>
  </r>
  <r>
    <x v="0"/>
    <d v="2025-03-17T00:00:00"/>
    <n v="3"/>
    <x v="35"/>
    <n v="1"/>
    <x v="37"/>
    <s v="Heimat"/>
    <x v="227"/>
    <m/>
    <n v="51"/>
    <n v="51"/>
    <x v="2"/>
    <m/>
    <m/>
    <m/>
    <m/>
  </r>
  <r>
    <x v="0"/>
    <d v="2025-03-19T00:00:00"/>
    <n v="3"/>
    <x v="35"/>
    <n v="1"/>
    <x v="37"/>
    <s v="Heimat"/>
    <x v="227"/>
    <m/>
    <n v="49"/>
    <n v="49"/>
    <x v="2"/>
    <m/>
    <m/>
    <m/>
    <m/>
  </r>
  <r>
    <x v="0"/>
    <d v="2025-03-20T00:00:00"/>
    <n v="3"/>
    <x v="35"/>
    <n v="1"/>
    <x v="37"/>
    <s v="Heimat"/>
    <x v="35"/>
    <m/>
    <n v="43"/>
    <n v="43"/>
    <x v="2"/>
    <m/>
    <m/>
    <m/>
    <m/>
  </r>
  <r>
    <x v="0"/>
    <d v="2025-03-24T00:00:00"/>
    <n v="3"/>
    <x v="35"/>
    <n v="1"/>
    <x v="37"/>
    <s v="Heimat"/>
    <x v="185"/>
    <m/>
    <n v="46"/>
    <n v="46"/>
    <x v="2"/>
    <m/>
    <m/>
    <m/>
    <m/>
  </r>
  <r>
    <x v="0"/>
    <d v="2025-03-25T00:00:00"/>
    <n v="3"/>
    <x v="35"/>
    <n v="1"/>
    <x v="37"/>
    <s v="Heimat"/>
    <x v="35"/>
    <n v="1"/>
    <n v="15"/>
    <n v="75"/>
    <x v="2"/>
    <m/>
    <m/>
    <m/>
    <m/>
  </r>
  <r>
    <x v="0"/>
    <d v="2025-03-27T00:00:00"/>
    <n v="3"/>
    <x v="35"/>
    <n v="1"/>
    <x v="37"/>
    <s v="San Fermo"/>
    <x v="424"/>
    <n v="1"/>
    <n v="20"/>
    <n v="80"/>
    <x v="56"/>
    <m/>
    <m/>
    <m/>
    <m/>
  </r>
  <r>
    <x v="0"/>
    <d v="2025-03-28T00:00:00"/>
    <n v="3"/>
    <x v="35"/>
    <n v="1"/>
    <x v="37"/>
    <s v="Caltrano Monte Forao"/>
    <x v="425"/>
    <m/>
    <n v="52"/>
    <n v="52"/>
    <x v="56"/>
    <m/>
    <m/>
    <m/>
    <m/>
  </r>
  <r>
    <x v="0"/>
    <d v="2025-03-29T00:00:00"/>
    <n v="3"/>
    <x v="35"/>
    <n v="1"/>
    <x v="37"/>
    <s v="San Fermo"/>
    <x v="135"/>
    <m/>
    <n v="31"/>
    <n v="31"/>
    <x v="56"/>
    <m/>
    <m/>
    <m/>
    <m/>
  </r>
  <r>
    <x v="0"/>
    <d v="2025-03-30T00:00:00"/>
    <n v="3"/>
    <x v="35"/>
    <n v="1"/>
    <x v="37"/>
    <s v="Santa Elisabetta"/>
    <x v="426"/>
    <n v="1"/>
    <n v="32"/>
    <n v="92"/>
    <x v="56"/>
    <m/>
    <m/>
    <m/>
    <m/>
  </r>
  <r>
    <x v="0"/>
    <d v="2025-03-31T00:00:00"/>
    <n v="3"/>
    <x v="35"/>
    <n v="1"/>
    <x v="37"/>
    <s v="Santa Elisabetta"/>
    <x v="426"/>
    <n v="1"/>
    <n v="54"/>
    <n v="114"/>
    <x v="56"/>
    <m/>
    <m/>
    <m/>
    <m/>
  </r>
  <r>
    <x v="0"/>
    <d v="2025-04-01T00:00:00"/>
    <n v="4"/>
    <x v="35"/>
    <n v="1"/>
    <x v="37"/>
    <s v="Santa Elisabetta"/>
    <x v="427"/>
    <m/>
    <n v="30"/>
    <n v="30"/>
    <x v="56"/>
    <m/>
    <m/>
    <m/>
    <m/>
  </r>
  <r>
    <x v="1"/>
    <d v="2025-04-02T00:00:00"/>
    <n v="4"/>
    <x v="35"/>
    <n v="0"/>
    <x v="37"/>
    <s v="San Fermo"/>
    <x v="133"/>
    <m/>
    <n v="12"/>
    <n v="12"/>
    <x v="56"/>
    <m/>
    <m/>
    <m/>
    <m/>
  </r>
  <r>
    <x v="1"/>
    <d v="2025-04-02T00:00:00"/>
    <n v="4"/>
    <x v="35"/>
    <n v="0"/>
    <x v="37"/>
    <s v="San Fermo"/>
    <x v="133"/>
    <m/>
    <n v="2"/>
    <n v="2"/>
    <x v="56"/>
    <m/>
    <m/>
    <m/>
    <m/>
  </r>
  <r>
    <x v="1"/>
    <d v="2025-04-02T00:00:00"/>
    <n v="4"/>
    <x v="35"/>
    <n v="0"/>
    <x v="37"/>
    <s v="San Fermo"/>
    <x v="133"/>
    <m/>
    <n v="1"/>
    <n v="1"/>
    <x v="56"/>
    <m/>
    <m/>
    <m/>
    <m/>
  </r>
  <r>
    <x v="0"/>
    <d v="2025-04-02T00:00:00"/>
    <n v="4"/>
    <x v="35"/>
    <n v="1"/>
    <x v="37"/>
    <s v="San Fermo"/>
    <x v="133"/>
    <m/>
    <n v="18"/>
    <n v="18"/>
    <x v="56"/>
    <m/>
    <m/>
    <m/>
    <m/>
  </r>
  <r>
    <x v="0"/>
    <d v="2025-04-02T00:00:00"/>
    <n v="4"/>
    <x v="35"/>
    <n v="0"/>
    <x v="37"/>
    <s v="San Fermo"/>
    <x v="133"/>
    <m/>
    <n v="33"/>
    <n v="33"/>
    <x v="56"/>
    <m/>
    <m/>
    <m/>
    <m/>
  </r>
  <r>
    <x v="0"/>
    <d v="2025-04-02T00:00:00"/>
    <n v="4"/>
    <x v="35"/>
    <n v="0"/>
    <x v="37"/>
    <s v="San Fermo"/>
    <x v="135"/>
    <m/>
    <n v="30"/>
    <n v="30"/>
    <x v="56"/>
    <m/>
    <m/>
    <m/>
    <m/>
  </r>
  <r>
    <x v="0"/>
    <d v="2025-04-03T00:00:00"/>
    <n v="4"/>
    <x v="35"/>
    <n v="1"/>
    <x v="37"/>
    <s v="Norma"/>
    <x v="428"/>
    <n v="1"/>
    <n v="9"/>
    <n v="69"/>
    <x v="57"/>
    <m/>
    <m/>
    <m/>
    <m/>
  </r>
  <r>
    <x v="0"/>
    <d v="2025-04-04T00:00:00"/>
    <n v="4"/>
    <x v="35"/>
    <n v="1"/>
    <x v="37"/>
    <s v="Norma"/>
    <x v="428"/>
    <n v="2"/>
    <n v="16"/>
    <n v="136"/>
    <x v="57"/>
    <m/>
    <m/>
    <m/>
    <m/>
  </r>
  <r>
    <x v="0"/>
    <d v="2025-04-04T00:00:00"/>
    <n v="4"/>
    <x v="35"/>
    <n v="0"/>
    <x v="37"/>
    <s v="Norma"/>
    <x v="428"/>
    <n v="1"/>
    <n v="58"/>
    <n v="118"/>
    <x v="57"/>
    <m/>
    <m/>
    <m/>
    <m/>
  </r>
  <r>
    <x v="0"/>
    <d v="2025-04-05T00:00:00"/>
    <n v="4"/>
    <x v="35"/>
    <n v="1"/>
    <x v="37"/>
    <s v="Poggio Bustone alto"/>
    <x v="429"/>
    <n v="2"/>
    <n v="2"/>
    <n v="122"/>
    <x v="57"/>
    <m/>
    <m/>
    <m/>
    <m/>
  </r>
  <r>
    <x v="0"/>
    <d v="2025-04-07T00:00:00"/>
    <n v="4"/>
    <x v="35"/>
    <n v="1"/>
    <x v="37"/>
    <s v="Norma"/>
    <x v="428"/>
    <n v="1"/>
    <n v="36"/>
    <n v="96"/>
    <x v="57"/>
    <m/>
    <m/>
    <m/>
    <m/>
  </r>
  <r>
    <x v="0"/>
    <d v="2025-04-07T00:00:00"/>
    <n v="4"/>
    <x v="35"/>
    <n v="0"/>
    <x v="37"/>
    <s v="Norma"/>
    <x v="428"/>
    <n v="1"/>
    <n v="43"/>
    <n v="103"/>
    <x v="57"/>
    <m/>
    <m/>
    <m/>
    <m/>
  </r>
  <r>
    <x v="0"/>
    <d v="2025-04-08T00:00:00"/>
    <n v="4"/>
    <x v="35"/>
    <n v="1"/>
    <x v="37"/>
    <s v="Terelle Cassino Monte"/>
    <x v="430"/>
    <n v="1"/>
    <n v="15"/>
    <n v="75"/>
    <x v="57"/>
    <m/>
    <m/>
    <m/>
    <m/>
  </r>
  <r>
    <x v="0"/>
    <d v="2025-04-09T00:00:00"/>
    <n v="4"/>
    <x v="35"/>
    <n v="1"/>
    <x v="37"/>
    <s v="Calvisi"/>
    <x v="431"/>
    <n v="3"/>
    <n v="12"/>
    <n v="192"/>
    <x v="57"/>
    <m/>
    <n v="8"/>
    <m/>
    <m/>
  </r>
  <r>
    <x v="0"/>
    <d v="2025-04-11T00:00:00"/>
    <n v="4"/>
    <x v="35"/>
    <n v="1"/>
    <x v="37"/>
    <s v="Heimat"/>
    <x v="63"/>
    <n v="1"/>
    <n v="22"/>
    <n v="82"/>
    <x v="2"/>
    <m/>
    <m/>
    <m/>
    <m/>
  </r>
  <r>
    <x v="0"/>
    <d v="2025-04-21T00:00:00"/>
    <n v="4"/>
    <x v="35"/>
    <n v="1"/>
    <x v="37"/>
    <s v="Heimat"/>
    <x v="227"/>
    <m/>
    <n v="26"/>
    <n v="26"/>
    <x v="2"/>
    <m/>
    <m/>
    <m/>
    <m/>
  </r>
  <r>
    <x v="0"/>
    <d v="2025-04-22T00:00:00"/>
    <n v="4"/>
    <x v="35"/>
    <n v="1"/>
    <x v="37"/>
    <s v="Riederalp Mitte"/>
    <x v="227"/>
    <n v="1"/>
    <n v="45"/>
    <n v="105"/>
    <x v="2"/>
    <m/>
    <m/>
    <m/>
    <m/>
  </r>
  <r>
    <x v="0"/>
    <d v="2025-04-26T00:00:00"/>
    <n v="4"/>
    <x v="35"/>
    <n v="1"/>
    <x v="37"/>
    <s v="Heimat"/>
    <x v="63"/>
    <n v="2"/>
    <n v="24"/>
    <n v="144"/>
    <x v="2"/>
    <m/>
    <m/>
    <m/>
    <m/>
  </r>
  <r>
    <x v="0"/>
    <d v="2025-04-27T00:00:00"/>
    <n v="4"/>
    <x v="35"/>
    <n v="1"/>
    <x v="37"/>
    <s v="Heimat"/>
    <x v="63"/>
    <m/>
    <n v="19"/>
    <n v="19"/>
    <x v="2"/>
    <m/>
    <m/>
    <m/>
    <m/>
  </r>
  <r>
    <x v="0"/>
    <d v="2025-04-28T00:00:00"/>
    <n v="4"/>
    <x v="35"/>
    <n v="1"/>
    <x v="37"/>
    <s v="Riederalp Mitte"/>
    <x v="148"/>
    <n v="1"/>
    <n v="2"/>
    <n v="62"/>
    <x v="2"/>
    <m/>
    <m/>
    <m/>
    <m/>
  </r>
  <r>
    <x v="0"/>
    <d v="2025-04-29T00:00:00"/>
    <n v="4"/>
    <x v="35"/>
    <n v="1"/>
    <x v="37"/>
    <s v="Heimat"/>
    <x v="227"/>
    <n v="1"/>
    <n v="32"/>
    <n v="92"/>
    <x v="2"/>
    <m/>
    <m/>
    <m/>
    <m/>
  </r>
  <r>
    <x v="0"/>
    <d v="2025-05-01T00:00:00"/>
    <n v="5"/>
    <x v="35"/>
    <n v="1"/>
    <x v="37"/>
    <s v="Heimat"/>
    <x v="63"/>
    <n v="2"/>
    <n v="29"/>
    <n v="149"/>
    <x v="2"/>
    <m/>
    <m/>
    <m/>
    <m/>
  </r>
  <r>
    <x v="0"/>
    <d v="2025-05-02T00:00:00"/>
    <n v="5"/>
    <x v="35"/>
    <n v="1"/>
    <x v="37"/>
    <s v="Heimat"/>
    <x v="227"/>
    <n v="1"/>
    <n v="36"/>
    <n v="96"/>
    <x v="2"/>
    <m/>
    <m/>
    <m/>
    <m/>
  </r>
  <r>
    <x v="0"/>
    <d v="2025-05-10T00:00:00"/>
    <n v="5"/>
    <x v="35"/>
    <n v="1"/>
    <x v="37"/>
    <s v="Heimat"/>
    <x v="227"/>
    <n v="1"/>
    <n v="30"/>
    <n v="90"/>
    <x v="2"/>
    <m/>
    <m/>
    <m/>
    <m/>
  </r>
  <r>
    <x v="0"/>
    <d v="2025-05-11T00:00:00"/>
    <n v="5"/>
    <x v="35"/>
    <n v="1"/>
    <x v="37"/>
    <s v="Heimat"/>
    <x v="227"/>
    <m/>
    <n v="53"/>
    <n v="53"/>
    <x v="2"/>
    <m/>
    <m/>
    <m/>
    <m/>
  </r>
  <r>
    <x v="0"/>
    <d v="2025-05-14T00:00:00"/>
    <n v="5"/>
    <x v="35"/>
    <n v="1"/>
    <x v="37"/>
    <s v="Riederalp Mitte"/>
    <x v="227"/>
    <n v="1"/>
    <n v="30"/>
    <n v="90"/>
    <x v="2"/>
    <m/>
    <m/>
    <m/>
    <m/>
  </r>
  <r>
    <x v="0"/>
    <d v="2025-05-17T00:00:00"/>
    <n v="5"/>
    <x v="35"/>
    <n v="1"/>
    <x v="37"/>
    <s v="Heimat"/>
    <x v="63"/>
    <m/>
    <n v="22"/>
    <n v="22"/>
    <x v="2"/>
    <m/>
    <m/>
    <m/>
    <m/>
  </r>
  <r>
    <x v="0"/>
    <d v="2025-05-18T00:00:00"/>
    <n v="5"/>
    <x v="35"/>
    <n v="1"/>
    <x v="37"/>
    <s v="Heimat"/>
    <x v="227"/>
    <n v="1"/>
    <n v="6"/>
    <n v="66"/>
    <x v="2"/>
    <m/>
    <m/>
    <m/>
    <m/>
  </r>
  <r>
    <x v="0"/>
    <d v="2025-05-19T00:00:00"/>
    <n v="5"/>
    <x v="35"/>
    <n v="1"/>
    <x v="37"/>
    <s v="Riederalp Mitte"/>
    <x v="63"/>
    <m/>
    <n v="56"/>
    <n v="56"/>
    <x v="2"/>
    <m/>
    <m/>
    <m/>
    <m/>
  </r>
  <r>
    <x v="0"/>
    <d v="2025-05-21T00:00:00"/>
    <n v="5"/>
    <x v="35"/>
    <n v="1"/>
    <x v="32"/>
    <s v="Canete la Real"/>
    <x v="432"/>
    <m/>
    <n v="9"/>
    <n v="9"/>
    <x v="53"/>
    <m/>
    <m/>
    <m/>
    <m/>
  </r>
  <r>
    <x v="0"/>
    <d v="2025-05-22T00:00:00"/>
    <n v="5"/>
    <x v="35"/>
    <n v="1"/>
    <x v="32"/>
    <s v="El Bosque Top"/>
    <x v="433"/>
    <n v="1"/>
    <n v="43"/>
    <n v="103"/>
    <x v="53"/>
    <m/>
    <m/>
    <m/>
    <m/>
  </r>
  <r>
    <x v="0"/>
    <d v="2025-05-23T00:00:00"/>
    <n v="5"/>
    <x v="35"/>
    <n v="1"/>
    <x v="32"/>
    <s v="Sierra de Lijar W"/>
    <x v="132"/>
    <m/>
    <n v="18"/>
    <n v="18"/>
    <x v="53"/>
    <m/>
    <m/>
    <m/>
    <m/>
  </r>
  <r>
    <x v="0"/>
    <d v="2025-05-24T00:00:00"/>
    <n v="5"/>
    <x v="35"/>
    <n v="1"/>
    <x v="32"/>
    <s v="Sierra de Lijar SW"/>
    <x v="434"/>
    <n v="2"/>
    <n v="8"/>
    <n v="128"/>
    <x v="53"/>
    <m/>
    <m/>
    <m/>
    <m/>
  </r>
  <r>
    <x v="0"/>
    <d v="2025-05-25T00:00:00"/>
    <n v="5"/>
    <x v="35"/>
    <n v="1"/>
    <x v="32"/>
    <s v="Sierra de Lijar SW"/>
    <x v="433"/>
    <n v="2"/>
    <n v="18"/>
    <n v="138"/>
    <x v="53"/>
    <m/>
    <m/>
    <m/>
    <m/>
  </r>
  <r>
    <x v="0"/>
    <d v="2025-05-27T00:00:00"/>
    <n v="5"/>
    <x v="35"/>
    <n v="1"/>
    <x v="32"/>
    <s v="Castelo de Vide"/>
    <x v="435"/>
    <n v="1"/>
    <n v="43"/>
    <n v="103"/>
    <x v="53"/>
    <m/>
    <m/>
    <m/>
    <m/>
  </r>
  <r>
    <x v="0"/>
    <d v="2025-05-28T00:00:00"/>
    <n v="5"/>
    <x v="35"/>
    <n v="1"/>
    <x v="32"/>
    <s v="Linhares"/>
    <x v="436"/>
    <n v="1"/>
    <n v="49"/>
    <n v="109"/>
    <x v="53"/>
    <m/>
    <m/>
    <m/>
    <m/>
  </r>
  <r>
    <x v="0"/>
    <d v="2025-05-28T00:00:00"/>
    <n v="5"/>
    <x v="35"/>
    <n v="0"/>
    <x v="32"/>
    <s v="Linhares"/>
    <x v="136"/>
    <m/>
    <n v="30"/>
    <n v="30"/>
    <x v="53"/>
    <m/>
    <m/>
    <m/>
    <m/>
  </r>
  <r>
    <x v="0"/>
    <d v="2025-05-29T00:00:00"/>
    <n v="5"/>
    <x v="35"/>
    <n v="1"/>
    <x v="32"/>
    <s v="Praia da Gralha"/>
    <x v="404"/>
    <m/>
    <n v="22"/>
    <n v="22"/>
    <x v="53"/>
    <m/>
    <m/>
    <m/>
    <m/>
  </r>
  <r>
    <x v="0"/>
    <d v="2025-05-29T00:00:00"/>
    <n v="5"/>
    <x v="35"/>
    <n v="0"/>
    <x v="32"/>
    <s v="Praia da Gralha"/>
    <x v="404"/>
    <m/>
    <n v="11"/>
    <n v="11"/>
    <x v="53"/>
    <m/>
    <m/>
    <m/>
    <m/>
  </r>
  <r>
    <x v="0"/>
    <d v="2025-05-29T00:00:00"/>
    <n v="5"/>
    <x v="35"/>
    <n v="0"/>
    <x v="32"/>
    <s v="Praia da Gralha"/>
    <x v="404"/>
    <n v="1"/>
    <n v="5"/>
    <n v="65"/>
    <x v="53"/>
    <m/>
    <m/>
    <m/>
    <m/>
  </r>
  <r>
    <x v="0"/>
    <d v="2025-05-31T00:00:00"/>
    <n v="5"/>
    <x v="35"/>
    <n v="1"/>
    <x v="32"/>
    <s v="Heimat"/>
    <x v="35"/>
    <n v="1"/>
    <n v="29"/>
    <n v="89"/>
    <x v="2"/>
    <m/>
    <m/>
    <m/>
    <m/>
  </r>
  <r>
    <x v="0"/>
    <d v="2025-06-18T00:00:00"/>
    <n v="6"/>
    <x v="35"/>
    <n v="1"/>
    <x v="37"/>
    <s v="Heimat"/>
    <x v="35"/>
    <n v="1"/>
    <n v="21"/>
    <n v="81"/>
    <x v="2"/>
    <m/>
    <m/>
    <m/>
    <m/>
  </r>
  <r>
    <x v="0"/>
    <d v="2025-06-19T00:00:00"/>
    <n v="6"/>
    <x v="35"/>
    <n v="1"/>
    <x v="37"/>
    <s v="Heimat"/>
    <x v="63"/>
    <n v="2"/>
    <n v="2"/>
    <n v="122"/>
    <x v="2"/>
    <m/>
    <m/>
    <m/>
    <m/>
  </r>
  <r>
    <x v="0"/>
    <d v="2025-06-02T00:00:00"/>
    <n v="6"/>
    <x v="35"/>
    <n v="1"/>
    <x v="37"/>
    <s v="Heimat"/>
    <x v="35"/>
    <n v="1"/>
    <n v="32"/>
    <n v="92"/>
    <x v="2"/>
    <m/>
    <m/>
    <m/>
    <m/>
  </r>
  <r>
    <x v="0"/>
    <d v="2025-06-21T00:00:00"/>
    <n v="6"/>
    <x v="35"/>
    <n v="1"/>
    <x v="37"/>
    <s v="Heimat"/>
    <x v="63"/>
    <m/>
    <n v="20"/>
    <n v="20"/>
    <x v="2"/>
    <m/>
    <m/>
    <m/>
    <m/>
  </r>
  <r>
    <x v="0"/>
    <d v="2025-06-22T00:00:00"/>
    <n v="6"/>
    <x v="35"/>
    <n v="1"/>
    <x v="37"/>
    <s v="Heimat"/>
    <x v="63"/>
    <n v="2"/>
    <n v="39"/>
    <n v="159"/>
    <x v="2"/>
    <m/>
    <m/>
    <m/>
    <m/>
  </r>
  <r>
    <x v="0"/>
    <d v="2025-06-24T00:00:00"/>
    <n v="6"/>
    <x v="35"/>
    <n v="1"/>
    <x v="37"/>
    <s v="Heimat"/>
    <x v="35"/>
    <n v="1"/>
    <n v="23"/>
    <n v="83"/>
    <x v="2"/>
    <m/>
    <m/>
    <m/>
    <m/>
  </r>
  <r>
    <x v="0"/>
    <d v="2025-06-25T00:00:00"/>
    <n v="6"/>
    <x v="35"/>
    <n v="1"/>
    <x v="37"/>
    <s v="Heimat"/>
    <x v="35"/>
    <n v="1"/>
    <n v="26"/>
    <n v="86"/>
    <x v="2"/>
    <m/>
    <m/>
    <m/>
    <m/>
  </r>
  <r>
    <x v="0"/>
    <d v="2025-06-27T00:00:00"/>
    <n v="6"/>
    <x v="35"/>
    <n v="1"/>
    <x v="37"/>
    <s v="Heimat"/>
    <x v="227"/>
    <m/>
    <n v="58"/>
    <n v="58"/>
    <x v="2"/>
    <m/>
    <m/>
    <m/>
    <m/>
  </r>
  <r>
    <x v="0"/>
    <d v="2025-06-28T00:00:00"/>
    <n v="6"/>
    <x v="35"/>
    <n v="1"/>
    <x v="37"/>
    <s v="Heimat"/>
    <x v="35"/>
    <n v="1"/>
    <n v="0"/>
    <n v="60"/>
    <x v="2"/>
    <m/>
    <m/>
    <m/>
    <m/>
  </r>
  <r>
    <x v="0"/>
    <d v="2025-06-29T00:00:00"/>
    <n v="6"/>
    <x v="35"/>
    <n v="1"/>
    <x v="37"/>
    <s v="Galfera"/>
    <x v="63"/>
    <n v="2"/>
    <n v="59"/>
    <n v="179"/>
    <x v="2"/>
    <m/>
    <m/>
    <m/>
    <m/>
  </r>
  <r>
    <x v="0"/>
    <d v="2025-07-01T00:00:00"/>
    <n v="7"/>
    <x v="35"/>
    <n v="1"/>
    <x v="37"/>
    <s v="Heimat"/>
    <x v="35"/>
    <n v="1"/>
    <n v="24"/>
    <n v="84"/>
    <x v="2"/>
    <m/>
    <m/>
    <m/>
    <m/>
  </r>
  <r>
    <x v="0"/>
    <d v="2025-07-02T00:00:00"/>
    <n v="7"/>
    <x v="35"/>
    <n v="1"/>
    <x v="37"/>
    <s v="Heimat"/>
    <x v="227"/>
    <m/>
    <n v="42"/>
    <n v="42"/>
    <x v="2"/>
    <m/>
    <m/>
    <m/>
    <m/>
  </r>
  <r>
    <x v="0"/>
    <d v="2025-07-03T00:00:00"/>
    <n v="7"/>
    <x v="35"/>
    <n v="1"/>
    <x v="37"/>
    <s v="Heimat"/>
    <x v="63"/>
    <m/>
    <n v="22"/>
    <n v="22"/>
    <x v="2"/>
    <m/>
    <m/>
    <m/>
    <m/>
  </r>
  <r>
    <x v="0"/>
    <d v="2025-07-05T00:00:00"/>
    <n v="7"/>
    <x v="35"/>
    <n v="1"/>
    <x v="37"/>
    <s v="Heimat"/>
    <x v="35"/>
    <m/>
    <n v="45"/>
    <n v="45"/>
    <x v="2"/>
    <m/>
    <m/>
    <m/>
    <m/>
  </r>
  <r>
    <x v="0"/>
    <d v="2025-07-06T00:00:00"/>
    <n v="7"/>
    <x v="35"/>
    <n v="1"/>
    <x v="26"/>
    <s v="Bieligerbärg"/>
    <x v="227"/>
    <m/>
    <n v="5"/>
    <n v="5"/>
    <x v="2"/>
    <s v="Wallibachhütte"/>
    <m/>
    <m/>
    <m/>
  </r>
  <r>
    <x v="0"/>
    <d v="2025-07-10T00:00:00"/>
    <n v="7"/>
    <x v="35"/>
    <n v="1"/>
    <x v="37"/>
    <s v="Galfera"/>
    <x v="35"/>
    <n v="1"/>
    <n v="15"/>
    <n v="75"/>
    <x v="2"/>
    <m/>
    <m/>
    <m/>
    <m/>
  </r>
  <r>
    <x v="0"/>
    <d v="2025-07-11T00:00:00"/>
    <n v="7"/>
    <x v="35"/>
    <n v="1"/>
    <x v="37"/>
    <s v="Galfera"/>
    <x v="227"/>
    <n v="1"/>
    <n v="4"/>
    <n v="64"/>
    <x v="2"/>
    <m/>
    <m/>
    <m/>
    <m/>
  </r>
  <r>
    <x v="0"/>
    <d v="2025-07-12T00:00:00"/>
    <n v="7"/>
    <x v="35"/>
    <n v="1"/>
    <x v="37"/>
    <s v="Heimat"/>
    <x v="35"/>
    <m/>
    <n v="59"/>
    <n v="59"/>
    <x v="2"/>
    <m/>
    <m/>
    <m/>
    <m/>
  </r>
  <r>
    <x v="0"/>
    <d v="2025-07-18T00:00:00"/>
    <n v="7"/>
    <x v="35"/>
    <n v="1"/>
    <x v="37"/>
    <s v="Galfera"/>
    <x v="35"/>
    <n v="1"/>
    <n v="48"/>
    <n v="108"/>
    <x v="2"/>
    <m/>
    <m/>
    <m/>
    <m/>
  </r>
  <r>
    <x v="0"/>
    <d v="2025-07-20T00:00:00"/>
    <n v="7"/>
    <x v="35"/>
    <n v="1"/>
    <x v="37"/>
    <s v="Kobala"/>
    <x v="437"/>
    <m/>
    <n v="36"/>
    <n v="36"/>
    <x v="58"/>
    <m/>
    <m/>
    <m/>
    <m/>
  </r>
  <r>
    <x v="0"/>
    <d v="2025-07-21T00:00:00"/>
    <n v="7"/>
    <x v="35"/>
    <n v="1"/>
    <x v="37"/>
    <s v="Kobala"/>
    <x v="437"/>
    <m/>
    <n v="15"/>
    <n v="15"/>
    <x v="58"/>
    <m/>
    <m/>
    <m/>
    <m/>
  </r>
  <r>
    <x v="0"/>
    <d v="2025-07-22T00:00:00"/>
    <n v="7"/>
    <x v="35"/>
    <n v="1"/>
    <x v="37"/>
    <s v="Brestovica"/>
    <x v="438"/>
    <m/>
    <n v="55"/>
    <n v="55"/>
    <x v="58"/>
    <m/>
    <m/>
    <m/>
    <m/>
  </r>
  <r>
    <x v="0"/>
    <d v="2025-07-23T00:00:00"/>
    <n v="7"/>
    <x v="35"/>
    <n v="1"/>
    <x v="37"/>
    <s v="Lijak"/>
    <x v="157"/>
    <n v="2"/>
    <n v="36"/>
    <n v="156"/>
    <x v="58"/>
    <m/>
    <m/>
    <m/>
    <m/>
  </r>
  <r>
    <x v="0"/>
    <d v="2025-07-23T00:00:00"/>
    <n v="7"/>
    <x v="35"/>
    <n v="0"/>
    <x v="37"/>
    <s v="Kovk"/>
    <x v="439"/>
    <m/>
    <n v="25"/>
    <n v="25"/>
    <x v="58"/>
    <m/>
    <m/>
    <m/>
    <m/>
  </r>
  <r>
    <x v="0"/>
    <d v="2025-07-30T00:00:00"/>
    <n v="7"/>
    <x v="35"/>
    <n v="1"/>
    <x v="37"/>
    <s v="Heimat"/>
    <x v="35"/>
    <n v="1"/>
    <n v="5"/>
    <n v="65"/>
    <x v="2"/>
    <m/>
    <m/>
    <m/>
    <m/>
  </r>
  <r>
    <x v="0"/>
    <d v="2025-07-31T00:00:00"/>
    <n v="7"/>
    <x v="35"/>
    <n v="1"/>
    <x v="37"/>
    <s v="Heimat"/>
    <x v="227"/>
    <m/>
    <n v="43"/>
    <n v="43"/>
    <x v="2"/>
    <m/>
    <m/>
    <m/>
    <m/>
  </r>
  <r>
    <x v="0"/>
    <d v="2025-08-03T00:00:00"/>
    <n v="8"/>
    <x v="35"/>
    <n v="1"/>
    <x v="37"/>
    <s v="Heimat"/>
    <x v="227"/>
    <m/>
    <n v="51"/>
    <n v="51"/>
    <x v="2"/>
    <m/>
    <m/>
    <m/>
    <m/>
  </r>
  <r>
    <x v="0"/>
    <d v="2025-08-05T00:00:00"/>
    <n v="8"/>
    <x v="35"/>
    <n v="1"/>
    <x v="37"/>
    <s v="Heimat"/>
    <x v="227"/>
    <n v="2"/>
    <n v="16"/>
    <n v="136"/>
    <x v="2"/>
    <m/>
    <m/>
    <m/>
    <m/>
  </r>
  <r>
    <x v="0"/>
    <d v="2025-08-06T00:00:00"/>
    <n v="8"/>
    <x v="35"/>
    <n v="1"/>
    <x v="37"/>
    <s v="Heimat"/>
    <x v="63"/>
    <m/>
    <n v="14"/>
    <n v="14"/>
    <x v="2"/>
    <m/>
    <m/>
    <m/>
    <m/>
  </r>
  <r>
    <x v="0"/>
    <d v="2025-08-07T00:00:00"/>
    <n v="8"/>
    <x v="35"/>
    <n v="1"/>
    <x v="37"/>
    <s v="Heimat"/>
    <x v="35"/>
    <m/>
    <n v="51"/>
    <n v="51"/>
    <x v="2"/>
    <m/>
    <m/>
    <m/>
    <m/>
  </r>
  <r>
    <x v="0"/>
    <d v="2025-08-08T00:00:00"/>
    <n v="8"/>
    <x v="35"/>
    <n v="1"/>
    <x v="37"/>
    <s v="Heimat"/>
    <x v="35"/>
    <n v="1"/>
    <n v="31"/>
    <n v="91"/>
    <x v="2"/>
    <m/>
    <m/>
    <m/>
    <m/>
  </r>
  <r>
    <x v="0"/>
    <d v="2025-08-09T00:00:00"/>
    <n v="8"/>
    <x v="35"/>
    <n v="1"/>
    <x v="37"/>
    <s v="Heimat"/>
    <x v="227"/>
    <n v="1"/>
    <n v="53"/>
    <n v="113"/>
    <x v="2"/>
    <m/>
    <m/>
    <m/>
    <m/>
  </r>
  <r>
    <x v="0"/>
    <d v="2025-08-10T00:00:00"/>
    <n v="8"/>
    <x v="35"/>
    <n v="1"/>
    <x v="37"/>
    <s v="Galfera"/>
    <x v="227"/>
    <n v="2"/>
    <n v="17"/>
    <n v="137"/>
    <x v="2"/>
    <m/>
    <m/>
    <m/>
    <m/>
  </r>
  <r>
    <x v="0"/>
    <d v="2025-08-11T00:00:00"/>
    <n v="8"/>
    <x v="35"/>
    <n v="1"/>
    <x v="37"/>
    <s v="Heimat"/>
    <x v="63"/>
    <n v="2"/>
    <n v="12"/>
    <n v="132"/>
    <x v="2"/>
    <m/>
    <m/>
    <m/>
    <m/>
  </r>
  <r>
    <x v="0"/>
    <d v="2025-08-12T00:00:00"/>
    <n v="8"/>
    <x v="35"/>
    <n v="1"/>
    <x v="37"/>
    <s v="Heimat"/>
    <x v="35"/>
    <n v="1"/>
    <n v="25"/>
    <n v="85"/>
    <x v="2"/>
    <m/>
    <m/>
    <m/>
    <m/>
  </r>
  <r>
    <x v="0"/>
    <d v="2025-08-13T00:00:00"/>
    <n v="8"/>
    <x v="35"/>
    <n v="1"/>
    <x v="37"/>
    <s v="Heimat"/>
    <x v="63"/>
    <n v="1"/>
    <n v="38"/>
    <n v="98"/>
    <x v="2"/>
    <m/>
    <m/>
    <m/>
    <m/>
  </r>
  <r>
    <x v="0"/>
    <d v="2025-08-16T00:00:00"/>
    <n v="8"/>
    <x v="35"/>
    <n v="1"/>
    <x v="37"/>
    <s v="Heimat"/>
    <x v="227"/>
    <n v="1"/>
    <n v="5"/>
    <n v="65"/>
    <x v="2"/>
    <m/>
    <m/>
    <m/>
    <m/>
  </r>
  <r>
    <x v="0"/>
    <d v="2025-08-17T00:00:00"/>
    <n v="8"/>
    <x v="35"/>
    <n v="1"/>
    <x v="37"/>
    <s v="Steibenkreuz"/>
    <x v="227"/>
    <m/>
    <n v="48"/>
    <n v="48"/>
    <x v="2"/>
    <m/>
    <m/>
    <m/>
    <m/>
  </r>
  <r>
    <x v="0"/>
    <d v="2025-08-18T00:00:00"/>
    <n v="8"/>
    <x v="35"/>
    <n v="1"/>
    <x v="37"/>
    <s v="Galfera"/>
    <x v="368"/>
    <n v="3"/>
    <n v="47"/>
    <n v="227"/>
    <x v="2"/>
    <m/>
    <m/>
    <m/>
    <m/>
  </r>
  <r>
    <x v="0"/>
    <d v="2025-08-19T00:00:00"/>
    <n v="8"/>
    <x v="35"/>
    <n v="1"/>
    <x v="37"/>
    <s v="Heimat"/>
    <x v="35"/>
    <n v="1"/>
    <n v="1"/>
    <n v="61"/>
    <x v="2"/>
    <m/>
    <m/>
    <m/>
    <m/>
  </r>
  <r>
    <x v="0"/>
    <d v="2025-08-22T00:00:00"/>
    <n v="8"/>
    <x v="35"/>
    <n v="1"/>
    <x v="37"/>
    <s v="Heimat"/>
    <x v="227"/>
    <m/>
    <n v="54"/>
    <n v="54"/>
    <x v="2"/>
    <m/>
    <m/>
    <m/>
    <m/>
  </r>
  <r>
    <x v="0"/>
    <d v="2025-08-23T00:00:00"/>
    <n v="8"/>
    <x v="35"/>
    <n v="1"/>
    <x v="37"/>
    <s v="Heimat"/>
    <x v="35"/>
    <m/>
    <n v="46"/>
    <n v="46"/>
    <x v="2"/>
    <m/>
    <m/>
    <m/>
    <m/>
  </r>
  <r>
    <x v="0"/>
    <d v="2025-08-24T00:00:00"/>
    <n v="8"/>
    <x v="35"/>
    <n v="1"/>
    <x v="37"/>
    <s v="Galfera"/>
    <x v="63"/>
    <n v="1"/>
    <n v="15"/>
    <n v="75"/>
    <x v="2"/>
    <m/>
    <m/>
    <m/>
    <m/>
  </r>
  <r>
    <x v="0"/>
    <d v="2025-08-25T00:00:00"/>
    <n v="8"/>
    <x v="35"/>
    <n v="1"/>
    <x v="37"/>
    <s v="Heimat"/>
    <x v="311"/>
    <n v="1"/>
    <n v="17"/>
    <n v="77"/>
    <x v="2"/>
    <m/>
    <m/>
    <m/>
    <m/>
  </r>
  <r>
    <x v="0"/>
    <d v="2025-08-26T00:00:00"/>
    <n v="8"/>
    <x v="35"/>
    <n v="1"/>
    <x v="37"/>
    <s v="Heimat"/>
    <x v="35"/>
    <n v="1"/>
    <n v="18"/>
    <n v="78"/>
    <x v="2"/>
    <m/>
    <m/>
    <m/>
    <m/>
  </r>
  <r>
    <x v="0"/>
    <d v="2025-08-30T00:00:00"/>
    <n v="8"/>
    <x v="35"/>
    <n v="1"/>
    <x v="37"/>
    <s v="Ager"/>
    <x v="206"/>
    <n v="1"/>
    <n v="8"/>
    <n v="68"/>
    <x v="32"/>
    <m/>
    <m/>
    <m/>
    <m/>
  </r>
  <r>
    <x v="0"/>
    <d v="2025-08-31T00:00:00"/>
    <n v="8"/>
    <x v="35"/>
    <n v="1"/>
    <x v="37"/>
    <s v="Ager"/>
    <x v="207"/>
    <n v="1"/>
    <n v="23"/>
    <n v="83"/>
    <x v="32"/>
    <m/>
    <m/>
    <m/>
    <m/>
  </r>
  <r>
    <x v="0"/>
    <d v="2025-09-01T00:00:00"/>
    <n v="9"/>
    <x v="35"/>
    <n v="1"/>
    <x v="37"/>
    <s v="Castejon de SOS (Liri)"/>
    <x v="208"/>
    <n v="1"/>
    <n v="18"/>
    <n v="78"/>
    <x v="32"/>
    <m/>
    <m/>
    <m/>
    <m/>
  </r>
  <r>
    <x v="0"/>
    <d v="2025-09-01T00:00:00"/>
    <n v="9"/>
    <x v="35"/>
    <n v="0"/>
    <x v="37"/>
    <s v="Castejon de SOS (Liri)"/>
    <x v="209"/>
    <n v="1"/>
    <n v="33"/>
    <n v="93"/>
    <x v="32"/>
    <m/>
    <m/>
    <m/>
    <m/>
  </r>
  <r>
    <x v="0"/>
    <d v="2025-09-02T00:00:00"/>
    <n v="9"/>
    <x v="35"/>
    <n v="1"/>
    <x v="37"/>
    <s v="Castejon de SOS (Liri)"/>
    <x v="209"/>
    <n v="2"/>
    <n v="1"/>
    <n v="121"/>
    <x v="32"/>
    <m/>
    <m/>
    <m/>
    <m/>
  </r>
  <r>
    <x v="0"/>
    <d v="2025-09-03T00:00:00"/>
    <n v="9"/>
    <x v="35"/>
    <n v="1"/>
    <x v="37"/>
    <s v="Loare"/>
    <x v="440"/>
    <m/>
    <n v="53"/>
    <n v="53"/>
    <x v="32"/>
    <m/>
    <m/>
    <m/>
    <m/>
  </r>
  <r>
    <x v="0"/>
    <d v="2025-09-04T00:00:00"/>
    <n v="9"/>
    <x v="35"/>
    <n v="1"/>
    <x v="37"/>
    <s v="Sopelana (Bilbao)"/>
    <x v="245"/>
    <n v="1"/>
    <n v="8"/>
    <n v="68"/>
    <x v="32"/>
    <m/>
    <m/>
    <m/>
    <m/>
  </r>
  <r>
    <x v="0"/>
    <d v="2025-09-05T00:00:00"/>
    <n v="9"/>
    <x v="35"/>
    <n v="1"/>
    <x v="37"/>
    <s v="Urduna (Orduna)"/>
    <x v="441"/>
    <n v="1"/>
    <n v="11"/>
    <n v="71"/>
    <x v="32"/>
    <m/>
    <m/>
    <m/>
    <m/>
  </r>
  <r>
    <x v="0"/>
    <d v="2025-09-07T00:00:00"/>
    <n v="9"/>
    <x v="35"/>
    <n v="1"/>
    <x v="37"/>
    <s v="Eulate"/>
    <x v="442"/>
    <m/>
    <n v="24"/>
    <n v="24"/>
    <x v="37"/>
    <m/>
    <m/>
    <m/>
    <m/>
  </r>
  <r>
    <x v="0"/>
    <d v="2025-09-07T00:00:00"/>
    <n v="9"/>
    <x v="35"/>
    <n v="0"/>
    <x v="37"/>
    <s v="Eulate"/>
    <x v="442"/>
    <m/>
    <n v="52"/>
    <n v="52"/>
    <x v="37"/>
    <m/>
    <m/>
    <m/>
    <m/>
  </r>
  <r>
    <x v="0"/>
    <d v="2025-09-07T00:00:00"/>
    <n v="9"/>
    <x v="35"/>
    <n v="0"/>
    <x v="37"/>
    <s v="Baio"/>
    <x v="443"/>
    <n v="1"/>
    <n v="9"/>
    <n v="69"/>
    <x v="37"/>
    <m/>
    <m/>
    <m/>
    <m/>
  </r>
  <r>
    <x v="0"/>
    <d v="2025-09-08T00:00:00"/>
    <n v="9"/>
    <x v="35"/>
    <n v="1"/>
    <x v="37"/>
    <s v="Piedrahita"/>
    <x v="444"/>
    <n v="1"/>
    <n v="47"/>
    <n v="107"/>
    <x v="37"/>
    <m/>
    <m/>
    <m/>
    <m/>
  </r>
  <r>
    <x v="0"/>
    <d v="2025-09-09T00:00:00"/>
    <n v="9"/>
    <x v="35"/>
    <n v="1"/>
    <x v="37"/>
    <s v="Piedrahita"/>
    <x v="445"/>
    <n v="4"/>
    <n v="22"/>
    <n v="262"/>
    <x v="37"/>
    <m/>
    <m/>
    <m/>
    <m/>
  </r>
  <r>
    <x v="0"/>
    <d v="2025-09-11T00:00:00"/>
    <n v="9"/>
    <x v="35"/>
    <n v="1"/>
    <x v="37"/>
    <s v="Pedro Bernardo East"/>
    <x v="244"/>
    <m/>
    <n v="44"/>
    <n v="44"/>
    <x v="37"/>
    <m/>
    <m/>
    <m/>
    <m/>
  </r>
  <r>
    <x v="0"/>
    <d v="2025-09-11T00:00:00"/>
    <n v="9"/>
    <x v="35"/>
    <n v="0"/>
    <x v="37"/>
    <s v="Pedro Bernardo East"/>
    <x v="446"/>
    <m/>
    <n v="55"/>
    <n v="55"/>
    <x v="37"/>
    <m/>
    <m/>
    <m/>
    <m/>
  </r>
  <r>
    <x v="0"/>
    <d v="2025-09-12T00:00:00"/>
    <n v="9"/>
    <x v="35"/>
    <n v="1"/>
    <x v="37"/>
    <s v="Pedro Bernardo East"/>
    <x v="447"/>
    <n v="1"/>
    <n v="37"/>
    <n v="97"/>
    <x v="37"/>
    <m/>
    <m/>
    <m/>
    <m/>
  </r>
  <r>
    <x v="0"/>
    <d v="2025-09-18T00:00:00"/>
    <n v="9"/>
    <x v="35"/>
    <n v="1"/>
    <x v="37"/>
    <s v="Heimat"/>
    <x v="35"/>
    <n v="1"/>
    <n v="19"/>
    <n v="79"/>
    <x v="2"/>
    <m/>
    <m/>
    <m/>
    <m/>
  </r>
  <r>
    <x v="0"/>
    <d v="2025-09-19T00:00:00"/>
    <n v="9"/>
    <x v="35"/>
    <n v="1"/>
    <x v="37"/>
    <s v="Heimat"/>
    <x v="35"/>
    <n v="1"/>
    <n v="7"/>
    <n v="67"/>
    <x v="2"/>
    <m/>
    <m/>
    <m/>
    <m/>
  </r>
  <r>
    <x v="0"/>
    <d v="2025-09-28T00:00:00"/>
    <n v="9"/>
    <x v="35"/>
    <n v="1"/>
    <x v="37"/>
    <s v="Heimat"/>
    <x v="227"/>
    <n v="1"/>
    <n v="34"/>
    <n v="94"/>
    <x v="2"/>
    <m/>
    <m/>
    <m/>
    <m/>
  </r>
  <r>
    <x v="0"/>
    <d v="2025-09-29T00:00:00"/>
    <n v="9"/>
    <x v="35"/>
    <n v="1"/>
    <x v="32"/>
    <s v="Heimat"/>
    <x v="311"/>
    <n v="1"/>
    <n v="25"/>
    <n v="85"/>
    <x v="2"/>
    <m/>
    <m/>
    <m/>
    <m/>
  </r>
  <r>
    <x v="0"/>
    <d v="2025-10-02T00:00:00"/>
    <n v="10"/>
    <x v="35"/>
    <n v="1"/>
    <x v="32"/>
    <s v="Heimat"/>
    <x v="35"/>
    <m/>
    <n v="55"/>
    <n v="55"/>
    <x v="2"/>
    <m/>
    <m/>
    <m/>
    <m/>
  </r>
  <r>
    <x v="0"/>
    <d v="2025-10-04T00:00:00"/>
    <n v="10"/>
    <x v="35"/>
    <n v="1"/>
    <x v="32"/>
    <s v="Valcava"/>
    <x v="448"/>
    <m/>
    <n v="32"/>
    <n v="32"/>
    <x v="59"/>
    <m/>
    <m/>
    <m/>
    <m/>
  </r>
  <r>
    <x v="0"/>
    <d v="2025-10-06T00:00:00"/>
    <n v="10"/>
    <x v="35"/>
    <n v="1"/>
    <x v="32"/>
    <s v="Tre Pizzi"/>
    <x v="449"/>
    <n v="1"/>
    <n v="36"/>
    <n v="96"/>
    <x v="59"/>
    <m/>
    <m/>
    <m/>
    <m/>
  </r>
  <r>
    <x v="0"/>
    <d v="2025-10-06T00:00:00"/>
    <n v="10"/>
    <x v="35"/>
    <n v="0"/>
    <x v="32"/>
    <s v="Tre Pizzi"/>
    <x v="449"/>
    <n v="1"/>
    <n v="13"/>
    <n v="73"/>
    <x v="59"/>
    <m/>
    <m/>
    <m/>
    <m/>
  </r>
  <r>
    <x v="0"/>
    <d v="2025-10-07T00:00:00"/>
    <n v="10"/>
    <x v="35"/>
    <n v="1"/>
    <x v="32"/>
    <s v="Tre Pizzi"/>
    <x v="449"/>
    <m/>
    <n v="48"/>
    <n v="48"/>
    <x v="59"/>
    <m/>
    <m/>
    <m/>
    <m/>
  </r>
  <r>
    <x v="0"/>
    <d v="2025-10-07T00:00:00"/>
    <n v="10"/>
    <x v="35"/>
    <n v="0"/>
    <x v="32"/>
    <s v="Tre Pizzi"/>
    <x v="449"/>
    <n v="1"/>
    <n v="32"/>
    <n v="92"/>
    <x v="59"/>
    <m/>
    <m/>
    <m/>
    <m/>
  </r>
  <r>
    <x v="0"/>
    <d v="2025-10-08T00:00:00"/>
    <n v="10"/>
    <x v="35"/>
    <n v="1"/>
    <x v="32"/>
    <s v="Sarnano Sibilini"/>
    <x v="450"/>
    <n v="1"/>
    <n v="1"/>
    <n v="61"/>
    <x v="59"/>
    <m/>
    <m/>
    <m/>
    <m/>
  </r>
  <r>
    <x v="0"/>
    <d v="2025-10-08T00:00:00"/>
    <n v="10"/>
    <x v="35"/>
    <n v="0"/>
    <x v="32"/>
    <s v="Sarnano Sibilini"/>
    <x v="450"/>
    <n v="1"/>
    <n v="15"/>
    <n v="75"/>
    <x v="59"/>
    <m/>
    <m/>
    <m/>
    <m/>
  </r>
  <r>
    <x v="0"/>
    <d v="2025-10-08T00:00:00"/>
    <n v="10"/>
    <x v="35"/>
    <n v="0"/>
    <x v="32"/>
    <s v="Sarnano Sibilini"/>
    <x v="451"/>
    <m/>
    <n v="19"/>
    <n v="19"/>
    <x v="59"/>
    <m/>
    <m/>
    <m/>
    <m/>
  </r>
  <r>
    <x v="0"/>
    <d v="2025-10-09T00:00:00"/>
    <n v="10"/>
    <x v="35"/>
    <n v="1"/>
    <x v="32"/>
    <s v="Sarnano Sibilini"/>
    <x v="450"/>
    <n v="1"/>
    <n v="17"/>
    <n v="77"/>
    <x v="59"/>
    <m/>
    <m/>
    <m/>
    <m/>
  </r>
  <r>
    <x v="0"/>
    <d v="2025-10-09T00:00:00"/>
    <n v="10"/>
    <x v="35"/>
    <n v="0"/>
    <x v="32"/>
    <s v="Sarnano Sibilini"/>
    <x v="451"/>
    <m/>
    <n v="53"/>
    <n v="53"/>
    <x v="59"/>
    <m/>
    <m/>
    <m/>
    <m/>
  </r>
  <r>
    <x v="0"/>
    <d v="2025-10-13T00:00:00"/>
    <n v="10"/>
    <x v="35"/>
    <n v="1"/>
    <x v="32"/>
    <s v="Heimat"/>
    <x v="63"/>
    <n v="1"/>
    <n v="0"/>
    <n v="60"/>
    <x v="2"/>
    <m/>
    <m/>
    <m/>
    <m/>
  </r>
  <r>
    <x v="0"/>
    <d v="2025-10-14T00:00:00"/>
    <n v="10"/>
    <x v="35"/>
    <n v="1"/>
    <x v="32"/>
    <s v="Talegga"/>
    <x v="35"/>
    <n v="1"/>
    <n v="13"/>
    <n v="73"/>
    <x v="2"/>
    <m/>
    <m/>
    <m/>
    <m/>
  </r>
  <r>
    <x v="0"/>
    <d v="2025-10-15T00:00:00"/>
    <n v="10"/>
    <x v="35"/>
    <n v="1"/>
    <x v="32"/>
    <s v="Talegga"/>
    <x v="452"/>
    <n v="1"/>
    <n v="57"/>
    <n v="117"/>
    <x v="2"/>
    <m/>
    <m/>
    <m/>
    <m/>
  </r>
  <r>
    <x v="0"/>
    <d v="2025-10-16T00:00:00"/>
    <n v="10"/>
    <x v="35"/>
    <n v="1"/>
    <x v="32"/>
    <s v="Talegga"/>
    <x v="35"/>
    <m/>
    <n v="57"/>
    <n v="57"/>
    <x v="2"/>
    <m/>
    <m/>
    <m/>
    <m/>
  </r>
  <r>
    <x v="0"/>
    <d v="2025-10-17T00:00:00"/>
    <n v="10"/>
    <x v="35"/>
    <n v="1"/>
    <x v="32"/>
    <s v="Talegga"/>
    <x v="35"/>
    <n v="1"/>
    <n v="14"/>
    <n v="74"/>
    <x v="2"/>
    <m/>
    <m/>
    <m/>
    <m/>
  </r>
  <r>
    <x v="0"/>
    <d v="2025-10-18T00:00:00"/>
    <n v="10"/>
    <x v="35"/>
    <n v="1"/>
    <x v="32"/>
    <s v="Galfera"/>
    <x v="227"/>
    <n v="1"/>
    <n v="11"/>
    <n v="71"/>
    <x v="2"/>
    <s v="mit Thomas"/>
    <m/>
    <m/>
    <m/>
  </r>
  <r>
    <x v="0"/>
    <d v="2025-11-04T00:00:00"/>
    <n v="11"/>
    <x v="35"/>
    <n v="1"/>
    <x v="32"/>
    <s v="Riederalp"/>
    <x v="63"/>
    <n v="1"/>
    <n v="5"/>
    <n v="65"/>
    <x v="2"/>
    <m/>
    <m/>
    <m/>
    <m/>
  </r>
  <r>
    <x v="0"/>
    <d v="2025-11-08T00:00:00"/>
    <n v="11"/>
    <x v="35"/>
    <n v="1"/>
    <x v="32"/>
    <s v="Riederalp"/>
    <x v="63"/>
    <m/>
    <n v="26"/>
    <n v="26"/>
    <x v="2"/>
    <m/>
    <m/>
    <m/>
    <m/>
  </r>
  <r>
    <x v="0"/>
    <d v="2025-11-10T00:00:00"/>
    <n v="11"/>
    <x v="35"/>
    <n v="1"/>
    <x v="32"/>
    <s v="Heimat"/>
    <x v="311"/>
    <n v="1"/>
    <n v="10"/>
    <n v="70"/>
    <x v="2"/>
    <m/>
    <m/>
    <m/>
    <m/>
  </r>
  <r>
    <x v="0"/>
    <d v="2025-11-11T00:00:00"/>
    <n v="11"/>
    <x v="35"/>
    <n v="1"/>
    <x v="32"/>
    <s v="Heimat"/>
    <x v="63"/>
    <m/>
    <n v="53"/>
    <n v="53"/>
    <x v="2"/>
    <m/>
    <m/>
    <m/>
    <m/>
  </r>
  <r>
    <x v="0"/>
    <d v="2025-11-12T00:00:00"/>
    <n v="11"/>
    <x v="35"/>
    <n v="1"/>
    <x v="32"/>
    <s v="Heimat"/>
    <x v="63"/>
    <m/>
    <n v="38"/>
    <n v="38"/>
    <x v="2"/>
    <m/>
    <m/>
    <m/>
    <m/>
  </r>
  <r>
    <x v="0"/>
    <d v="2025-12-09T00:00:00"/>
    <n v="12"/>
    <x v="35"/>
    <n v="1"/>
    <x v="32"/>
    <s v="Heimat"/>
    <x v="227"/>
    <n v="1"/>
    <n v="1"/>
    <n v="61"/>
    <x v="2"/>
    <m/>
    <m/>
    <m/>
    <m/>
  </r>
  <r>
    <x v="0"/>
    <d v="2025-12-12T00:00:00"/>
    <n v="12"/>
    <x v="35"/>
    <n v="1"/>
    <x v="32"/>
    <s v="Heimat"/>
    <x v="63"/>
    <n v="1"/>
    <n v="4"/>
    <n v="64"/>
    <x v="2"/>
    <m/>
    <m/>
    <m/>
    <m/>
  </r>
  <r>
    <x v="0"/>
    <d v="2025-12-13T00:00:00"/>
    <n v="12"/>
    <x v="35"/>
    <n v="1"/>
    <x v="32"/>
    <s v="Heimat"/>
    <x v="227"/>
    <m/>
    <n v="38"/>
    <n v="38"/>
    <x v="2"/>
    <m/>
    <m/>
    <m/>
    <m/>
  </r>
  <r>
    <x v="0"/>
    <d v="2025-12-14T00:00:00"/>
    <n v="12"/>
    <x v="35"/>
    <n v="1"/>
    <x v="32"/>
    <s v="Heimat"/>
    <x v="311"/>
    <n v="1"/>
    <n v="38"/>
    <n v="98"/>
    <x v="2"/>
    <m/>
    <m/>
    <m/>
    <m/>
  </r>
  <r>
    <x v="0"/>
    <d v="2025-12-19T00:00:00"/>
    <n v="12"/>
    <x v="35"/>
    <n v="1"/>
    <x v="32"/>
    <s v="Heimat"/>
    <x v="35"/>
    <n v="1"/>
    <n v="7"/>
    <n v="67"/>
    <x v="2"/>
    <m/>
    <m/>
    <m/>
    <m/>
  </r>
  <r>
    <x v="0"/>
    <d v="2025-12-26T00:00:00"/>
    <n v="12"/>
    <x v="35"/>
    <n v="1"/>
    <x v="32"/>
    <s v="Sierra de Loja 1"/>
    <x v="453"/>
    <m/>
    <n v="32"/>
    <n v="32"/>
    <x v="60"/>
    <m/>
    <m/>
    <m/>
    <m/>
  </r>
  <r>
    <x v="0"/>
    <d v="2025-12-27T00:00:00"/>
    <n v="12"/>
    <x v="35"/>
    <n v="1"/>
    <x v="32"/>
    <s v="Castala 2"/>
    <x v="128"/>
    <n v="1"/>
    <n v="28"/>
    <n v="88"/>
    <x v="60"/>
    <m/>
    <m/>
    <m/>
    <m/>
  </r>
  <r>
    <x v="0"/>
    <d v="2025-12-28T00:00:00"/>
    <n v="12"/>
    <x v="35"/>
    <n v="1"/>
    <x v="32"/>
    <s v="Carachuna"/>
    <x v="454"/>
    <m/>
    <n v="52"/>
    <n v="52"/>
    <x v="60"/>
    <m/>
    <m/>
    <m/>
    <m/>
  </r>
  <r>
    <x v="0"/>
    <d v="2025-12-29T00:00:00"/>
    <n v="12"/>
    <x v="35"/>
    <n v="1"/>
    <x v="32"/>
    <s v="Otivar"/>
    <x v="192"/>
    <n v="1"/>
    <n v="33"/>
    <n v="93"/>
    <x v="60"/>
    <m/>
    <m/>
    <m/>
    <m/>
  </r>
  <r>
    <x v="0"/>
    <d v="2025-12-30T00:00:00"/>
    <n v="12"/>
    <x v="35"/>
    <n v="1"/>
    <x v="32"/>
    <s v="Cenes de la Vega 2"/>
    <x v="455"/>
    <n v="1"/>
    <n v="31"/>
    <n v="91"/>
    <x v="60"/>
    <m/>
    <m/>
    <m/>
    <m/>
  </r>
  <r>
    <x v="0"/>
    <d v="2025-12-31T00:00:00"/>
    <n v="12"/>
    <x v="35"/>
    <n v="1"/>
    <x v="32"/>
    <s v="Orgiva 1"/>
    <x v="456"/>
    <m/>
    <n v="58"/>
    <n v="58"/>
    <x v="60"/>
    <m/>
    <m/>
    <m/>
    <m/>
  </r>
  <r>
    <x v="0"/>
    <d v="2026-01-01T00:00:00"/>
    <n v="1"/>
    <x v="36"/>
    <n v="1"/>
    <x v="32"/>
    <s v="Alhama"/>
    <x v="457"/>
    <n v="1"/>
    <n v="27"/>
    <n v="87"/>
    <x v="60"/>
    <m/>
    <m/>
    <m/>
    <m/>
  </r>
  <r>
    <x v="0"/>
    <d v="2026-01-02T00:00:00"/>
    <n v="1"/>
    <x v="36"/>
    <n v="1"/>
    <x v="32"/>
    <s v="Toix 1"/>
    <x v="458"/>
    <n v="1"/>
    <n v="23"/>
    <n v="83"/>
    <x v="60"/>
    <m/>
    <m/>
    <m/>
    <m/>
  </r>
  <r>
    <x v="0"/>
    <d v="2026-01-04T00:00:00"/>
    <n v="1"/>
    <x v="36"/>
    <n v="1"/>
    <x v="32"/>
    <s v="Heimat"/>
    <x v="63"/>
    <m/>
    <n v="38"/>
    <n v="38"/>
    <x v="2"/>
    <m/>
    <m/>
    <m/>
    <m/>
  </r>
  <r>
    <x v="0"/>
    <d v="2026-01-05T00:00:00"/>
    <n v="1"/>
    <x v="36"/>
    <n v="1"/>
    <x v="32"/>
    <s v="Heimat"/>
    <x v="63"/>
    <n v="1"/>
    <n v="19"/>
    <n v="79"/>
    <x v="2"/>
    <m/>
    <m/>
    <m/>
    <m/>
  </r>
  <r>
    <x v="0"/>
    <d v="2026-01-06T00:00:00"/>
    <n v="1"/>
    <x v="36"/>
    <n v="1"/>
    <x v="32"/>
    <s v="Heimat"/>
    <x v="35"/>
    <n v="1"/>
    <n v="21"/>
    <n v="81"/>
    <x v="2"/>
    <m/>
    <m/>
    <m/>
    <m/>
  </r>
  <r>
    <x v="0"/>
    <d v="2026-01-07T00:00:00"/>
    <n v="1"/>
    <x v="36"/>
    <n v="1"/>
    <x v="32"/>
    <s v="Heimat"/>
    <x v="63"/>
    <n v="1"/>
    <n v="6"/>
    <n v="66"/>
    <x v="2"/>
    <m/>
    <m/>
    <m/>
    <m/>
  </r>
  <r>
    <x v="0"/>
    <d v="2026-01-15T00:00:00"/>
    <n v="1"/>
    <x v="36"/>
    <n v="1"/>
    <x v="32"/>
    <s v="Heimat"/>
    <x v="35"/>
    <m/>
    <n v="39"/>
    <n v="39"/>
    <x v="2"/>
    <m/>
    <m/>
    <m/>
    <m/>
  </r>
  <r>
    <x v="0"/>
    <d v="2026-01-21T00:00:00"/>
    <n v="1"/>
    <x v="36"/>
    <n v="1"/>
    <x v="32"/>
    <s v="Heimat"/>
    <x v="35"/>
    <n v="1"/>
    <n v="31"/>
    <n v="91"/>
    <x v="2"/>
    <m/>
    <m/>
    <m/>
    <m/>
  </r>
  <r>
    <x v="0"/>
    <d v="2026-01-22T00:00:00"/>
    <n v="1"/>
    <x v="36"/>
    <n v="1"/>
    <x v="32"/>
    <s v="Heimat"/>
    <x v="63"/>
    <m/>
    <n v="40"/>
    <n v="40"/>
    <x v="2"/>
    <m/>
    <m/>
    <m/>
    <m/>
  </r>
  <r>
    <x v="0"/>
    <d v="2026-02-01T00:00:00"/>
    <n v="2"/>
    <x v="36"/>
    <n v="1"/>
    <x v="32"/>
    <s v="Heimat"/>
    <x v="311"/>
    <n v="1"/>
    <n v="20"/>
    <n v="80"/>
    <x v="2"/>
    <m/>
    <m/>
    <m/>
    <m/>
  </r>
  <r>
    <x v="0"/>
    <d v="2026-02-05T00:00:00"/>
    <n v="2"/>
    <x v="36"/>
    <n v="1"/>
    <x v="32"/>
    <s v="Heimat"/>
    <x v="35"/>
    <n v="2"/>
    <n v="18"/>
    <n v="138"/>
    <x v="2"/>
    <m/>
    <m/>
    <m/>
    <m/>
  </r>
  <r>
    <x v="0"/>
    <d v="2026-02-07T00:00:00"/>
    <n v="2"/>
    <x v="36"/>
    <n v="1"/>
    <x v="32"/>
    <s v="Heimat"/>
    <x v="35"/>
    <n v="1"/>
    <n v="18"/>
    <n v="78"/>
    <x v="2"/>
    <m/>
    <m/>
    <m/>
    <m/>
  </r>
  <r>
    <x v="0"/>
    <d v="2026-02-08T00:00:00"/>
    <n v="2"/>
    <x v="36"/>
    <n v="1"/>
    <x v="37"/>
    <s v="Heimat"/>
    <x v="35"/>
    <n v="1"/>
    <n v="21"/>
    <n v="81"/>
    <x v="2"/>
    <m/>
    <m/>
    <m/>
    <m/>
  </r>
  <r>
    <x v="0"/>
    <d v="2026-02-09T00:00:00"/>
    <n v="2"/>
    <x v="36"/>
    <n v="1"/>
    <x v="37"/>
    <s v="Heimat"/>
    <x v="311"/>
    <n v="1"/>
    <n v="17"/>
    <n v="77"/>
    <x v="2"/>
    <s v="Mit Thomas"/>
    <m/>
    <m/>
    <m/>
  </r>
  <r>
    <x v="0"/>
    <d v="2026-02-15T00:00:00"/>
    <n v="2"/>
    <x v="36"/>
    <n v="1"/>
    <x v="37"/>
    <s v="San Fermo"/>
    <x v="133"/>
    <n v="1"/>
    <n v="34"/>
    <n v="94"/>
    <x v="61"/>
    <m/>
    <m/>
    <m/>
    <m/>
  </r>
  <r>
    <x v="0"/>
    <d v="2026-02-15T00:00:00"/>
    <n v="2"/>
    <x v="36"/>
    <n v="0"/>
    <x v="37"/>
    <s v="San Fermo"/>
    <x v="135"/>
    <m/>
    <n v="47"/>
    <n v="47"/>
    <x v="61"/>
    <m/>
    <m/>
    <m/>
    <m/>
  </r>
  <r>
    <x v="0"/>
    <d v="2026-02-16T00:00:00"/>
    <n v="2"/>
    <x v="36"/>
    <n v="1"/>
    <x v="37"/>
    <s v="Monte Farno"/>
    <x v="459"/>
    <m/>
    <n v="10"/>
    <n v="10"/>
    <x v="61"/>
    <m/>
    <m/>
    <m/>
    <m/>
  </r>
  <r>
    <x v="0"/>
    <d v="2026-02-18T00:00:00"/>
    <n v="2"/>
    <x v="36"/>
    <n v="1"/>
    <x v="37"/>
    <s v="Bassano Bepi"/>
    <x v="460"/>
    <n v="2"/>
    <n v="12"/>
    <n v="132"/>
    <x v="61"/>
    <m/>
    <m/>
    <m/>
    <m/>
  </r>
  <r>
    <x v="0"/>
    <d v="2026-02-18T00:00:00"/>
    <n v="2"/>
    <x v="36"/>
    <n v="0"/>
    <x v="37"/>
    <s v="Bassano Bepi"/>
    <x v="460"/>
    <n v="1"/>
    <n v="13"/>
    <n v="73"/>
    <x v="61"/>
    <m/>
    <m/>
    <m/>
    <m/>
  </r>
  <r>
    <x v="0"/>
    <d v="2026-02-20T00:00:00"/>
    <n v="2"/>
    <x v="36"/>
    <n v="1"/>
    <x v="37"/>
    <s v="Monte Maddalena"/>
    <x v="461"/>
    <n v="1"/>
    <n v="3"/>
    <n v="63"/>
    <x v="61"/>
    <m/>
    <m/>
    <m/>
    <m/>
  </r>
  <r>
    <x v="0"/>
    <d v="2026-02-25T00:00:00"/>
    <n v="2"/>
    <x v="36"/>
    <n v="1"/>
    <x v="38"/>
    <s v="Heimat"/>
    <x v="35"/>
    <n v="1"/>
    <n v="18"/>
    <n v="78"/>
    <x v="2"/>
    <m/>
    <m/>
    <m/>
    <m/>
  </r>
  <r>
    <x v="0"/>
    <d v="2026-03-01T00:00:00"/>
    <n v="3"/>
    <x v="36"/>
    <n v="1"/>
    <x v="32"/>
    <s v="Rampa Clementino Izota"/>
    <x v="462"/>
    <m/>
    <n v="33"/>
    <n v="33"/>
    <x v="62"/>
    <m/>
    <m/>
    <m/>
    <m/>
  </r>
  <r>
    <x v="0"/>
    <d v="2026-03-02T00:00:00"/>
    <n v="3"/>
    <x v="36"/>
    <n v="1"/>
    <x v="32"/>
    <s v="Rampa Clementino Izota"/>
    <x v="463"/>
    <n v="1"/>
    <n v="54"/>
    <n v="114"/>
    <x v="62"/>
    <m/>
    <m/>
    <m/>
    <m/>
  </r>
  <r>
    <x v="0"/>
    <d v="2026-03-03T00:00:00"/>
    <n v="3"/>
    <x v="36"/>
    <n v="1"/>
    <x v="32"/>
    <s v="Pedra do Vidal"/>
    <x v="463"/>
    <m/>
    <n v="13"/>
    <n v="13"/>
    <x v="62"/>
    <m/>
    <m/>
    <m/>
    <m/>
  </r>
  <r>
    <x v="0"/>
    <d v="2026-03-04T00:00:00"/>
    <n v="3"/>
    <x v="36"/>
    <n v="1"/>
    <x v="32"/>
    <s v="Rampa Clementino Izota"/>
    <x v="462"/>
    <n v="1"/>
    <n v="48"/>
    <n v="108"/>
    <x v="62"/>
    <m/>
    <m/>
    <m/>
    <m/>
  </r>
  <r>
    <x v="0"/>
    <d v="2026-03-05T00:00:00"/>
    <n v="3"/>
    <x v="36"/>
    <n v="1"/>
    <x v="32"/>
    <s v="Rampa Monjolo Baixo"/>
    <x v="464"/>
    <m/>
    <n v="49"/>
    <n v="49"/>
    <x v="62"/>
    <m/>
    <m/>
    <m/>
    <m/>
  </r>
  <r>
    <x v="0"/>
    <d v="2026-03-06T00:00:00"/>
    <n v="3"/>
    <x v="36"/>
    <n v="1"/>
    <x v="32"/>
    <s v="Governador Valadares"/>
    <x v="465"/>
    <n v="2"/>
    <n v="26"/>
    <n v="146"/>
    <x v="62"/>
    <m/>
    <m/>
    <m/>
    <m/>
  </r>
  <r>
    <x v="0"/>
    <d v="2026-03-07T00:00:00"/>
    <n v="3"/>
    <x v="36"/>
    <n v="1"/>
    <x v="32"/>
    <s v="Governador Valadares"/>
    <x v="466"/>
    <n v="2"/>
    <n v="16"/>
    <n v="136"/>
    <x v="62"/>
    <m/>
    <m/>
    <m/>
    <m/>
  </r>
  <r>
    <x v="0"/>
    <d v="2026-03-07T00:00:00"/>
    <n v="3"/>
    <x v="36"/>
    <n v="0"/>
    <x v="32"/>
    <s v="Governador Valadares"/>
    <x v="467"/>
    <m/>
    <n v="34"/>
    <n v="34"/>
    <x v="62"/>
    <m/>
    <m/>
    <m/>
    <m/>
  </r>
  <r>
    <x v="0"/>
    <d v="2026-03-08T00:00:00"/>
    <n v="3"/>
    <x v="36"/>
    <n v="1"/>
    <x v="32"/>
    <s v="Rampa Monjolo Baixo"/>
    <x v="464"/>
    <n v="1"/>
    <n v="5"/>
    <n v="65"/>
    <x v="62"/>
    <m/>
    <m/>
    <m/>
    <m/>
  </r>
  <r>
    <x v="0"/>
    <d v="2026-03-09T00:00:00"/>
    <n v="3"/>
    <x v="36"/>
    <n v="1"/>
    <x v="32"/>
    <s v="Rampa Monjolo Baixo"/>
    <x v="464"/>
    <n v="3"/>
    <n v="22"/>
    <n v="202"/>
    <x v="62"/>
    <m/>
    <m/>
    <m/>
    <m/>
  </r>
  <r>
    <x v="0"/>
    <d v="2026-03-10T00:00:00"/>
    <n v="3"/>
    <x v="36"/>
    <n v="1"/>
    <x v="32"/>
    <s v="Rampa Monjolo Baixo"/>
    <x v="468"/>
    <n v="2"/>
    <n v="24"/>
    <n v="144"/>
    <x v="62"/>
    <m/>
    <m/>
    <m/>
    <m/>
  </r>
  <r>
    <x v="0"/>
    <d v="2026-03-11T00:00:00"/>
    <n v="3"/>
    <x v="36"/>
    <n v="1"/>
    <x v="32"/>
    <s v="Falesias de Mare"/>
    <x v="469"/>
    <n v="1"/>
    <n v="19"/>
    <n v="79"/>
    <x v="62"/>
    <m/>
    <m/>
    <m/>
    <m/>
  </r>
  <r>
    <x v="0"/>
    <d v="2026-03-12T00:00:00"/>
    <n v="3"/>
    <x v="36"/>
    <n v="1"/>
    <x v="32"/>
    <s v="Rampa do Mirante Alto"/>
    <x v="470"/>
    <m/>
    <n v="7"/>
    <n v="7"/>
    <x v="62"/>
    <m/>
    <m/>
    <m/>
    <m/>
  </r>
  <r>
    <x v="0"/>
    <d v="2026-03-12T00:00:00"/>
    <n v="3"/>
    <x v="36"/>
    <n v="0"/>
    <x v="32"/>
    <s v="Rampa do Mirante Alto"/>
    <x v="471"/>
    <m/>
    <n v="17"/>
    <n v="17"/>
    <x v="62"/>
    <m/>
    <m/>
    <m/>
    <m/>
  </r>
  <r>
    <x v="0"/>
    <d v="2026-03-13T00:00:00"/>
    <n v="3"/>
    <x v="36"/>
    <n v="1"/>
    <x v="32"/>
    <s v="Rampa de Cachoeira"/>
    <x v="472"/>
    <n v="1"/>
    <n v="0"/>
    <n v="60"/>
    <x v="62"/>
    <m/>
    <m/>
    <m/>
    <m/>
  </r>
  <r>
    <x v="0"/>
    <d v="2026-03-19T00:00:00"/>
    <n v="3"/>
    <x v="36"/>
    <n v="1"/>
    <x v="38"/>
    <s v="Heimat"/>
    <x v="35"/>
    <m/>
    <n v="58"/>
    <n v="58"/>
    <x v="2"/>
    <m/>
    <m/>
    <m/>
    <m/>
  </r>
  <r>
    <x v="0"/>
    <d v="2026-03-20T00:00:00"/>
    <n v="3"/>
    <x v="36"/>
    <n v="1"/>
    <x v="38"/>
    <s v="Heimat"/>
    <x v="63"/>
    <n v="1"/>
    <n v="30"/>
    <n v="90"/>
    <x v="2"/>
    <m/>
    <m/>
    <m/>
    <m/>
  </r>
  <r>
    <x v="0"/>
    <d v="2026-03-23T00:00:00"/>
    <n v="3"/>
    <x v="36"/>
    <n v="1"/>
    <x v="38"/>
    <s v="Heimat"/>
    <x v="148"/>
    <m/>
    <n v="44"/>
    <n v="44"/>
    <x v="2"/>
    <m/>
    <m/>
    <m/>
    <m/>
  </r>
  <r>
    <x v="0"/>
    <d v="2026-03-24T00:00:00"/>
    <n v="3"/>
    <x v="36"/>
    <n v="1"/>
    <x v="38"/>
    <s v="Heimat"/>
    <x v="35"/>
    <n v="1"/>
    <n v="4"/>
    <n v="64"/>
    <x v="2"/>
    <m/>
    <m/>
    <m/>
    <m/>
  </r>
  <r>
    <x v="0"/>
    <d v="2026-04-02T00:00:00"/>
    <n v="4"/>
    <x v="36"/>
    <n v="1"/>
    <x v="38"/>
    <s v="Heimat"/>
    <x v="227"/>
    <m/>
    <n v="43"/>
    <n v="43"/>
    <x v="2"/>
    <m/>
    <m/>
    <m/>
    <m/>
  </r>
  <r>
    <x v="0"/>
    <d v="2026-04-03T00:00:00"/>
    <n v="4"/>
    <x v="36"/>
    <n v="1"/>
    <x v="38"/>
    <s v="Heimat"/>
    <x v="227"/>
    <m/>
    <n v="27"/>
    <n v="27"/>
    <x v="2"/>
    <m/>
    <m/>
    <m/>
    <m/>
  </r>
  <r>
    <x v="0"/>
    <d v="2026-04-04T00:00:00"/>
    <n v="4"/>
    <x v="36"/>
    <n v="1"/>
    <x v="38"/>
    <s v="Heimat"/>
    <x v="185"/>
    <m/>
    <n v="53"/>
    <n v="53"/>
    <x v="2"/>
    <m/>
    <m/>
    <m/>
    <m/>
  </r>
  <r>
    <x v="0"/>
    <d v="2026-04-06T00:00:00"/>
    <n v="4"/>
    <x v="36"/>
    <n v="1"/>
    <x v="38"/>
    <s v="Heimat"/>
    <x v="311"/>
    <m/>
    <n v="55"/>
    <n v="55"/>
    <x v="2"/>
    <s v="mit Samantha"/>
    <m/>
    <m/>
    <m/>
  </r>
  <r>
    <x v="0"/>
    <d v="2026-04-07T00:00:00"/>
    <n v="4"/>
    <x v="36"/>
    <n v="1"/>
    <x v="38"/>
    <s v="Heimat"/>
    <x v="227"/>
    <n v="2"/>
    <n v="0"/>
    <n v="120"/>
    <x v="2"/>
    <m/>
    <m/>
    <m/>
    <m/>
  </r>
  <r>
    <x v="0"/>
    <d v="2026-04-08T00:00:00"/>
    <n v="4"/>
    <x v="36"/>
    <n v="1"/>
    <x v="38"/>
    <s v="Heimat"/>
    <x v="227"/>
    <n v="2"/>
    <n v="20"/>
    <n v="140"/>
    <x v="2"/>
    <m/>
    <m/>
    <m/>
    <m/>
  </r>
  <r>
    <x v="0"/>
    <d v="2026-04-10T00:00:00"/>
    <n v="4"/>
    <x v="36"/>
    <n v="1"/>
    <x v="38"/>
    <s v="Pizzo Calabro 1"/>
    <x v="388"/>
    <m/>
    <n v="11"/>
    <n v="11"/>
    <x v="63"/>
    <m/>
    <m/>
    <m/>
    <m/>
  </r>
  <r>
    <x v="0"/>
    <d v="2026-04-10T00:00:00"/>
    <n v="4"/>
    <x v="36"/>
    <n v="0"/>
    <x v="38"/>
    <s v="Pizzo Calabro 1"/>
    <x v="388"/>
    <m/>
    <n v="12"/>
    <n v="12"/>
    <x v="63"/>
    <m/>
    <m/>
    <m/>
    <m/>
  </r>
  <r>
    <x v="0"/>
    <d v="2026-04-10T00:00:00"/>
    <n v="4"/>
    <x v="36"/>
    <n v="0"/>
    <x v="38"/>
    <s v="Pizzo Calabro 1"/>
    <x v="389"/>
    <m/>
    <n v="37"/>
    <n v="37"/>
    <x v="63"/>
    <m/>
    <m/>
    <m/>
    <m/>
  </r>
  <r>
    <x v="0"/>
    <d v="2026-04-11T00:00:00"/>
    <n v="4"/>
    <x v="36"/>
    <n v="1"/>
    <x v="38"/>
    <s v="Monte Coccovello"/>
    <x v="392"/>
    <m/>
    <n v="22"/>
    <n v="22"/>
    <x v="63"/>
    <m/>
    <m/>
    <m/>
    <m/>
  </r>
  <r>
    <x v="0"/>
    <d v="2026-04-11T00:00:00"/>
    <n v="4"/>
    <x v="36"/>
    <n v="0"/>
    <x v="38"/>
    <s v="Monte Coccovello"/>
    <x v="392"/>
    <m/>
    <n v="21"/>
    <n v="21"/>
    <x v="63"/>
    <m/>
    <m/>
    <m/>
    <m/>
  </r>
  <r>
    <x v="0"/>
    <d v="2026-04-12T00:00:00"/>
    <n v="4"/>
    <x v="36"/>
    <n v="1"/>
    <x v="38"/>
    <s v="Monte di Capaccio Vecchio"/>
    <x v="394"/>
    <m/>
    <n v="11"/>
    <n v="11"/>
    <x v="63"/>
    <m/>
    <m/>
    <m/>
    <m/>
  </r>
  <r>
    <x v="0"/>
    <d v="2026-04-14T00:00:00"/>
    <n v="4"/>
    <x v="36"/>
    <n v="1"/>
    <x v="38"/>
    <s v="Monte di Capaccio Vecchio"/>
    <x v="473"/>
    <m/>
    <n v="51"/>
    <n v="51"/>
    <x v="63"/>
    <m/>
    <m/>
    <m/>
    <m/>
  </r>
  <r>
    <x v="0"/>
    <d v="2026-04-16T00:00:00"/>
    <n v="4"/>
    <x v="36"/>
    <n v="1"/>
    <x v="38"/>
    <s v="Norma"/>
    <x v="398"/>
    <m/>
    <n v="58"/>
    <n v="58"/>
    <x v="63"/>
    <m/>
    <m/>
    <m/>
    <m/>
  </r>
  <r>
    <x v="0"/>
    <d v="2026-04-16T00:00:00"/>
    <n v="4"/>
    <x v="36"/>
    <n v="0"/>
    <x v="38"/>
    <s v="Norma"/>
    <x v="428"/>
    <m/>
    <n v="35"/>
    <n v="35"/>
    <x v="63"/>
    <m/>
    <m/>
    <m/>
    <m/>
  </r>
  <r>
    <x v="0"/>
    <d v="2026-04-17T00:00:00"/>
    <n v="4"/>
    <x v="36"/>
    <n v="1"/>
    <x v="38"/>
    <s v="Norma"/>
    <x v="398"/>
    <m/>
    <n v="58"/>
    <n v="58"/>
    <x v="63"/>
    <m/>
    <m/>
    <m/>
    <m/>
  </r>
  <r>
    <x v="0"/>
    <d v="2026-04-18T00:00:00"/>
    <n v="4"/>
    <x v="36"/>
    <n v="1"/>
    <x v="38"/>
    <s v="Norma"/>
    <x v="398"/>
    <n v="1"/>
    <n v="55"/>
    <n v="115"/>
    <x v="64"/>
    <m/>
    <m/>
    <m/>
    <m/>
  </r>
  <r>
    <x v="0"/>
    <d v="2026-04-18T00:00:00"/>
    <n v="4"/>
    <x v="36"/>
    <n v="0"/>
    <x v="38"/>
    <s v="Norma"/>
    <x v="428"/>
    <n v="2"/>
    <n v="44"/>
    <n v="164"/>
    <x v="64"/>
    <m/>
    <m/>
    <m/>
    <m/>
  </r>
  <r>
    <x v="0"/>
    <d v="2026-04-19T00:00:00"/>
    <n v="4"/>
    <x v="36"/>
    <n v="1"/>
    <x v="38"/>
    <s v="Pogio Bustone"/>
    <x v="474"/>
    <n v="2"/>
    <n v="17"/>
    <n v="137"/>
    <x v="64"/>
    <m/>
    <m/>
    <m/>
    <m/>
  </r>
  <r>
    <x v="0"/>
    <d v="2026-04-20T00:00:00"/>
    <n v="4"/>
    <x v="36"/>
    <n v="1"/>
    <x v="38"/>
    <s v="Monte Scalambra"/>
    <x v="475"/>
    <n v="1"/>
    <n v="3"/>
    <n v="63"/>
    <x v="64"/>
    <m/>
    <m/>
    <m/>
    <m/>
  </r>
  <r>
    <x v="0"/>
    <d v="2026-04-21T00:00:00"/>
    <n v="4"/>
    <x v="36"/>
    <n v="1"/>
    <x v="38"/>
    <s v="Norma"/>
    <x v="398"/>
    <n v="1"/>
    <n v="41"/>
    <n v="101"/>
    <x v="64"/>
    <m/>
    <m/>
    <m/>
    <m/>
  </r>
  <r>
    <x v="0"/>
    <d v="2026-04-21T00:00:00"/>
    <n v="4"/>
    <x v="36"/>
    <n v="0"/>
    <x v="38"/>
    <s v="Norma"/>
    <x v="398"/>
    <n v="1"/>
    <n v="13"/>
    <n v="73"/>
    <x v="64"/>
    <m/>
    <m/>
    <m/>
    <m/>
  </r>
  <r>
    <x v="0"/>
    <d v="2026-04-23T00:00:00"/>
    <n v="4"/>
    <x v="36"/>
    <n v="1"/>
    <x v="38"/>
    <s v="Calvanella di Sestola"/>
    <x v="476"/>
    <m/>
    <n v="53"/>
    <n v="53"/>
    <x v="64"/>
    <m/>
    <m/>
    <m/>
    <m/>
  </r>
  <r>
    <x v="0"/>
    <d v="2026-04-24T00:00:00"/>
    <n v="4"/>
    <x v="36"/>
    <n v="1"/>
    <x v="38"/>
    <s v="Monfestino"/>
    <x v="477"/>
    <n v="1"/>
    <n v="13"/>
    <n v="73"/>
    <x v="64"/>
    <m/>
    <m/>
    <m/>
    <m/>
  </r>
  <r>
    <x v="0"/>
    <d v="2026-04-26T00:00:00"/>
    <n v="4"/>
    <x v="36"/>
    <n v="1"/>
    <x v="38"/>
    <s v="Heimat"/>
    <x v="227"/>
    <n v="1"/>
    <n v="31"/>
    <n v="91"/>
    <x v="2"/>
    <m/>
    <m/>
    <m/>
    <m/>
  </r>
  <r>
    <x v="0"/>
    <d v="2026-05-01T00:00:00"/>
    <n v="5"/>
    <x v="36"/>
    <n v="1"/>
    <x v="38"/>
    <s v="Heimat"/>
    <x v="227"/>
    <n v="2"/>
    <n v="9"/>
    <n v="129"/>
    <x v="2"/>
    <m/>
    <m/>
    <m/>
    <m/>
  </r>
  <r>
    <x v="0"/>
    <d v="2026-05-02T00:00:00"/>
    <n v="5"/>
    <x v="36"/>
    <n v="1"/>
    <x v="38"/>
    <s v="Heimat"/>
    <x v="227"/>
    <n v="1"/>
    <n v="27"/>
    <n v="87"/>
    <x v="2"/>
    <m/>
    <m/>
    <m/>
    <m/>
  </r>
  <r>
    <x v="0"/>
    <d v="2026-05-08T00:00:00"/>
    <n v="5"/>
    <x v="36"/>
    <n v="1"/>
    <x v="38"/>
    <s v="Heimat"/>
    <x v="227"/>
    <n v="1"/>
    <n v="12"/>
    <n v="72"/>
    <x v="2"/>
    <m/>
    <m/>
    <m/>
    <m/>
  </r>
  <r>
    <x v="0"/>
    <d v="2026-05-13T00:00:00"/>
    <n v="5"/>
    <x v="36"/>
    <n v="1"/>
    <x v="38"/>
    <s v="Heimat"/>
    <x v="205"/>
    <n v="1"/>
    <n v="3"/>
    <n v="63"/>
    <x v="2"/>
    <m/>
    <m/>
    <m/>
    <m/>
  </r>
  <r>
    <x v="0"/>
    <d v="2026-05-17T00:00:00"/>
    <n v="5"/>
    <x v="36"/>
    <n v="1"/>
    <x v="38"/>
    <s v="Heimat"/>
    <x v="227"/>
    <n v="1"/>
    <n v="18"/>
    <n v="78"/>
    <x v="2"/>
    <s v="mit Claude"/>
    <m/>
    <m/>
    <m/>
  </r>
  <r>
    <x v="0"/>
    <d v="2026-05-19T00:00:00"/>
    <n v="5"/>
    <x v="36"/>
    <n v="1"/>
    <x v="38"/>
    <s v="Riederalp"/>
    <x v="227"/>
    <n v="1"/>
    <n v="18"/>
    <n v="78"/>
    <x v="2"/>
    <m/>
    <m/>
    <m/>
    <m/>
  </r>
  <r>
    <x v="0"/>
    <d v="2026-05-21T00:00:00"/>
    <n v="5"/>
    <x v="36"/>
    <n v="1"/>
    <x v="38"/>
    <s v="Riederalp"/>
    <x v="227"/>
    <n v="1"/>
    <n v="30"/>
    <n v="90"/>
    <x v="2"/>
    <m/>
    <m/>
    <m/>
    <m/>
  </r>
  <r>
    <x v="0"/>
    <d v="2026-05-22T00:00:00"/>
    <n v="5"/>
    <x v="36"/>
    <n v="1"/>
    <x v="38"/>
    <s v="Riederalp"/>
    <x v="35"/>
    <n v="1"/>
    <n v="30"/>
    <n v="90"/>
    <x v="2"/>
    <m/>
    <m/>
    <m/>
    <m/>
  </r>
  <r>
    <x v="0"/>
    <d v="2026-05-23T00:00:00"/>
    <n v="5"/>
    <x v="36"/>
    <n v="1"/>
    <x v="38"/>
    <s v="Galfera"/>
    <x v="227"/>
    <n v="1"/>
    <n v="30"/>
    <n v="90"/>
    <x v="2"/>
    <m/>
    <m/>
    <m/>
    <m/>
  </r>
  <r>
    <x v="0"/>
    <d v="2026-05-24T00:00:00"/>
    <n v="5"/>
    <x v="36"/>
    <n v="1"/>
    <x v="38"/>
    <s v="Galfera"/>
    <x v="35"/>
    <n v="2"/>
    <n v="50"/>
    <n v="170"/>
    <x v="2"/>
    <m/>
    <m/>
    <m/>
    <m/>
  </r>
  <r>
    <x v="0"/>
    <d v="2026-05-25T00:00:00"/>
    <n v="5"/>
    <x v="36"/>
    <n v="1"/>
    <x v="38"/>
    <s v="Galfera"/>
    <x v="35"/>
    <n v="2"/>
    <n v="18"/>
    <n v="138"/>
    <x v="2"/>
    <m/>
    <m/>
    <m/>
    <m/>
  </r>
  <r>
    <x v="0"/>
    <d v="2026-05-26T00:00:00"/>
    <n v="5"/>
    <x v="36"/>
    <n v="1"/>
    <x v="38"/>
    <s v="Riederalp"/>
    <x v="227"/>
    <n v="1"/>
    <n v="49"/>
    <n v="109"/>
    <x v="2"/>
    <m/>
    <m/>
    <m/>
    <m/>
  </r>
  <r>
    <x v="0"/>
    <d v="2026-05-27T00:00:00"/>
    <n v="5"/>
    <x v="36"/>
    <n v="1"/>
    <x v="38"/>
    <s v="Riederalp"/>
    <x v="35"/>
    <n v="1"/>
    <n v="12"/>
    <n v="72"/>
    <x v="2"/>
    <m/>
    <m/>
    <m/>
    <m/>
  </r>
  <r>
    <x v="0"/>
    <d v="2026-05-29T00:00:00"/>
    <n v="5"/>
    <x v="36"/>
    <n v="1"/>
    <x v="38"/>
    <s v="Bassano Bepi"/>
    <x v="478"/>
    <n v="1"/>
    <n v="26"/>
    <n v="86"/>
    <x v="2"/>
    <m/>
    <m/>
    <m/>
    <m/>
  </r>
  <r>
    <x v="0"/>
    <d v="2026-05-30T00:00:00"/>
    <n v="5"/>
    <x v="36"/>
    <n v="1"/>
    <x v="38"/>
    <s v="Gemona"/>
    <x v="479"/>
    <n v="1"/>
    <n v="23"/>
    <n v="83"/>
    <x v="65"/>
    <m/>
    <m/>
    <m/>
    <m/>
  </r>
  <r>
    <x v="0"/>
    <d v="2026-05-30T00:00:00"/>
    <n v="5"/>
    <x v="36"/>
    <n v="0"/>
    <x v="38"/>
    <s v="Bernadia"/>
    <x v="480"/>
    <n v="1"/>
    <n v="23"/>
    <n v="83"/>
    <x v="65"/>
    <m/>
    <m/>
    <m/>
    <m/>
  </r>
  <r>
    <x v="0"/>
    <d v="2026-05-31T00:00:00"/>
    <n v="5"/>
    <x v="36"/>
    <n v="1"/>
    <x v="38"/>
    <s v="Lijak"/>
    <x v="481"/>
    <n v="1"/>
    <n v="11"/>
    <n v="71"/>
    <x v="65"/>
    <m/>
    <m/>
    <m/>
    <m/>
  </r>
  <r>
    <x v="0"/>
    <d v="2026-06-01T00:00:00"/>
    <n v="6"/>
    <x v="36"/>
    <n v="1"/>
    <x v="38"/>
    <s v="Bernadia"/>
    <x v="480"/>
    <m/>
    <n v="25"/>
    <n v="25"/>
    <x v="65"/>
    <m/>
    <m/>
    <m/>
    <m/>
  </r>
  <r>
    <x v="0"/>
    <d v="2026-06-02T00:00:00"/>
    <n v="6"/>
    <x v="36"/>
    <n v="1"/>
    <x v="38"/>
    <s v="Tribalj"/>
    <x v="482"/>
    <n v="1"/>
    <n v="39"/>
    <n v="99"/>
    <x v="65"/>
    <m/>
    <m/>
    <m/>
    <m/>
  </r>
  <r>
    <x v="0"/>
    <d v="2026-06-02T00:00:00"/>
    <n v="6"/>
    <x v="36"/>
    <n v="0"/>
    <x v="38"/>
    <s v="Tribalj"/>
    <x v="482"/>
    <n v="1"/>
    <n v="17"/>
    <n v="77"/>
    <x v="65"/>
    <m/>
    <m/>
    <m/>
    <m/>
  </r>
  <r>
    <x v="0"/>
    <d v="2026-06-03T00:00:00"/>
    <n v="6"/>
    <x v="36"/>
    <n v="1"/>
    <x v="38"/>
    <s v="Emberger Alm"/>
    <x v="483"/>
    <m/>
    <n v="17"/>
    <n v="17"/>
    <x v="65"/>
    <m/>
    <m/>
    <m/>
    <m/>
  </r>
  <r>
    <x v="0"/>
    <d v="2026-06-04T00:00:00"/>
    <n v="6"/>
    <x v="36"/>
    <n v="1"/>
    <x v="38"/>
    <s v="Elmberger Alm"/>
    <x v="484"/>
    <n v="2"/>
    <n v="30"/>
    <n v="150"/>
    <x v="65"/>
    <m/>
    <m/>
    <m/>
    <m/>
  </r>
  <r>
    <x v="0"/>
    <d v="2026-06-05T00:00:00"/>
    <n v="6"/>
    <x v="36"/>
    <n v="1"/>
    <x v="38"/>
    <s v="Monte Avena"/>
    <x v="485"/>
    <n v="1"/>
    <n v="54"/>
    <n v="114"/>
    <x v="65"/>
    <m/>
    <m/>
    <m/>
    <m/>
  </r>
  <r>
    <x v="0"/>
    <d v="2026-06-06T00:00:00"/>
    <n v="6"/>
    <x v="36"/>
    <n v="1"/>
    <x v="38"/>
    <s v="Cima Grappa"/>
    <x v="478"/>
    <n v="1"/>
    <n v="5"/>
    <n v="65"/>
    <x v="65"/>
    <m/>
    <m/>
    <m/>
    <m/>
  </r>
  <r>
    <x v="0"/>
    <d v="2026-06-07T00:00:00"/>
    <n v="6"/>
    <x v="36"/>
    <n v="1"/>
    <x v="38"/>
    <s v="Galfera"/>
    <x v="227"/>
    <n v="1"/>
    <n v="10"/>
    <n v="70"/>
    <x v="2"/>
    <m/>
    <m/>
    <m/>
    <m/>
  </r>
  <r>
    <x v="0"/>
    <d v="2026-06-08T00:00:00"/>
    <n v="6"/>
    <x v="36"/>
    <n v="1"/>
    <x v="38"/>
    <s v="Heimat"/>
    <x v="120"/>
    <n v="1"/>
    <n v="1"/>
    <n v="61"/>
    <x v="2"/>
    <m/>
    <m/>
    <m/>
    <m/>
  </r>
  <r>
    <x v="0"/>
    <d v="2026-06-12T00:00:00"/>
    <n v="6"/>
    <x v="36"/>
    <n v="1"/>
    <x v="38"/>
    <s v="Genetiniai"/>
    <x v="406"/>
    <m/>
    <n v="22"/>
    <n v="22"/>
    <x v="36"/>
    <m/>
    <m/>
    <m/>
    <m/>
  </r>
  <r>
    <x v="0"/>
    <d v="2026-06-12T00:00:00"/>
    <n v="6"/>
    <x v="36"/>
    <n v="0"/>
    <x v="38"/>
    <s v="Genetiniai"/>
    <x v="406"/>
    <m/>
    <n v="28"/>
    <n v="28"/>
    <x v="36"/>
    <m/>
    <m/>
    <m/>
    <m/>
  </r>
  <r>
    <x v="0"/>
    <d v="2026-06-12T00:00:00"/>
    <n v="6"/>
    <x v="36"/>
    <n v="0"/>
    <x v="38"/>
    <s v="Genetiniai"/>
    <x v="486"/>
    <m/>
    <n v="21"/>
    <n v="21"/>
    <x v="36"/>
    <m/>
    <m/>
    <m/>
    <m/>
  </r>
  <r>
    <x v="0"/>
    <d v="2026-06-13T00:00:00"/>
    <n v="6"/>
    <x v="36"/>
    <n v="1"/>
    <x v="38"/>
    <s v="Deltuva"/>
    <x v="487"/>
    <m/>
    <n v="16"/>
    <n v="16"/>
    <x v="36"/>
    <m/>
    <m/>
    <m/>
    <m/>
  </r>
  <r>
    <x v="0"/>
    <d v="2026-06-13T00:00:00"/>
    <n v="6"/>
    <x v="36"/>
    <n v="0"/>
    <x v="38"/>
    <s v="Deltuva"/>
    <x v="488"/>
    <m/>
    <n v="37"/>
    <n v="37"/>
    <x v="36"/>
    <m/>
    <m/>
    <m/>
    <m/>
  </r>
  <r>
    <x v="0"/>
    <d v="2026-06-15T00:00:00"/>
    <n v="6"/>
    <x v="36"/>
    <n v="1"/>
    <x v="38"/>
    <s v="Deverna"/>
    <x v="415"/>
    <m/>
    <n v="10"/>
    <n v="10"/>
    <x v="36"/>
    <s v="Bootschlepp"/>
    <m/>
    <m/>
    <m/>
  </r>
  <r>
    <x v="0"/>
    <d v="2026-06-17T00:00:00"/>
    <n v="6"/>
    <x v="36"/>
    <n v="1"/>
    <x v="38"/>
    <s v="Zaki"/>
    <x v="489"/>
    <m/>
    <n v="50"/>
    <n v="50"/>
    <x v="36"/>
    <m/>
    <m/>
    <m/>
    <m/>
  </r>
  <r>
    <x v="0"/>
    <d v="2026-06-17T00:00:00"/>
    <n v="6"/>
    <x v="36"/>
    <n v="0"/>
    <x v="38"/>
    <s v="Zaki"/>
    <x v="489"/>
    <n v="1"/>
    <n v="12"/>
    <n v="72"/>
    <x v="36"/>
    <m/>
    <m/>
    <m/>
    <m/>
  </r>
  <r>
    <x v="0"/>
    <d v="2026-06-18T00:00:00"/>
    <n v="6"/>
    <x v="36"/>
    <n v="1"/>
    <x v="38"/>
    <s v="Jaugika"/>
    <x v="490"/>
    <n v="1"/>
    <n v="28"/>
    <n v="88"/>
    <x v="36"/>
    <m/>
    <m/>
    <m/>
    <m/>
  </r>
  <r>
    <x v="0"/>
    <d v="2026-06-19T00:00:00"/>
    <n v="6"/>
    <x v="36"/>
    <n v="1"/>
    <x v="38"/>
    <s v="Genetiniai"/>
    <x v="491"/>
    <m/>
    <n v="14"/>
    <n v="14"/>
    <x v="36"/>
    <m/>
    <m/>
    <m/>
    <m/>
  </r>
  <r>
    <x v="0"/>
    <d v="2026-06-19T00:00:00"/>
    <n v="6"/>
    <x v="36"/>
    <n v="0"/>
    <x v="38"/>
    <s v="Genetiniai"/>
    <x v="492"/>
    <n v="1"/>
    <n v="16"/>
    <n v="76"/>
    <x v="36"/>
    <m/>
    <m/>
    <m/>
    <m/>
  </r>
  <r>
    <x v="0"/>
    <d v="2026-06-21T00:00:00"/>
    <n v="6"/>
    <x v="36"/>
    <n v="1"/>
    <x v="32"/>
    <s v="Galfera"/>
    <x v="227"/>
    <m/>
    <n v="58"/>
    <n v="58"/>
    <x v="2"/>
    <m/>
    <m/>
    <m/>
    <m/>
  </r>
  <r>
    <x v="0"/>
    <d v="2026-06-22T00:00:00"/>
    <n v="6"/>
    <x v="36"/>
    <n v="1"/>
    <x v="32"/>
    <s v="Heimat"/>
    <x v="227"/>
    <n v="1"/>
    <n v="25"/>
    <n v="85"/>
    <x v="2"/>
    <m/>
    <m/>
    <m/>
    <m/>
  </r>
  <r>
    <x v="0"/>
    <d v="2026-06-23T00:00:00"/>
    <n v="6"/>
    <x v="36"/>
    <n v="1"/>
    <x v="32"/>
    <s v="Heimat"/>
    <x v="148"/>
    <m/>
    <n v="56"/>
    <n v="56"/>
    <x v="2"/>
    <m/>
    <m/>
    <m/>
    <m/>
  </r>
  <r>
    <x v="0"/>
    <d v="2026-06-24T00:00:00"/>
    <n v="6"/>
    <x v="36"/>
    <n v="1"/>
    <x v="32"/>
    <s v="Heimat"/>
    <x v="35"/>
    <n v="1"/>
    <n v="36"/>
    <n v="96"/>
    <x v="2"/>
    <m/>
    <m/>
    <m/>
    <m/>
  </r>
  <r>
    <x v="0"/>
    <d v="2026-06-26T00:00:00"/>
    <n v="6"/>
    <x v="36"/>
    <n v="1"/>
    <x v="38"/>
    <s v="Heimat"/>
    <x v="63"/>
    <m/>
    <n v="57"/>
    <n v="57"/>
    <x v="2"/>
    <m/>
    <m/>
    <m/>
    <m/>
  </r>
  <r>
    <x v="0"/>
    <d v="2026-06-27T00:00:00"/>
    <n v="6"/>
    <x v="36"/>
    <n v="1"/>
    <x v="38"/>
    <s v="Heimat"/>
    <x v="35"/>
    <n v="1"/>
    <n v="7"/>
    <n v="67"/>
    <x v="2"/>
    <m/>
    <m/>
    <m/>
    <m/>
  </r>
  <r>
    <x v="0"/>
    <d v="2026-06-29T00:00:00"/>
    <n v="6"/>
    <x v="36"/>
    <n v="1"/>
    <x v="38"/>
    <s v="Heimat"/>
    <x v="205"/>
    <n v="1"/>
    <n v="33"/>
    <n v="93"/>
    <x v="2"/>
    <m/>
    <m/>
    <m/>
    <m/>
  </r>
  <r>
    <x v="0"/>
    <d v="2026-06-30T00:00:00"/>
    <n v="6"/>
    <x v="36"/>
    <n v="1"/>
    <x v="38"/>
    <s v="Heimat"/>
    <x v="35"/>
    <n v="1"/>
    <n v="11"/>
    <n v="71"/>
    <x v="2"/>
    <m/>
    <m/>
    <m/>
    <m/>
  </r>
  <r>
    <x v="0"/>
    <d v="2026-07-03T00:00:00"/>
    <n v="7"/>
    <x v="36"/>
    <n v="1"/>
    <x v="38"/>
    <s v="Heimat"/>
    <x v="227"/>
    <m/>
    <n v="28"/>
    <n v="28"/>
    <x v="2"/>
    <m/>
    <m/>
    <m/>
    <m/>
  </r>
  <r>
    <x v="0"/>
    <d v="2026-07-09T00:00:00"/>
    <n v="7"/>
    <x v="36"/>
    <n v="1"/>
    <x v="38"/>
    <s v="Heimat"/>
    <x v="35"/>
    <n v="1"/>
    <n v="4"/>
    <n v="64"/>
    <x v="2"/>
    <m/>
    <m/>
    <m/>
    <m/>
  </r>
  <r>
    <x v="0"/>
    <d v="2026-07-10T00:00:00"/>
    <n v="7"/>
    <x v="36"/>
    <n v="1"/>
    <x v="38"/>
    <s v="Galfera"/>
    <x v="35"/>
    <n v="1"/>
    <n v="15"/>
    <n v="75"/>
    <x v="2"/>
    <m/>
    <m/>
    <m/>
    <m/>
  </r>
  <r>
    <x v="0"/>
    <d v="2026-07-11T00:00:00"/>
    <n v="7"/>
    <x v="36"/>
    <n v="1"/>
    <x v="38"/>
    <s v="Heimat"/>
    <x v="63"/>
    <m/>
    <n v="56"/>
    <n v="56"/>
    <x v="2"/>
    <m/>
    <m/>
    <m/>
    <m/>
  </r>
  <r>
    <x v="0"/>
    <d v="2026-07-12T00:00:00"/>
    <n v="7"/>
    <x v="36"/>
    <n v="1"/>
    <x v="38"/>
    <s v="Galfera"/>
    <x v="227"/>
    <m/>
    <n v="48"/>
    <n v="48"/>
    <x v="2"/>
    <m/>
    <m/>
    <m/>
    <m/>
  </r>
  <r>
    <x v="0"/>
    <d v="2026-07-14T00:00:00"/>
    <n v="7"/>
    <x v="36"/>
    <n v="1"/>
    <x v="38"/>
    <s v="Heimat"/>
    <x v="35"/>
    <m/>
    <n v="52"/>
    <n v="52"/>
    <x v="2"/>
    <m/>
    <m/>
    <m/>
    <m/>
  </r>
  <r>
    <x v="0"/>
    <d v="2026-07-18T00:00:00"/>
    <n v="7"/>
    <x v="36"/>
    <n v="1"/>
    <x v="38"/>
    <s v="Heimat"/>
    <x v="311"/>
    <m/>
    <n v="51"/>
    <n v="51"/>
    <x v="2"/>
    <m/>
    <m/>
    <m/>
    <m/>
  </r>
  <r>
    <x v="0"/>
    <d v="2026-07-20T00:00:00"/>
    <n v="7"/>
    <x v="36"/>
    <n v="1"/>
    <x v="38"/>
    <s v="Heimat"/>
    <x v="63"/>
    <m/>
    <n v="45"/>
    <n v="45"/>
    <x v="2"/>
    <m/>
    <m/>
    <m/>
    <m/>
  </r>
  <r>
    <x v="0"/>
    <d v="2026-07-22T00:00:00"/>
    <n v="7"/>
    <x v="36"/>
    <n v="1"/>
    <x v="38"/>
    <s v="Heimat"/>
    <x v="35"/>
    <n v="1"/>
    <n v="20"/>
    <n v="80"/>
    <x v="2"/>
    <m/>
    <m/>
    <m/>
    <m/>
  </r>
  <r>
    <x v="0"/>
    <d v="2026-07-24T00:00:00"/>
    <n v="7"/>
    <x v="36"/>
    <n v="1"/>
    <x v="38"/>
    <s v="Heimat"/>
    <x v="35"/>
    <n v="1"/>
    <n v="33"/>
    <n v="93"/>
    <x v="2"/>
    <m/>
    <m/>
    <m/>
    <m/>
  </r>
  <r>
    <x v="0"/>
    <d v="2026-07-25T00:00:00"/>
    <n v="7"/>
    <x v="36"/>
    <n v="1"/>
    <x v="38"/>
    <s v="Heimat"/>
    <x v="227"/>
    <m/>
    <n v="55"/>
    <n v="55"/>
    <x v="2"/>
    <m/>
    <m/>
    <m/>
    <m/>
  </r>
  <r>
    <x v="0"/>
    <d v="2026-07-27T00:00:00"/>
    <n v="7"/>
    <x v="36"/>
    <n v="1"/>
    <x v="38"/>
    <s v="Heimat"/>
    <x v="227"/>
    <m/>
    <n v="28"/>
    <n v="28"/>
    <x v="2"/>
    <m/>
    <m/>
    <m/>
    <m/>
  </r>
  <r>
    <x v="0"/>
    <d v="2026-07-28T00:00:00"/>
    <n v="7"/>
    <x v="36"/>
    <n v="1"/>
    <x v="38"/>
    <s v="Heimat"/>
    <x v="35"/>
    <n v="1"/>
    <n v="27"/>
    <n v="87"/>
    <x v="2"/>
    <m/>
    <m/>
    <m/>
    <m/>
  </r>
  <r>
    <x v="0"/>
    <d v="2026-07-29T00:00:00"/>
    <n v="7"/>
    <x v="36"/>
    <n v="1"/>
    <x v="38"/>
    <s v="Heimat"/>
    <x v="311"/>
    <n v="1"/>
    <n v="5"/>
    <n v="65"/>
    <x v="2"/>
    <m/>
    <m/>
    <m/>
    <m/>
  </r>
  <r>
    <x v="0"/>
    <d v="2026-07-30T00:00:00"/>
    <n v="7"/>
    <x v="36"/>
    <n v="1"/>
    <x v="38"/>
    <s v="Heimat"/>
    <x v="35"/>
    <n v="1"/>
    <n v="25"/>
    <n v="85"/>
    <x v="2"/>
    <m/>
    <m/>
    <m/>
    <m/>
  </r>
  <r>
    <x v="0"/>
    <d v="2026-07-31T00:00:00"/>
    <n v="7"/>
    <x v="36"/>
    <n v="1"/>
    <x v="38"/>
    <s v="Heimat"/>
    <x v="227"/>
    <m/>
    <n v="58"/>
    <n v="58"/>
    <x v="2"/>
    <m/>
    <m/>
    <m/>
    <m/>
  </r>
  <r>
    <x v="0"/>
    <d v="2026-08-02T00:00:00"/>
    <n v="8"/>
    <x v="36"/>
    <n v="1"/>
    <x v="38"/>
    <s v="Galfera"/>
    <x v="227"/>
    <n v="1"/>
    <n v="34"/>
    <n v="94"/>
    <x v="2"/>
    <m/>
    <m/>
    <m/>
    <m/>
  </r>
  <r>
    <x v="0"/>
    <d v="2026-08-03T00:00:00"/>
    <n v="8"/>
    <x v="36"/>
    <n v="1"/>
    <x v="38"/>
    <s v="Heimat"/>
    <x v="227"/>
    <n v="1"/>
    <n v="7"/>
    <n v="67"/>
    <x v="2"/>
    <m/>
    <m/>
    <m/>
    <m/>
  </r>
  <r>
    <x v="0"/>
    <d v="2026-08-05T00:00:00"/>
    <n v="8"/>
    <x v="36"/>
    <n v="1"/>
    <x v="38"/>
    <s v="Heimat"/>
    <x v="63"/>
    <n v="1"/>
    <n v="51"/>
    <n v="111"/>
    <x v="2"/>
    <m/>
    <m/>
    <m/>
    <m/>
  </r>
  <r>
    <x v="0"/>
    <d v="2026-08-06T00:00:00"/>
    <n v="8"/>
    <x v="36"/>
    <n v="1"/>
    <x v="38"/>
    <s v="Heimat"/>
    <x v="35"/>
    <m/>
    <n v="48"/>
    <n v="48"/>
    <x v="2"/>
    <m/>
    <m/>
    <m/>
    <m/>
  </r>
  <r>
    <x v="0"/>
    <d v="2026-08-07T00:00:00"/>
    <n v="8"/>
    <x v="36"/>
    <n v="1"/>
    <x v="38"/>
    <s v="Heimat"/>
    <x v="227"/>
    <n v="1"/>
    <n v="31"/>
    <n v="91"/>
    <x v="2"/>
    <m/>
    <m/>
    <m/>
    <m/>
  </r>
  <r>
    <x v="0"/>
    <d v="2026-08-10T00:00:00"/>
    <n v="8"/>
    <x v="36"/>
    <n v="1"/>
    <x v="38"/>
    <s v="Heimat"/>
    <x v="63"/>
    <n v="1"/>
    <n v="36"/>
    <n v="96"/>
    <x v="2"/>
    <m/>
    <m/>
    <m/>
    <m/>
  </r>
  <r>
    <x v="0"/>
    <d v="2026-08-11T00:00:00"/>
    <n v="8"/>
    <x v="36"/>
    <n v="1"/>
    <x v="38"/>
    <s v="Heimat"/>
    <x v="63"/>
    <n v="2"/>
    <n v="7"/>
    <n v="127"/>
    <x v="2"/>
    <m/>
    <m/>
    <m/>
    <m/>
  </r>
  <r>
    <x v="0"/>
    <d v="2026-08-12T00:00:00"/>
    <n v="8"/>
    <x v="36"/>
    <n v="1"/>
    <x v="38"/>
    <s v="Heimat"/>
    <x v="63"/>
    <n v="1"/>
    <n v="50"/>
    <n v="11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n v="1"/>
    <x v="37"/>
    <n v="0"/>
    <x v="4"/>
    <m/>
    <x v="24"/>
    <m/>
    <m/>
    <n v="0"/>
    <x v="2"/>
    <m/>
    <m/>
    <m/>
    <m/>
  </r>
  <r>
    <x v="6"/>
    <m/>
    <m/>
    <x v="38"/>
    <m/>
    <x v="4"/>
    <m/>
    <x v="24"/>
    <m/>
    <m/>
    <m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d v="1990-05-26T00:00:00"/>
    <x v="0"/>
    <x v="0"/>
    <n v="1"/>
    <s v="HP11"/>
    <s v="First"/>
    <s v="Schwarzigen"/>
    <m/>
    <n v="6"/>
    <x v="0"/>
    <x v="0"/>
  </r>
  <r>
    <x v="0"/>
    <d v="1990-05-26T00:00:00"/>
    <x v="0"/>
    <x v="0"/>
    <n v="0"/>
    <s v="HP11"/>
    <s v="First"/>
    <s v="Schwarzigen"/>
    <m/>
    <n v="6"/>
    <x v="0"/>
    <x v="0"/>
  </r>
  <r>
    <x v="0"/>
    <d v="1990-05-26T00:00:00"/>
    <x v="0"/>
    <x v="0"/>
    <n v="0"/>
    <s v="HP11"/>
    <s v="First"/>
    <s v="Schwarzigen"/>
    <m/>
    <n v="7"/>
    <x v="1"/>
    <x v="0"/>
  </r>
  <r>
    <x v="0"/>
    <d v="1990-06-03T00:00:00"/>
    <x v="1"/>
    <x v="0"/>
    <n v="1"/>
    <s v="HP11"/>
    <s v="First"/>
    <s v="Sandien Boden"/>
    <m/>
    <n v="6"/>
    <x v="0"/>
    <x v="0"/>
  </r>
  <r>
    <x v="0"/>
    <d v="1990-06-03T00:00:00"/>
    <x v="1"/>
    <x v="0"/>
    <n v="0"/>
    <s v="HP11"/>
    <s v="First"/>
    <s v="Sandien Boden"/>
    <m/>
    <n v="7"/>
    <x v="1"/>
    <x v="0"/>
  </r>
  <r>
    <x v="0"/>
    <d v="1990-06-03T00:00:00"/>
    <x v="1"/>
    <x v="0"/>
    <n v="0"/>
    <s v="HP11"/>
    <s v="First"/>
    <s v="Sandien Boden"/>
    <m/>
    <n v="7"/>
    <x v="1"/>
    <x v="0"/>
  </r>
  <r>
    <x v="0"/>
    <d v="1990-06-03T00:00:00"/>
    <x v="1"/>
    <x v="0"/>
    <n v="0"/>
    <s v="HP11"/>
    <s v="First"/>
    <s v="Sandien Boden"/>
    <m/>
    <n v="5"/>
    <x v="2"/>
    <x v="0"/>
  </r>
  <r>
    <x v="0"/>
    <d v="1990-06-03T00:00:00"/>
    <x v="1"/>
    <x v="0"/>
    <n v="0"/>
    <s v="HP11"/>
    <s v="First"/>
    <s v="Sandien Boden"/>
    <m/>
    <n v="7"/>
    <x v="1"/>
    <x v="0"/>
  </r>
  <r>
    <x v="0"/>
    <d v="1990-06-15T00:00:00"/>
    <x v="1"/>
    <x v="0"/>
    <n v="1"/>
    <s v="HP11"/>
    <s v="Almenalp"/>
    <s v="Kandersteg"/>
    <m/>
    <n v="5"/>
    <x v="2"/>
    <x v="0"/>
  </r>
  <r>
    <x v="0"/>
    <d v="1990-06-15T00:00:00"/>
    <x v="1"/>
    <x v="0"/>
    <n v="0"/>
    <s v="Hilite 25"/>
    <s v="Almenalp"/>
    <s v="Kandersteg"/>
    <m/>
    <n v="8"/>
    <x v="3"/>
    <x v="0"/>
  </r>
  <r>
    <x v="0"/>
    <d v="1990-06-24T00:00:00"/>
    <x v="1"/>
    <x v="0"/>
    <n v="1"/>
    <s v="Hilite 25"/>
    <s v="First"/>
    <s v="Schwarzigen"/>
    <m/>
    <n v="10"/>
    <x v="4"/>
    <x v="0"/>
  </r>
  <r>
    <x v="0"/>
    <d v="1990-06-24T00:00:00"/>
    <x v="1"/>
    <x v="0"/>
    <n v="0"/>
    <s v="Hilite 25"/>
    <s v="First"/>
    <s v="Schwarzigen"/>
    <m/>
    <n v="20"/>
    <x v="5"/>
    <x v="0"/>
  </r>
  <r>
    <x v="0"/>
    <d v="1990-06-24T00:00:00"/>
    <x v="1"/>
    <x v="0"/>
    <n v="0"/>
    <s v="Hilite 25"/>
    <s v="First"/>
    <s v="Schwarzigen"/>
    <m/>
    <n v="10"/>
    <x v="4"/>
    <x v="0"/>
  </r>
  <r>
    <x v="0"/>
    <d v="1990-06-30T00:00:00"/>
    <x v="1"/>
    <x v="0"/>
    <n v="1"/>
    <s v="Hilite 25"/>
    <s v="First"/>
    <s v="Gletschertal"/>
    <m/>
    <n v="8"/>
    <x v="3"/>
    <x v="0"/>
  </r>
  <r>
    <x v="0"/>
    <d v="1990-06-30T00:00:00"/>
    <x v="1"/>
    <x v="0"/>
    <n v="0"/>
    <s v="Hilite 25"/>
    <s v="First"/>
    <s v="Gletschertal"/>
    <m/>
    <n v="12"/>
    <x v="6"/>
    <x v="0"/>
  </r>
  <r>
    <x v="0"/>
    <d v="1990-07-02T00:00:00"/>
    <x v="2"/>
    <x v="0"/>
    <n v="1"/>
    <s v="Hilite 25"/>
    <s v="First"/>
    <s v="Schwarzigen"/>
    <m/>
    <n v="6"/>
    <x v="0"/>
    <x v="0"/>
  </r>
  <r>
    <x v="0"/>
    <d v="1990-07-02T00:00:00"/>
    <x v="2"/>
    <x v="0"/>
    <n v="0"/>
    <s v="Hilite 25"/>
    <s v="Egg"/>
    <s v="Schwarzigen"/>
    <m/>
    <n v="6"/>
    <x v="0"/>
    <x v="0"/>
  </r>
  <r>
    <x v="0"/>
    <d v="1990-07-02T00:00:00"/>
    <x v="2"/>
    <x v="0"/>
    <n v="0"/>
    <s v="Hilite 25"/>
    <s v="First"/>
    <s v="Schwarzigen"/>
    <m/>
    <n v="6"/>
    <x v="0"/>
    <x v="0"/>
  </r>
  <r>
    <x v="0"/>
    <d v="1990-07-04T00:00:00"/>
    <x v="2"/>
    <x v="0"/>
    <n v="1"/>
    <s v="Hilite 25"/>
    <s v="Egg"/>
    <s v="Schwarzigen"/>
    <m/>
    <n v="4"/>
    <x v="7"/>
    <x v="0"/>
  </r>
  <r>
    <x v="0"/>
    <d v="1990-07-04T00:00:00"/>
    <x v="2"/>
    <x v="0"/>
    <n v="0"/>
    <s v="Hilite 25"/>
    <s v="Egg"/>
    <s v="Schwarzigen"/>
    <m/>
    <n v="4"/>
    <x v="7"/>
    <x v="0"/>
  </r>
  <r>
    <x v="0"/>
    <d v="1990-07-04T00:00:00"/>
    <x v="2"/>
    <x v="0"/>
    <n v="0"/>
    <s v="Hilite 25"/>
    <s v="Egg"/>
    <s v="Schwarzigen"/>
    <m/>
    <n v="4"/>
    <x v="7"/>
    <x v="0"/>
  </r>
  <r>
    <x v="0"/>
    <d v="1990-07-04T00:00:00"/>
    <x v="2"/>
    <x v="0"/>
    <n v="0"/>
    <s v="Hilite 25"/>
    <s v="First"/>
    <s v="Gletschertal"/>
    <m/>
    <n v="10"/>
    <x v="4"/>
    <x v="0"/>
  </r>
  <r>
    <x v="0"/>
    <d v="1990-07-04T00:00:00"/>
    <x v="2"/>
    <x v="0"/>
    <n v="0"/>
    <s v="Hilite 25"/>
    <s v="First"/>
    <s v="Gletschertal"/>
    <m/>
    <n v="10"/>
    <x v="4"/>
    <x v="0"/>
  </r>
  <r>
    <x v="0"/>
    <d v="1990-07-13T00:00:00"/>
    <x v="2"/>
    <x v="0"/>
    <n v="1"/>
    <s v="Hilite 25"/>
    <s v="First"/>
    <s v="Schwarzigen"/>
    <m/>
    <n v="5"/>
    <x v="2"/>
    <x v="0"/>
  </r>
  <r>
    <x v="0"/>
    <d v="1990-07-13T00:00:00"/>
    <x v="2"/>
    <x v="0"/>
    <n v="0"/>
    <s v="Hilite 25"/>
    <s v="First"/>
    <s v="Schwarzigen"/>
    <m/>
    <n v="5"/>
    <x v="2"/>
    <x v="0"/>
  </r>
  <r>
    <x v="0"/>
    <d v="1990-07-13T00:00:00"/>
    <x v="2"/>
    <x v="0"/>
    <n v="0"/>
    <s v="Hilite 25"/>
    <s v="First"/>
    <s v="Gletschertal"/>
    <m/>
    <n v="8"/>
    <x v="3"/>
    <x v="0"/>
  </r>
  <r>
    <x v="0"/>
    <d v="1990-07-13T00:00:00"/>
    <x v="2"/>
    <x v="0"/>
    <n v="0"/>
    <s v="Hilite 25"/>
    <s v="First"/>
    <s v="Gletschertal"/>
    <m/>
    <n v="8"/>
    <x v="3"/>
    <x v="0"/>
  </r>
  <r>
    <x v="0"/>
    <d v="1990-07-13T00:00:00"/>
    <x v="2"/>
    <x v="0"/>
    <n v="0"/>
    <s v="Hilite 25"/>
    <s v="First"/>
    <s v="Gletschertal"/>
    <m/>
    <n v="8"/>
    <x v="3"/>
    <x v="0"/>
  </r>
  <r>
    <x v="0"/>
    <d v="1990-07-14T00:00:00"/>
    <x v="2"/>
    <x v="0"/>
    <n v="1"/>
    <s v="Hilite 25"/>
    <s v="First"/>
    <s v="Gletschertal"/>
    <m/>
    <n v="8"/>
    <x v="3"/>
    <x v="0"/>
  </r>
  <r>
    <x v="0"/>
    <d v="1990-07-14T00:00:00"/>
    <x v="2"/>
    <x v="0"/>
    <n v="0"/>
    <s v="Hilite 25"/>
    <s v="First"/>
    <s v="Gletschertal"/>
    <m/>
    <n v="30"/>
    <x v="8"/>
    <x v="0"/>
  </r>
  <r>
    <x v="0"/>
    <d v="1990-07-14T00:00:00"/>
    <x v="2"/>
    <x v="0"/>
    <n v="0"/>
    <s v="Hilite 25"/>
    <s v="First"/>
    <s v="Schwarzigen"/>
    <m/>
    <n v="8"/>
    <x v="3"/>
    <x v="0"/>
  </r>
  <r>
    <x v="0"/>
    <d v="1990-07-15T00:00:00"/>
    <x v="2"/>
    <x v="0"/>
    <n v="1"/>
    <s v="Hilite 25"/>
    <s v="First"/>
    <s v="Gletschertal"/>
    <m/>
    <n v="6"/>
    <x v="0"/>
    <x v="0"/>
  </r>
  <r>
    <x v="0"/>
    <d v="1990-07-15T00:00:00"/>
    <x v="2"/>
    <x v="0"/>
    <n v="0"/>
    <s v="Hilite 25"/>
    <s v="First"/>
    <s v="Schwarzigen"/>
    <m/>
    <n v="20"/>
    <x v="5"/>
    <x v="0"/>
  </r>
  <r>
    <x v="0"/>
    <d v="1990-07-21T00:00:00"/>
    <x v="2"/>
    <x v="0"/>
    <n v="1"/>
    <s v="Hilite 25"/>
    <s v="First"/>
    <s v="Gletschertal"/>
    <m/>
    <n v="6"/>
    <x v="0"/>
    <x v="0"/>
  </r>
  <r>
    <x v="0"/>
    <d v="1990-07-21T00:00:00"/>
    <x v="2"/>
    <x v="0"/>
    <n v="0"/>
    <s v="Hilite 25"/>
    <s v="First"/>
    <s v="Gletschertal"/>
    <m/>
    <n v="8"/>
    <x v="3"/>
    <x v="0"/>
  </r>
  <r>
    <x v="0"/>
    <d v="1990-07-21T00:00:00"/>
    <x v="2"/>
    <x v="0"/>
    <n v="0"/>
    <s v="Hilite 25"/>
    <s v="First"/>
    <s v="Gletschertal"/>
    <m/>
    <n v="8"/>
    <x v="3"/>
    <x v="0"/>
  </r>
  <r>
    <x v="0"/>
    <d v="1990-07-21T00:00:00"/>
    <x v="2"/>
    <x v="0"/>
    <n v="0"/>
    <s v="Hilite 25"/>
    <s v="First"/>
    <s v="Gletschertal"/>
    <m/>
    <n v="8"/>
    <x v="3"/>
    <x v="0"/>
  </r>
  <r>
    <x v="0"/>
    <d v="1990-07-22T00:00:00"/>
    <x v="2"/>
    <x v="0"/>
    <n v="1"/>
    <s v="Hilite 25"/>
    <s v="First"/>
    <s v="Gletschertal"/>
    <m/>
    <n v="10"/>
    <x v="4"/>
    <x v="0"/>
  </r>
  <r>
    <x v="0"/>
    <d v="1990-07-22T00:00:00"/>
    <x v="2"/>
    <x v="0"/>
    <n v="0"/>
    <s v="Hilite 25"/>
    <s v="First"/>
    <s v="Gletschertal"/>
    <n v="1"/>
    <n v="30"/>
    <x v="9"/>
    <x v="0"/>
  </r>
  <r>
    <x v="0"/>
    <d v="1990-07-22T00:00:00"/>
    <x v="2"/>
    <x v="0"/>
    <n v="0"/>
    <s v="Hilite 25"/>
    <s v="First"/>
    <s v="Gletschertal"/>
    <m/>
    <n v="8"/>
    <x v="3"/>
    <x v="0"/>
  </r>
  <r>
    <x v="1"/>
    <d v="1990-07-23T00:00:00"/>
    <x v="2"/>
    <x v="0"/>
    <n v="1"/>
    <s v="Hilite 25"/>
    <s v="Almenalp"/>
    <s v="Kandersteg"/>
    <m/>
    <n v="6"/>
    <x v="0"/>
    <x v="1"/>
  </r>
  <r>
    <x v="1"/>
    <d v="1990-07-23T00:00:00"/>
    <x v="2"/>
    <x v="0"/>
    <n v="0"/>
    <s v="Hilite 25"/>
    <s v="Almenalp"/>
    <s v="Kandersteg"/>
    <m/>
    <n v="6"/>
    <x v="0"/>
    <x v="1"/>
  </r>
  <r>
    <x v="1"/>
    <d v="1990-07-23T00:00:00"/>
    <x v="2"/>
    <x v="0"/>
    <n v="0"/>
    <s v="Hilite 25"/>
    <s v="Almenalp"/>
    <s v="Kandersteg"/>
    <m/>
    <n v="6"/>
    <x v="0"/>
    <x v="1"/>
  </r>
  <r>
    <x v="0"/>
    <d v="1990-07-28T00:00:00"/>
    <x v="2"/>
    <x v="0"/>
    <n v="1"/>
    <s v="Hilite 25"/>
    <s v="First"/>
    <s v="Gletschertal"/>
    <m/>
    <n v="12"/>
    <x v="6"/>
    <x v="2"/>
  </r>
  <r>
    <x v="0"/>
    <d v="1990-07-28T00:00:00"/>
    <x v="2"/>
    <x v="0"/>
    <n v="0"/>
    <s v="Hilite 25"/>
    <s v="First"/>
    <s v="Gletschertal"/>
    <n v="2"/>
    <n v="0"/>
    <x v="10"/>
    <x v="2"/>
  </r>
  <r>
    <x v="0"/>
    <d v="1990-07-29T00:00:00"/>
    <x v="2"/>
    <x v="0"/>
    <n v="1"/>
    <s v="Hilite 25"/>
    <s v="First"/>
    <s v="Gletschertal"/>
    <m/>
    <n v="12"/>
    <x v="6"/>
    <x v="2"/>
  </r>
  <r>
    <x v="0"/>
    <d v="1990-07-29T00:00:00"/>
    <x v="2"/>
    <x v="0"/>
    <n v="0"/>
    <s v="Hilite 25"/>
    <s v="First"/>
    <s v="Gletschertal"/>
    <m/>
    <n v="12"/>
    <x v="6"/>
    <x v="2"/>
  </r>
  <r>
    <x v="0"/>
    <d v="1990-08-02T00:00:00"/>
    <x v="3"/>
    <x v="0"/>
    <n v="1"/>
    <s v="Hilite 25"/>
    <s v="First"/>
    <s v="Gletschertal"/>
    <m/>
    <n v="14"/>
    <x v="11"/>
    <x v="2"/>
  </r>
  <r>
    <x v="0"/>
    <d v="1990-08-02T00:00:00"/>
    <x v="3"/>
    <x v="0"/>
    <n v="0"/>
    <s v="Hilite 25"/>
    <s v="First"/>
    <s v="Gletschertal"/>
    <n v="2"/>
    <n v="24"/>
    <x v="12"/>
    <x v="2"/>
  </r>
  <r>
    <x v="0"/>
    <d v="1990-08-03T00:00:00"/>
    <x v="3"/>
    <x v="0"/>
    <n v="1"/>
    <s v="Hilite 25"/>
    <s v="First"/>
    <s v="Gletschertal"/>
    <m/>
    <n v="12"/>
    <x v="6"/>
    <x v="2"/>
  </r>
  <r>
    <x v="0"/>
    <d v="1990-08-03T00:00:00"/>
    <x v="3"/>
    <x v="0"/>
    <n v="0"/>
    <s v="Hilite 25"/>
    <s v="First"/>
    <s v="Gletschertal"/>
    <n v="1"/>
    <n v="34"/>
    <x v="13"/>
    <x v="2"/>
  </r>
  <r>
    <x v="0"/>
    <d v="1990-08-11T00:00:00"/>
    <x v="3"/>
    <x v="0"/>
    <n v="1"/>
    <s v="Hilite 25"/>
    <s v="First"/>
    <s v="Gletschertal"/>
    <m/>
    <n v="12"/>
    <x v="6"/>
    <x v="2"/>
  </r>
  <r>
    <x v="0"/>
    <d v="1990-08-11T00:00:00"/>
    <x v="3"/>
    <x v="0"/>
    <n v="0"/>
    <s v="Hilite 25"/>
    <s v="First"/>
    <s v="Gletschertal"/>
    <m/>
    <n v="12"/>
    <x v="6"/>
    <x v="2"/>
  </r>
  <r>
    <x v="0"/>
    <d v="1990-08-12T00:00:00"/>
    <x v="3"/>
    <x v="0"/>
    <n v="1"/>
    <s v="Hilite 25"/>
    <s v="Lauberhorn"/>
    <s v="Wengen"/>
    <m/>
    <n v="7"/>
    <x v="1"/>
    <x v="2"/>
  </r>
  <r>
    <x v="0"/>
    <d v="1990-08-12T00:00:00"/>
    <x v="3"/>
    <x v="0"/>
    <n v="0"/>
    <s v="Hilite 25"/>
    <s v="Lauberhorn"/>
    <s v="Grund"/>
    <m/>
    <n v="20"/>
    <x v="5"/>
    <x v="2"/>
  </r>
  <r>
    <x v="0"/>
    <d v="1990-08-12T00:00:00"/>
    <x v="3"/>
    <x v="0"/>
    <n v="0"/>
    <s v="Hilite 25"/>
    <s v="First"/>
    <s v="Gletschertal"/>
    <m/>
    <n v="12"/>
    <x v="6"/>
    <x v="2"/>
  </r>
  <r>
    <x v="0"/>
    <d v="1990-08-18T00:00:00"/>
    <x v="3"/>
    <x v="0"/>
    <n v="1"/>
    <s v="Hilite 25"/>
    <s v="First"/>
    <s v="Gletschertal"/>
    <m/>
    <n v="12"/>
    <x v="6"/>
    <x v="2"/>
  </r>
  <r>
    <x v="0"/>
    <d v="1990-08-18T00:00:00"/>
    <x v="3"/>
    <x v="0"/>
    <n v="0"/>
    <s v="Hilite 25"/>
    <s v="First"/>
    <s v="Gletschertal"/>
    <m/>
    <n v="12"/>
    <x v="6"/>
    <x v="2"/>
  </r>
  <r>
    <x v="0"/>
    <d v="1990-08-19T00:00:00"/>
    <x v="3"/>
    <x v="0"/>
    <n v="1"/>
    <s v="Hilite 25"/>
    <s v="First"/>
    <s v="Bort"/>
    <m/>
    <n v="6"/>
    <x v="0"/>
    <x v="2"/>
  </r>
  <r>
    <x v="0"/>
    <d v="1990-08-19T00:00:00"/>
    <x v="3"/>
    <x v="0"/>
    <n v="0"/>
    <s v="Hilite 25"/>
    <s v="First"/>
    <s v="Gletschertal"/>
    <m/>
    <n v="12"/>
    <x v="6"/>
    <x v="2"/>
  </r>
  <r>
    <x v="0"/>
    <d v="1990-08-19T00:00:00"/>
    <x v="3"/>
    <x v="0"/>
    <n v="0"/>
    <s v="Hilite 25"/>
    <s v="First"/>
    <s v="Gletschertal"/>
    <m/>
    <n v="12"/>
    <x v="6"/>
    <x v="2"/>
  </r>
  <r>
    <x v="0"/>
    <d v="1990-09-22T00:00:00"/>
    <x v="4"/>
    <x v="0"/>
    <n v="1"/>
    <s v="Hilite 25"/>
    <s v="Waldspitz"/>
    <s v="Grund"/>
    <m/>
    <n v="12"/>
    <x v="6"/>
    <x v="2"/>
  </r>
  <r>
    <x v="0"/>
    <d v="1990-09-29T00:00:00"/>
    <x v="4"/>
    <x v="0"/>
    <n v="1"/>
    <s v="Hilite 25"/>
    <s v="Teufi"/>
    <s v="Grit"/>
    <m/>
    <n v="12"/>
    <x v="6"/>
    <x v="2"/>
  </r>
  <r>
    <x v="0"/>
    <d v="1990-09-29T00:00:00"/>
    <x v="4"/>
    <x v="0"/>
    <n v="0"/>
    <s v="Hilite 25"/>
    <s v="First"/>
    <s v="Gletschertal"/>
    <m/>
    <n v="12"/>
    <x v="6"/>
    <x v="2"/>
  </r>
  <r>
    <x v="0"/>
    <d v="1990-09-30T00:00:00"/>
    <x v="4"/>
    <x v="0"/>
    <n v="1"/>
    <s v="Hilite 25"/>
    <s v="First"/>
    <s v="Grit"/>
    <m/>
    <n v="12"/>
    <x v="6"/>
    <x v="2"/>
  </r>
  <r>
    <x v="0"/>
    <d v="1990-09-30T00:00:00"/>
    <x v="4"/>
    <x v="0"/>
    <n v="0"/>
    <s v="Hilite 25"/>
    <s v="Waldspitz"/>
    <s v="Gletschertal"/>
    <m/>
    <n v="11"/>
    <x v="14"/>
    <x v="2"/>
  </r>
  <r>
    <x v="0"/>
    <d v="1990-10-14T00:00:00"/>
    <x v="5"/>
    <x v="0"/>
    <n v="1"/>
    <s v="Hilite 25"/>
    <s v="First"/>
    <s v="Gletschertal"/>
    <m/>
    <n v="12"/>
    <x v="6"/>
    <x v="2"/>
  </r>
  <r>
    <x v="0"/>
    <d v="1990-10-14T00:00:00"/>
    <x v="5"/>
    <x v="0"/>
    <n v="0"/>
    <s v="Hilite 25"/>
    <s v="First"/>
    <s v="Gletschertal"/>
    <m/>
    <n v="12"/>
    <x v="6"/>
    <x v="2"/>
  </r>
  <r>
    <x v="0"/>
    <d v="1991-06-15T00:00:00"/>
    <x v="1"/>
    <x v="1"/>
    <n v="1"/>
    <s v="Hilite 25"/>
    <s v="First"/>
    <s v="Gletschertal"/>
    <m/>
    <n v="15"/>
    <x v="15"/>
    <x v="2"/>
  </r>
  <r>
    <x v="0"/>
    <d v="1991-06-15T00:00:00"/>
    <x v="1"/>
    <x v="1"/>
    <n v="0"/>
    <s v="Hilite 25"/>
    <s v="First"/>
    <s v="Gletschertal"/>
    <m/>
    <n v="15"/>
    <x v="15"/>
    <x v="2"/>
  </r>
  <r>
    <x v="0"/>
    <d v="1991-06-15T00:00:00"/>
    <x v="1"/>
    <x v="1"/>
    <n v="0"/>
    <s v="Hilite 25"/>
    <s v="First"/>
    <s v="Gletschertal"/>
    <m/>
    <n v="20"/>
    <x v="5"/>
    <x v="2"/>
  </r>
  <r>
    <x v="0"/>
    <d v="1991-06-26T00:00:00"/>
    <x v="1"/>
    <x v="1"/>
    <n v="1"/>
    <s v="Hilite 25"/>
    <s v="Ebenalp"/>
    <s v="Wasserauen"/>
    <m/>
    <n v="8"/>
    <x v="3"/>
    <x v="2"/>
  </r>
  <r>
    <x v="0"/>
    <d v="1991-06-26T00:00:00"/>
    <x v="1"/>
    <x v="1"/>
    <n v="0"/>
    <s v="Hilite 25"/>
    <s v="Ebenalp"/>
    <s v="Wasserauen"/>
    <m/>
    <n v="12"/>
    <x v="6"/>
    <x v="2"/>
  </r>
  <r>
    <x v="0"/>
    <d v="1991-06-26T00:00:00"/>
    <x v="1"/>
    <x v="1"/>
    <n v="0"/>
    <s v="Hilite 25"/>
    <s v="Ebenalp"/>
    <s v="Wasserauen"/>
    <m/>
    <n v="8"/>
    <x v="3"/>
    <x v="2"/>
  </r>
  <r>
    <x v="0"/>
    <d v="1991-06-30T00:00:00"/>
    <x v="1"/>
    <x v="1"/>
    <n v="1"/>
    <s v="Hilite 25"/>
    <s v="First"/>
    <s v="Gletschertal"/>
    <m/>
    <n v="12"/>
    <x v="6"/>
    <x v="2"/>
  </r>
  <r>
    <x v="0"/>
    <d v="1991-06-30T00:00:00"/>
    <x v="1"/>
    <x v="1"/>
    <n v="0"/>
    <s v="Hilite 25"/>
    <s v="First"/>
    <s v="Gletschertal"/>
    <m/>
    <n v="12"/>
    <x v="6"/>
    <x v="2"/>
  </r>
  <r>
    <x v="0"/>
    <d v="1991-06-30T00:00:00"/>
    <x v="1"/>
    <x v="1"/>
    <n v="0"/>
    <s v="Hilite 25"/>
    <s v="First"/>
    <s v="Gletschertal"/>
    <m/>
    <n v="12"/>
    <x v="6"/>
    <x v="2"/>
  </r>
  <r>
    <x v="0"/>
    <d v="1991-07-07T00:00:00"/>
    <x v="2"/>
    <x v="1"/>
    <n v="1"/>
    <s v="Hilite 25"/>
    <s v="Hoher Kasten"/>
    <s v="Brülisau"/>
    <m/>
    <n v="10"/>
    <x v="4"/>
    <x v="2"/>
  </r>
  <r>
    <x v="0"/>
    <d v="1991-07-07T00:00:00"/>
    <x v="2"/>
    <x v="1"/>
    <n v="0"/>
    <s v="Hilite 25"/>
    <s v="Hoher Kasten"/>
    <s v="Brülisau"/>
    <m/>
    <n v="10"/>
    <x v="4"/>
    <x v="2"/>
  </r>
  <r>
    <x v="0"/>
    <d v="1991-07-28T00:00:00"/>
    <x v="2"/>
    <x v="1"/>
    <n v="1"/>
    <s v="Hilite 25"/>
    <s v="First"/>
    <s v="Gletschertal"/>
    <m/>
    <n v="12"/>
    <x v="6"/>
    <x v="2"/>
  </r>
  <r>
    <x v="0"/>
    <d v="1991-07-28T00:00:00"/>
    <x v="2"/>
    <x v="1"/>
    <n v="0"/>
    <s v="Hilite 25"/>
    <s v="First"/>
    <s v="Gletschertal"/>
    <m/>
    <n v="20"/>
    <x v="5"/>
    <x v="2"/>
  </r>
  <r>
    <x v="0"/>
    <d v="1991-08-05T00:00:00"/>
    <x v="3"/>
    <x v="1"/>
    <n v="1"/>
    <s v="Hilite 25"/>
    <s v="First"/>
    <s v="Gletschertal"/>
    <m/>
    <n v="20"/>
    <x v="5"/>
    <x v="2"/>
  </r>
  <r>
    <x v="0"/>
    <d v="1991-08-18T00:00:00"/>
    <x v="3"/>
    <x v="1"/>
    <n v="1"/>
    <s v="Hilite 25"/>
    <s v="First"/>
    <s v="Schwarzigen"/>
    <m/>
    <n v="14"/>
    <x v="11"/>
    <x v="2"/>
  </r>
  <r>
    <x v="0"/>
    <d v="1991-08-18T00:00:00"/>
    <x v="3"/>
    <x v="1"/>
    <n v="0"/>
    <s v="Hilite 25"/>
    <s v="First"/>
    <s v="Gletschertal"/>
    <m/>
    <n v="11"/>
    <x v="14"/>
    <x v="2"/>
  </r>
  <r>
    <x v="1"/>
    <d v="1992-06-13T00:00:00"/>
    <x v="1"/>
    <x v="2"/>
    <n v="1"/>
    <s v="Hilite 25"/>
    <s v="Hämikon"/>
    <s v="Hämikon"/>
    <m/>
    <n v="2"/>
    <x v="16"/>
    <x v="2"/>
  </r>
  <r>
    <x v="1"/>
    <d v="1992-06-13T00:00:00"/>
    <x v="1"/>
    <x v="2"/>
    <n v="0"/>
    <s v="Hilite 25"/>
    <s v="Hämikon"/>
    <s v="Hämikon"/>
    <m/>
    <n v="2"/>
    <x v="16"/>
    <x v="2"/>
  </r>
  <r>
    <x v="0"/>
    <d v="1993-07-28T00:00:00"/>
    <x v="2"/>
    <x v="3"/>
    <n v="1"/>
    <s v="Hilite 25"/>
    <s v="First"/>
    <s v="Gletschertal"/>
    <m/>
    <n v="10"/>
    <x v="4"/>
    <x v="2"/>
  </r>
  <r>
    <x v="0"/>
    <d v="1993-07-29T00:00:00"/>
    <x v="2"/>
    <x v="3"/>
    <n v="1"/>
    <s v="Hilite 25"/>
    <s v="First"/>
    <s v="Gletschertal"/>
    <m/>
    <n v="10"/>
    <x v="4"/>
    <x v="2"/>
  </r>
  <r>
    <x v="0"/>
    <d v="1993-07-30T00:00:00"/>
    <x v="2"/>
    <x v="3"/>
    <n v="1"/>
    <s v="Hilite 25"/>
    <s v="First"/>
    <s v="Gletschertal"/>
    <m/>
    <n v="10"/>
    <x v="4"/>
    <x v="2"/>
  </r>
  <r>
    <x v="0"/>
    <d v="1993-08-15T00:00:00"/>
    <x v="3"/>
    <x v="3"/>
    <n v="1"/>
    <s v="Hilite 25"/>
    <s v="Stanserhorn"/>
    <s v="Stans"/>
    <m/>
    <n v="38"/>
    <x v="17"/>
    <x v="2"/>
  </r>
  <r>
    <x v="0"/>
    <d v="1993-08-29T00:00:00"/>
    <x v="3"/>
    <x v="3"/>
    <n v="1"/>
    <s v="Hilite 25"/>
    <s v="Stanserhorn"/>
    <s v="Stans"/>
    <m/>
    <n v="10"/>
    <x v="4"/>
    <x v="2"/>
  </r>
  <r>
    <x v="0"/>
    <d v="1993-09-02T00:00:00"/>
    <x v="4"/>
    <x v="3"/>
    <n v="1"/>
    <s v="Hilite 25"/>
    <s v="Stanserhorn"/>
    <s v="Stans"/>
    <m/>
    <n v="12"/>
    <x v="6"/>
    <x v="2"/>
  </r>
  <r>
    <x v="0"/>
    <d v="1993-09-07T00:00:00"/>
    <x v="4"/>
    <x v="3"/>
    <n v="1"/>
    <s v="Hilite 25"/>
    <s v="Stanserhorn"/>
    <s v="Stans"/>
    <m/>
    <n v="12"/>
    <x v="6"/>
    <x v="2"/>
  </r>
  <r>
    <x v="0"/>
    <d v="1993-09-21T00:00:00"/>
    <x v="4"/>
    <x v="3"/>
    <n v="1"/>
    <s v="Hilite 25"/>
    <s v="Stanserhorn"/>
    <s v="Dallenwil"/>
    <m/>
    <n v="10"/>
    <x v="4"/>
    <x v="2"/>
  </r>
  <r>
    <x v="0"/>
    <d v="1994-05-28T00:00:00"/>
    <x v="0"/>
    <x v="4"/>
    <n v="1"/>
    <s v="Hilite 25"/>
    <s v="First"/>
    <s v="Grund"/>
    <m/>
    <n v="13"/>
    <x v="18"/>
    <x v="2"/>
  </r>
  <r>
    <x v="0"/>
    <d v="1994-06-24T00:00:00"/>
    <x v="1"/>
    <x v="4"/>
    <n v="1"/>
    <s v="Hilite 25"/>
    <s v="Rigi Staffelhöhe"/>
    <s v="Eichholzern"/>
    <m/>
    <n v="15"/>
    <x v="15"/>
    <x v="2"/>
  </r>
  <r>
    <x v="0"/>
    <d v="1994-06-24T00:00:00"/>
    <x v="1"/>
    <x v="4"/>
    <n v="0"/>
    <s v="Hilite 25"/>
    <s v="Rigi Staffelhöhe"/>
    <s v="Eichholzern"/>
    <m/>
    <n v="15"/>
    <x v="15"/>
    <x v="2"/>
  </r>
  <r>
    <x v="0"/>
    <d v="1994-07-15T00:00:00"/>
    <x v="2"/>
    <x v="4"/>
    <n v="1"/>
    <s v="Hilite 25"/>
    <s v="Brändlen"/>
    <s v="Wolfenschiessen"/>
    <m/>
    <n v="16"/>
    <x v="19"/>
    <x v="2"/>
  </r>
  <r>
    <x v="0"/>
    <d v="1994-07-15T00:00:00"/>
    <x v="2"/>
    <x v="4"/>
    <n v="0"/>
    <s v="Hilite 25"/>
    <s v="Brändlen"/>
    <s v="Wolfenschiessen"/>
    <m/>
    <n v="15"/>
    <x v="15"/>
    <x v="2"/>
  </r>
  <r>
    <x v="1"/>
    <d v="1994-08-06T00:00:00"/>
    <x v="3"/>
    <x v="4"/>
    <n v="1"/>
    <s v="Hilite 25"/>
    <s v="Eggberge"/>
    <s v="Altdorf/Fluelen"/>
    <m/>
    <n v="15"/>
    <x v="15"/>
    <x v="3"/>
  </r>
  <r>
    <x v="1"/>
    <d v="1994-08-06T00:00:00"/>
    <x v="3"/>
    <x v="4"/>
    <n v="0"/>
    <s v="Hilite 25"/>
    <s v="Eggberge"/>
    <s v="Altdorf/Fluelen"/>
    <m/>
    <n v="15"/>
    <x v="15"/>
    <x v="3"/>
  </r>
  <r>
    <x v="1"/>
    <d v="1994-08-07T00:00:00"/>
    <x v="3"/>
    <x v="4"/>
    <n v="1"/>
    <s v="Hilite 25"/>
    <s v="Eggberge"/>
    <s v="Altdorf/Fluelen"/>
    <m/>
    <n v="15"/>
    <x v="15"/>
    <x v="3"/>
  </r>
  <r>
    <x v="1"/>
    <d v="1994-08-07T00:00:00"/>
    <x v="3"/>
    <x v="4"/>
    <n v="0"/>
    <s v="Hilite 25"/>
    <s v="Eggberge"/>
    <s v="Altdorf/Fluelen"/>
    <m/>
    <n v="15"/>
    <x v="15"/>
    <x v="3"/>
  </r>
  <r>
    <x v="0"/>
    <d v="1994-08-13T00:00:00"/>
    <x v="3"/>
    <x v="4"/>
    <n v="1"/>
    <s v="Crusair 32"/>
    <s v="Haldi"/>
    <s v="Schattdorf"/>
    <m/>
    <n v="10"/>
    <x v="4"/>
    <x v="2"/>
  </r>
  <r>
    <x v="0"/>
    <d v="1994-08-13T00:00:00"/>
    <x v="3"/>
    <x v="4"/>
    <n v="0"/>
    <s v="Crusair 32"/>
    <s v="Haldi"/>
    <s v="Schattdorf"/>
    <m/>
    <n v="15"/>
    <x v="15"/>
    <x v="2"/>
  </r>
  <r>
    <x v="0"/>
    <d v="1994-08-13T00:00:00"/>
    <x v="3"/>
    <x v="4"/>
    <n v="0"/>
    <s v="Crusair 32"/>
    <s v="Haldi"/>
    <s v="Schattdorf"/>
    <m/>
    <n v="20"/>
    <x v="5"/>
    <x v="2"/>
  </r>
  <r>
    <x v="0"/>
    <d v="1994-08-20T00:00:00"/>
    <x v="3"/>
    <x v="4"/>
    <n v="1"/>
    <s v="UP Vision"/>
    <s v="First"/>
    <s v="Bodmi"/>
    <m/>
    <n v="20"/>
    <x v="5"/>
    <x v="2"/>
  </r>
  <r>
    <x v="0"/>
    <d v="1994-08-20T00:00:00"/>
    <x v="3"/>
    <x v="4"/>
    <n v="0"/>
    <s v="UP Vision"/>
    <s v="First"/>
    <s v="Bodmi"/>
    <m/>
    <n v="20"/>
    <x v="5"/>
    <x v="2"/>
  </r>
  <r>
    <x v="0"/>
    <d v="1994-09-05T00:00:00"/>
    <x v="4"/>
    <x v="4"/>
    <n v="1"/>
    <s v="Hilite 25"/>
    <s v="Niederbauen"/>
    <s v="Emetten"/>
    <m/>
    <n v="8"/>
    <x v="3"/>
    <x v="2"/>
  </r>
  <r>
    <x v="0"/>
    <d v="1994-09-05T00:00:00"/>
    <x v="4"/>
    <x v="4"/>
    <n v="0"/>
    <s v="Hilite 25"/>
    <s v="Niederbauen"/>
    <s v="Emetten"/>
    <m/>
    <n v="15"/>
    <x v="15"/>
    <x v="2"/>
  </r>
  <r>
    <x v="0"/>
    <d v="1994-09-05T00:00:00"/>
    <x v="4"/>
    <x v="4"/>
    <n v="0"/>
    <s v="Hilite 25"/>
    <s v="Niederbauen"/>
    <s v="Emetten"/>
    <m/>
    <n v="8"/>
    <x v="3"/>
    <x v="2"/>
  </r>
  <r>
    <x v="0"/>
    <d v="1994-09-20T00:00:00"/>
    <x v="4"/>
    <x v="4"/>
    <n v="1"/>
    <s v="Hilite 25"/>
    <s v="Musenalp"/>
    <s v="Dallenwil"/>
    <m/>
    <n v="10"/>
    <x v="4"/>
    <x v="2"/>
  </r>
  <r>
    <x v="0"/>
    <d v="1994-09-20T00:00:00"/>
    <x v="4"/>
    <x v="4"/>
    <n v="0"/>
    <s v="Hilite 25"/>
    <s v="Stanserhorn"/>
    <s v="Dallenwil"/>
    <m/>
    <n v="12"/>
    <x v="6"/>
    <x v="2"/>
  </r>
  <r>
    <x v="0"/>
    <d v="1995-05-06T00:00:00"/>
    <x v="0"/>
    <x v="5"/>
    <n v="1"/>
    <s v="Hilite 25"/>
    <s v="Niederbauen"/>
    <s v="Emetten"/>
    <m/>
    <n v="19"/>
    <x v="20"/>
    <x v="2"/>
  </r>
  <r>
    <x v="0"/>
    <d v="1995-05-06T00:00:00"/>
    <x v="0"/>
    <x v="5"/>
    <n v="0"/>
    <s v="Hilite 25"/>
    <s v="Niederbauen"/>
    <s v="Emetten"/>
    <m/>
    <n v="51"/>
    <x v="21"/>
    <x v="2"/>
  </r>
  <r>
    <x v="0"/>
    <d v="1995-06-03T00:00:00"/>
    <x v="1"/>
    <x v="5"/>
    <n v="1"/>
    <s v="UP Vision"/>
    <s v="Niederbauen"/>
    <s v="Emetten"/>
    <m/>
    <n v="12"/>
    <x v="6"/>
    <x v="2"/>
  </r>
  <r>
    <x v="0"/>
    <d v="1995-06-07T00:00:00"/>
    <x v="1"/>
    <x v="5"/>
    <n v="1"/>
    <s v="UP Vision"/>
    <s v="Niederbauen"/>
    <s v="Emetten"/>
    <m/>
    <n v="8"/>
    <x v="3"/>
    <x v="2"/>
  </r>
  <r>
    <x v="0"/>
    <d v="1995-06-07T00:00:00"/>
    <x v="1"/>
    <x v="5"/>
    <n v="0"/>
    <s v="UP Vision"/>
    <s v="Niederbauen"/>
    <s v="Emetten"/>
    <m/>
    <n v="8"/>
    <x v="3"/>
    <x v="2"/>
  </r>
  <r>
    <x v="0"/>
    <d v="1995-06-17T00:00:00"/>
    <x v="1"/>
    <x v="5"/>
    <n v="1"/>
    <s v="UP Vision"/>
    <s v="Niederbauen"/>
    <s v="Emetten"/>
    <m/>
    <n v="6"/>
    <x v="0"/>
    <x v="2"/>
  </r>
  <r>
    <x v="0"/>
    <d v="1995-06-17T00:00:00"/>
    <x v="1"/>
    <x v="5"/>
    <n v="0"/>
    <s v="UP Vision"/>
    <s v="Niederbauen"/>
    <s v="Emetten"/>
    <m/>
    <n v="9"/>
    <x v="22"/>
    <x v="2"/>
  </r>
  <r>
    <x v="0"/>
    <d v="1995-06-17T00:00:00"/>
    <x v="1"/>
    <x v="5"/>
    <n v="0"/>
    <s v="UP Vision"/>
    <s v="Niederbauen"/>
    <s v="Emetten"/>
    <m/>
    <n v="32"/>
    <x v="23"/>
    <x v="2"/>
  </r>
  <r>
    <x v="0"/>
    <d v="1995-06-26T00:00:00"/>
    <x v="1"/>
    <x v="5"/>
    <n v="1"/>
    <s v="UP Vision"/>
    <s v="Heimat"/>
    <s v="Fieschertal"/>
    <m/>
    <n v="19"/>
    <x v="20"/>
    <x v="4"/>
  </r>
  <r>
    <x v="0"/>
    <d v="1995-06-26T00:00:00"/>
    <x v="1"/>
    <x v="5"/>
    <n v="0"/>
    <s v="UP Vision"/>
    <s v="Heimat"/>
    <s v="Fieschertal"/>
    <n v="1"/>
    <n v="31"/>
    <x v="24"/>
    <x v="4"/>
  </r>
  <r>
    <x v="0"/>
    <d v="1995-06-27T00:00:00"/>
    <x v="1"/>
    <x v="5"/>
    <n v="1"/>
    <s v="UP Vision"/>
    <s v="Tournelle"/>
    <s v="Verbier"/>
    <m/>
    <n v="7"/>
    <x v="1"/>
    <x v="4"/>
  </r>
  <r>
    <x v="0"/>
    <d v="1995-06-27T00:00:00"/>
    <x v="1"/>
    <x v="5"/>
    <n v="0"/>
    <s v="UP Vision"/>
    <s v="Les Ruinettes"/>
    <s v="Verbier"/>
    <n v="1"/>
    <n v="3"/>
    <x v="25"/>
    <x v="4"/>
  </r>
  <r>
    <x v="0"/>
    <d v="1995-06-28T00:00:00"/>
    <x v="1"/>
    <x v="5"/>
    <n v="1"/>
    <s v="UP Vision"/>
    <s v="Tournelle"/>
    <s v="Chable Kapelle"/>
    <m/>
    <n v="17"/>
    <x v="26"/>
    <x v="4"/>
  </r>
  <r>
    <x v="0"/>
    <d v="1995-06-28T00:00:00"/>
    <x v="1"/>
    <x v="5"/>
    <n v="0"/>
    <s v="UP Vision"/>
    <s v="Les Ruinettes"/>
    <s v="Chable Kapelle"/>
    <m/>
    <n v="45"/>
    <x v="27"/>
    <x v="4"/>
  </r>
  <r>
    <x v="0"/>
    <d v="1995-06-29T00:00:00"/>
    <x v="1"/>
    <x v="5"/>
    <n v="1"/>
    <s v="UP Vision"/>
    <s v="Heimat"/>
    <s v="Reckingen"/>
    <m/>
    <n v="54"/>
    <x v="28"/>
    <x v="4"/>
  </r>
  <r>
    <x v="0"/>
    <d v="1995-06-30T00:00:00"/>
    <x v="1"/>
    <x v="5"/>
    <n v="1"/>
    <s v="UP Vision"/>
    <s v="Grand Montana/Belaloi"/>
    <s v="Susten"/>
    <m/>
    <n v="54"/>
    <x v="28"/>
    <x v="4"/>
  </r>
  <r>
    <x v="0"/>
    <d v="1995-07-01T00:00:00"/>
    <x v="2"/>
    <x v="5"/>
    <n v="1"/>
    <s v="UP Vision"/>
    <s v="Heimat"/>
    <s v="Fieschertal"/>
    <n v="2"/>
    <n v="34"/>
    <x v="29"/>
    <x v="4"/>
  </r>
  <r>
    <x v="0"/>
    <d v="1995-07-06T00:00:00"/>
    <x v="2"/>
    <x v="5"/>
    <n v="1"/>
    <s v="UP Vision"/>
    <s v="Niederbauen"/>
    <s v="Emetten"/>
    <m/>
    <n v="10"/>
    <x v="4"/>
    <x v="2"/>
  </r>
  <r>
    <x v="0"/>
    <d v="1995-07-08T00:00:00"/>
    <x v="2"/>
    <x v="5"/>
    <n v="1"/>
    <s v="UP Vision"/>
    <s v="Niederbauen"/>
    <s v="Emetten"/>
    <m/>
    <n v="10"/>
    <x v="4"/>
    <x v="2"/>
  </r>
  <r>
    <x v="0"/>
    <d v="1995-07-08T00:00:00"/>
    <x v="2"/>
    <x v="5"/>
    <n v="0"/>
    <s v="UP Vision"/>
    <s v="Niederbauen"/>
    <s v="Emetten"/>
    <m/>
    <n v="10"/>
    <x v="4"/>
    <x v="2"/>
  </r>
  <r>
    <x v="0"/>
    <d v="1995-07-25T00:00:00"/>
    <x v="2"/>
    <x v="5"/>
    <n v="1"/>
    <s v="UP Vision"/>
    <s v="Stanserhorn"/>
    <s v="Stans"/>
    <m/>
    <n v="12"/>
    <x v="6"/>
    <x v="2"/>
  </r>
  <r>
    <x v="2"/>
    <d v="1995-07-28T00:00:00"/>
    <x v="2"/>
    <x v="5"/>
    <n v="0"/>
    <m/>
    <m/>
    <m/>
    <m/>
    <m/>
    <x v="30"/>
    <x v="2"/>
  </r>
  <r>
    <x v="0"/>
    <d v="1995-07-29T00:00:00"/>
    <x v="2"/>
    <x v="5"/>
    <n v="1"/>
    <s v="UP Vision"/>
    <s v="Heimat"/>
    <s v="Fieschertal"/>
    <m/>
    <n v="20"/>
    <x v="5"/>
    <x v="2"/>
  </r>
  <r>
    <x v="0"/>
    <d v="1995-07-29T00:00:00"/>
    <x v="2"/>
    <x v="5"/>
    <n v="0"/>
    <s v="UP Vision"/>
    <s v="Heimat"/>
    <s v="Fieschertal"/>
    <n v="1"/>
    <n v="1"/>
    <x v="31"/>
    <x v="2"/>
  </r>
  <r>
    <x v="0"/>
    <d v="1995-08-05T00:00:00"/>
    <x v="3"/>
    <x v="5"/>
    <n v="1"/>
    <s v="UP Vision"/>
    <s v="First"/>
    <s v="Bodmi"/>
    <n v="1"/>
    <n v="32"/>
    <x v="32"/>
    <x v="2"/>
  </r>
  <r>
    <x v="0"/>
    <d v="1996-05-26T00:00:00"/>
    <x v="0"/>
    <x v="6"/>
    <n v="1"/>
    <s v="UP Vision"/>
    <s v="Grindel"/>
    <s v="Gletschertal"/>
    <m/>
    <n v="10"/>
    <x v="4"/>
    <x v="2"/>
  </r>
  <r>
    <x v="0"/>
    <d v="1996-06-18T00:00:00"/>
    <x v="1"/>
    <x v="6"/>
    <n v="1"/>
    <s v="UP Vision"/>
    <s v="Gerlizen A"/>
    <s v="Ossiachersee West"/>
    <m/>
    <n v="40"/>
    <x v="33"/>
    <x v="2"/>
  </r>
  <r>
    <x v="0"/>
    <d v="1996-07-29T00:00:00"/>
    <x v="2"/>
    <x v="6"/>
    <n v="1"/>
    <s v="UP Vision"/>
    <s v="First"/>
    <s v="Grund"/>
    <m/>
    <n v="27"/>
    <x v="34"/>
    <x v="2"/>
  </r>
  <r>
    <x v="0"/>
    <d v="1996-07-31T00:00:00"/>
    <x v="2"/>
    <x v="6"/>
    <n v="1"/>
    <s v="UP Vision"/>
    <s v="First"/>
    <s v="Bodmi"/>
    <n v="1"/>
    <n v="48"/>
    <x v="35"/>
    <x v="2"/>
  </r>
  <r>
    <x v="0"/>
    <d v="1996-08-01T00:00:00"/>
    <x v="3"/>
    <x v="6"/>
    <n v="1"/>
    <s v="UP Vision"/>
    <s v="First"/>
    <s v="Bodmi"/>
    <n v="1"/>
    <n v="50"/>
    <x v="36"/>
    <x v="2"/>
  </r>
  <r>
    <x v="0"/>
    <d v="1996-09-10T00:00:00"/>
    <x v="4"/>
    <x v="6"/>
    <n v="1"/>
    <s v="UP Vision"/>
    <s v="Niederbauen"/>
    <s v="Emetten"/>
    <m/>
    <n v="10"/>
    <x v="4"/>
    <x v="2"/>
  </r>
  <r>
    <x v="0"/>
    <d v="1996-09-10T00:00:00"/>
    <x v="4"/>
    <x v="6"/>
    <n v="0"/>
    <s v="UP Vision"/>
    <s v="Niederbauen"/>
    <s v="Emetten"/>
    <m/>
    <n v="6"/>
    <x v="0"/>
    <x v="2"/>
  </r>
  <r>
    <x v="0"/>
    <d v="1996-11-04T00:00:00"/>
    <x v="6"/>
    <x v="6"/>
    <n v="1"/>
    <s v="UP Vision"/>
    <s v="Mt Gros"/>
    <s v="Roque brunnes"/>
    <m/>
    <n v="52"/>
    <x v="37"/>
    <x v="5"/>
  </r>
  <r>
    <x v="0"/>
    <d v="1996-11-06T00:00:00"/>
    <x v="6"/>
    <x v="6"/>
    <n v="1"/>
    <s v="UP Vision"/>
    <s v="Mt Gros"/>
    <s v="Roque brunnes"/>
    <m/>
    <n v="10"/>
    <x v="4"/>
    <x v="5"/>
  </r>
  <r>
    <x v="0"/>
    <d v="1996-11-06T00:00:00"/>
    <x v="6"/>
    <x v="6"/>
    <n v="0"/>
    <s v="UP Vision"/>
    <s v="Mt Gros"/>
    <s v="Roque brunnes"/>
    <n v="1"/>
    <n v="4"/>
    <x v="38"/>
    <x v="5"/>
  </r>
  <r>
    <x v="0"/>
    <d v="1996-11-07T00:00:00"/>
    <x v="6"/>
    <x v="6"/>
    <n v="1"/>
    <s v="UP Vision"/>
    <s v="Mt Gros"/>
    <s v="Roque brunnes"/>
    <m/>
    <n v="32"/>
    <x v="23"/>
    <x v="5"/>
  </r>
  <r>
    <x v="0"/>
    <d v="1997-02-23T00:00:00"/>
    <x v="7"/>
    <x v="7"/>
    <n v="1"/>
    <s v="UP Vision"/>
    <s v="Gemsstock"/>
    <s v="Andermatt"/>
    <m/>
    <n v="15"/>
    <x v="15"/>
    <x v="2"/>
  </r>
  <r>
    <x v="0"/>
    <d v="1997-03-02T00:00:00"/>
    <x v="8"/>
    <x v="7"/>
    <n v="1"/>
    <s v="UP Vision"/>
    <s v="Männlichen"/>
    <s v="Wengen"/>
    <m/>
    <n v="36"/>
    <x v="39"/>
    <x v="2"/>
  </r>
  <r>
    <x v="0"/>
    <d v="1997-03-03T00:00:00"/>
    <x v="8"/>
    <x v="7"/>
    <n v="1"/>
    <s v="UP Vision"/>
    <s v="Männlichen"/>
    <s v="Wengen"/>
    <m/>
    <n v="16"/>
    <x v="19"/>
    <x v="2"/>
  </r>
  <r>
    <x v="0"/>
    <d v="1997-03-07T00:00:00"/>
    <x v="8"/>
    <x v="7"/>
    <n v="1"/>
    <s v="UP Vision"/>
    <s v="Männlichen"/>
    <s v="Lauterbrunnen"/>
    <m/>
    <n v="16"/>
    <x v="19"/>
    <x v="2"/>
  </r>
  <r>
    <x v="0"/>
    <d v="1997-06-04T00:00:00"/>
    <x v="1"/>
    <x v="7"/>
    <n v="1"/>
    <s v="UP Vision"/>
    <s v="Niederbauen"/>
    <s v="Emetten"/>
    <m/>
    <n v="20"/>
    <x v="5"/>
    <x v="2"/>
  </r>
  <r>
    <x v="0"/>
    <d v="1997-06-04T00:00:00"/>
    <x v="1"/>
    <x v="7"/>
    <n v="0"/>
    <s v="UP Vision"/>
    <s v="Niederbauen"/>
    <s v="Emetten"/>
    <m/>
    <n v="10"/>
    <x v="4"/>
    <x v="2"/>
  </r>
  <r>
    <x v="1"/>
    <d v="1997-06-15T00:00:00"/>
    <x v="1"/>
    <x v="7"/>
    <n v="1"/>
    <s v="UP Vision"/>
    <s v="Kleewenalp"/>
    <s v="Beckenried"/>
    <m/>
    <n v="10"/>
    <x v="4"/>
    <x v="3"/>
  </r>
  <r>
    <x v="1"/>
    <d v="1997-06-15T00:00:00"/>
    <x v="1"/>
    <x v="7"/>
    <n v="0"/>
    <s v="UP Vision"/>
    <s v="Kleewenalp"/>
    <s v="Beckenried"/>
    <m/>
    <n v="10"/>
    <x v="4"/>
    <x v="3"/>
  </r>
  <r>
    <x v="1"/>
    <d v="1997-06-15T00:00:00"/>
    <x v="1"/>
    <x v="7"/>
    <n v="0"/>
    <s v="UP Vision"/>
    <s v="Kleewenalp"/>
    <s v="Beckenried"/>
    <m/>
    <n v="10"/>
    <x v="4"/>
    <x v="3"/>
  </r>
  <r>
    <x v="1"/>
    <d v="1997-06-15T00:00:00"/>
    <x v="1"/>
    <x v="7"/>
    <n v="0"/>
    <s v="UP Vision"/>
    <s v="Kleewenalp"/>
    <s v="Beckenried"/>
    <m/>
    <n v="10"/>
    <x v="4"/>
    <x v="3"/>
  </r>
  <r>
    <x v="1"/>
    <d v="1997-06-15T00:00:00"/>
    <x v="1"/>
    <x v="7"/>
    <n v="0"/>
    <s v="UP Vision"/>
    <s v="Kleewenalp"/>
    <s v="Beckenried"/>
    <m/>
    <n v="10"/>
    <x v="4"/>
    <x v="3"/>
  </r>
  <r>
    <x v="0"/>
    <d v="1997-07-09T00:00:00"/>
    <x v="2"/>
    <x v="7"/>
    <n v="1"/>
    <s v="UP Vision"/>
    <s v="Stanserhorn"/>
    <s v="Stans"/>
    <m/>
    <n v="50"/>
    <x v="40"/>
    <x v="2"/>
  </r>
  <r>
    <x v="0"/>
    <d v="1997-07-12T00:00:00"/>
    <x v="2"/>
    <x v="7"/>
    <n v="1"/>
    <s v="UP Vision"/>
    <s v="First"/>
    <s v="Bodmi"/>
    <n v="1"/>
    <n v="45"/>
    <x v="41"/>
    <x v="2"/>
  </r>
  <r>
    <x v="0"/>
    <d v="1997-07-16T00:00:00"/>
    <x v="2"/>
    <x v="7"/>
    <n v="1"/>
    <s v="UP Vision"/>
    <s v="First"/>
    <s v="Bodmi"/>
    <m/>
    <n v="22"/>
    <x v="42"/>
    <x v="2"/>
  </r>
  <r>
    <x v="0"/>
    <d v="1997-07-22T00:00:00"/>
    <x v="2"/>
    <x v="7"/>
    <n v="1"/>
    <s v="UP Vision"/>
    <s v="First"/>
    <s v="Bodmi"/>
    <m/>
    <n v="17"/>
    <x v="26"/>
    <x v="2"/>
  </r>
  <r>
    <x v="0"/>
    <d v="1997-07-27T00:00:00"/>
    <x v="2"/>
    <x v="7"/>
    <n v="1"/>
    <s v="UP Vision"/>
    <s v="First"/>
    <s v="Bodmi"/>
    <n v="1"/>
    <n v="45"/>
    <x v="41"/>
    <x v="2"/>
  </r>
  <r>
    <x v="0"/>
    <d v="1997-07-29T00:00:00"/>
    <x v="2"/>
    <x v="7"/>
    <n v="1"/>
    <s v="UP Vision"/>
    <s v="Stanserhorn"/>
    <s v="Stans"/>
    <m/>
    <n v="27"/>
    <x v="34"/>
    <x v="2"/>
  </r>
  <r>
    <x v="0"/>
    <d v="1997-07-30T00:00:00"/>
    <x v="2"/>
    <x v="7"/>
    <n v="1"/>
    <s v="UP Vision"/>
    <s v="Stanserhorn"/>
    <s v="Stans"/>
    <n v="1"/>
    <n v="35"/>
    <x v="43"/>
    <x v="2"/>
  </r>
  <r>
    <x v="0"/>
    <d v="1997-08-05T00:00:00"/>
    <x v="3"/>
    <x v="7"/>
    <n v="1"/>
    <s v="UP Vision"/>
    <s v="Niederbauen"/>
    <s v="Emetten"/>
    <m/>
    <n v="11"/>
    <x v="14"/>
    <x v="2"/>
  </r>
  <r>
    <x v="0"/>
    <d v="1997-08-10T00:00:00"/>
    <x v="3"/>
    <x v="7"/>
    <n v="1"/>
    <s v="UP Vision"/>
    <s v="Stanserhorn"/>
    <s v="Stans"/>
    <n v="1"/>
    <n v="6"/>
    <x v="44"/>
    <x v="2"/>
  </r>
  <r>
    <x v="0"/>
    <d v="1997-08-12T00:00:00"/>
    <x v="3"/>
    <x v="7"/>
    <n v="1"/>
    <s v="UP Vision"/>
    <s v="Stanserhorn"/>
    <s v="Aussenlandung"/>
    <m/>
    <n v="11"/>
    <x v="14"/>
    <x v="2"/>
  </r>
  <r>
    <x v="2"/>
    <d v="1997-08-13T00:00:00"/>
    <x v="3"/>
    <x v="7"/>
    <n v="0"/>
    <s v="Fallschirm"/>
    <s v="Pilatus Porter"/>
    <s v="Triengen"/>
    <m/>
    <n v="4"/>
    <x v="7"/>
    <x v="2"/>
  </r>
  <r>
    <x v="0"/>
    <d v="1997-09-18T00:00:00"/>
    <x v="4"/>
    <x v="7"/>
    <n v="1"/>
    <s v="UP Vision"/>
    <s v="Stanserhorn"/>
    <s v="Stans"/>
    <m/>
    <n v="16"/>
    <x v="19"/>
    <x v="2"/>
  </r>
  <r>
    <x v="0"/>
    <d v="1998-04-25T00:00:00"/>
    <x v="9"/>
    <x v="8"/>
    <n v="1"/>
    <s v="UP Vision"/>
    <s v="Col del Pupolo"/>
    <s v="Bassano"/>
    <n v="1"/>
    <n v="5"/>
    <x v="45"/>
    <x v="6"/>
  </r>
  <r>
    <x v="0"/>
    <d v="1998-04-26T00:00:00"/>
    <x v="9"/>
    <x v="8"/>
    <n v="1"/>
    <s v="UP Vision"/>
    <s v="Costalunga"/>
    <s v="Bassano"/>
    <m/>
    <n v="10"/>
    <x v="4"/>
    <x v="6"/>
  </r>
  <r>
    <x v="0"/>
    <d v="1998-04-26T00:00:00"/>
    <x v="9"/>
    <x v="8"/>
    <n v="0"/>
    <s v="UP Vision"/>
    <s v="Costalunga"/>
    <s v="Bassano"/>
    <n v="2"/>
    <n v="0"/>
    <x v="10"/>
    <x v="6"/>
  </r>
  <r>
    <x v="0"/>
    <d v="1998-06-01T00:00:00"/>
    <x v="1"/>
    <x v="8"/>
    <n v="1"/>
    <s v="UP Vision"/>
    <s v="Stanserhorn"/>
    <s v="Stans"/>
    <n v="1"/>
    <n v="50"/>
    <x v="36"/>
    <x v="2"/>
  </r>
  <r>
    <x v="0"/>
    <d v="1998-07-18T00:00:00"/>
    <x v="2"/>
    <x v="8"/>
    <n v="1"/>
    <s v="UP Vision"/>
    <s v="First"/>
    <s v="Bodmi"/>
    <n v="1"/>
    <n v="20"/>
    <x v="46"/>
    <x v="2"/>
  </r>
  <r>
    <x v="0"/>
    <d v="1998-07-19T00:00:00"/>
    <x v="2"/>
    <x v="8"/>
    <n v="1"/>
    <s v="UP Vision"/>
    <s v="First"/>
    <s v="Bodmi"/>
    <n v="1"/>
    <m/>
    <x v="47"/>
    <x v="2"/>
  </r>
  <r>
    <x v="0"/>
    <d v="1998-07-20T00:00:00"/>
    <x v="2"/>
    <x v="8"/>
    <n v="1"/>
    <s v="UP Vision"/>
    <s v="First"/>
    <s v="Bodmi"/>
    <n v="1"/>
    <n v="40"/>
    <x v="48"/>
    <x v="2"/>
  </r>
  <r>
    <x v="0"/>
    <d v="1998-08-06T00:00:00"/>
    <x v="3"/>
    <x v="8"/>
    <n v="1"/>
    <s v="UP Vision"/>
    <s v="Stanserhorn"/>
    <s v="Stans"/>
    <m/>
    <n v="10"/>
    <x v="4"/>
    <x v="2"/>
  </r>
  <r>
    <x v="0"/>
    <d v="1998-08-08T00:00:00"/>
    <x v="3"/>
    <x v="8"/>
    <n v="1"/>
    <s v="UP Vision"/>
    <s v="Stanserhorn"/>
    <s v="Stans"/>
    <m/>
    <n v="10"/>
    <x v="4"/>
    <x v="2"/>
  </r>
  <r>
    <x v="0"/>
    <d v="1998-08-14T00:00:00"/>
    <x v="3"/>
    <x v="8"/>
    <n v="1"/>
    <s v="UP Vision"/>
    <s v="Stanserhorn"/>
    <s v="Stans"/>
    <m/>
    <n v="57"/>
    <x v="49"/>
    <x v="2"/>
  </r>
  <r>
    <x v="0"/>
    <d v="1999-04-02T00:00:00"/>
    <x v="9"/>
    <x v="9"/>
    <n v="1"/>
    <s v="UP Vision"/>
    <s v="First"/>
    <s v="Grund"/>
    <m/>
    <n v="34"/>
    <x v="50"/>
    <x v="2"/>
  </r>
  <r>
    <x v="0"/>
    <d v="1999-04-03T00:00:00"/>
    <x v="9"/>
    <x v="9"/>
    <n v="1"/>
    <s v="UP Vision"/>
    <s v="First"/>
    <s v="Grund"/>
    <m/>
    <n v="37"/>
    <x v="51"/>
    <x v="2"/>
  </r>
  <r>
    <x v="0"/>
    <d v="1999-04-06T00:00:00"/>
    <x v="9"/>
    <x v="9"/>
    <n v="1"/>
    <s v="UP Vision"/>
    <s v="Niederbauen"/>
    <s v="Emetten"/>
    <m/>
    <n v="6"/>
    <x v="0"/>
    <x v="2"/>
  </r>
  <r>
    <x v="0"/>
    <d v="1999-05-08T00:00:00"/>
    <x v="0"/>
    <x v="9"/>
    <n v="1"/>
    <s v="UP Vision"/>
    <s v="Puncho"/>
    <s v="Millau"/>
    <m/>
    <n v="15"/>
    <x v="15"/>
    <x v="7"/>
  </r>
  <r>
    <x v="0"/>
    <d v="1999-05-09T00:00:00"/>
    <x v="0"/>
    <x v="9"/>
    <n v="1"/>
    <s v="UP Vision"/>
    <m/>
    <s v="Pic d'Anden"/>
    <m/>
    <n v="6"/>
    <x v="0"/>
    <x v="7"/>
  </r>
  <r>
    <x v="0"/>
    <d v="1999-05-10T00:00:00"/>
    <x v="0"/>
    <x v="9"/>
    <n v="1"/>
    <s v="UP Vision"/>
    <m/>
    <s v="Pic d'Anden"/>
    <m/>
    <n v="25"/>
    <x v="52"/>
    <x v="7"/>
  </r>
  <r>
    <x v="0"/>
    <d v="1999-05-10T00:00:00"/>
    <x v="0"/>
    <x v="9"/>
    <n v="0"/>
    <s v="UP Vision"/>
    <m/>
    <s v="Pic d'Anden"/>
    <m/>
    <n v="5"/>
    <x v="2"/>
    <x v="7"/>
  </r>
  <r>
    <x v="0"/>
    <d v="1999-05-11T00:00:00"/>
    <x v="0"/>
    <x v="9"/>
    <n v="1"/>
    <s v="UP Vision"/>
    <s v="Puncho"/>
    <s v="Millau"/>
    <n v="1"/>
    <n v="19"/>
    <x v="53"/>
    <x v="7"/>
  </r>
  <r>
    <x v="0"/>
    <d v="1999-05-13T00:00:00"/>
    <x v="0"/>
    <x v="9"/>
    <n v="1"/>
    <s v="UP Vision"/>
    <s v="Brunas"/>
    <m/>
    <m/>
    <n v="4"/>
    <x v="7"/>
    <x v="7"/>
  </r>
  <r>
    <x v="0"/>
    <d v="1999-05-13T00:00:00"/>
    <x v="0"/>
    <x v="9"/>
    <n v="0"/>
    <s v="UP Vision"/>
    <s v="Brunas"/>
    <m/>
    <m/>
    <n v="4"/>
    <x v="7"/>
    <x v="7"/>
  </r>
  <r>
    <x v="0"/>
    <d v="1999-05-13T00:00:00"/>
    <x v="0"/>
    <x v="9"/>
    <n v="0"/>
    <s v="UP Vision"/>
    <s v="Puncho"/>
    <s v="Millau"/>
    <n v="1"/>
    <n v="8"/>
    <x v="54"/>
    <x v="7"/>
  </r>
  <r>
    <x v="0"/>
    <d v="1999-05-14T00:00:00"/>
    <x v="0"/>
    <x v="9"/>
    <n v="1"/>
    <s v="UP Vision"/>
    <s v="Puncho"/>
    <s v="Millau"/>
    <m/>
    <n v="6"/>
    <x v="0"/>
    <x v="7"/>
  </r>
  <r>
    <x v="0"/>
    <d v="1999-05-29T00:00:00"/>
    <x v="0"/>
    <x v="9"/>
    <n v="1"/>
    <s v="UP Vision"/>
    <s v="Stanserhorn"/>
    <s v="Wolfenschiessen"/>
    <n v="1"/>
    <n v="30"/>
    <x v="9"/>
    <x v="2"/>
  </r>
  <r>
    <x v="0"/>
    <d v="1999-06-24T00:00:00"/>
    <x v="1"/>
    <x v="9"/>
    <n v="1"/>
    <s v="UP Vision"/>
    <s v="Stanserhorn"/>
    <s v="Stans"/>
    <n v="1"/>
    <n v="30"/>
    <x v="9"/>
    <x v="2"/>
  </r>
  <r>
    <x v="0"/>
    <d v="1999-08-02T00:00:00"/>
    <x v="3"/>
    <x v="9"/>
    <n v="1"/>
    <s v="UP Vision"/>
    <s v="First"/>
    <s v="Grund"/>
    <m/>
    <n v="30"/>
    <x v="8"/>
    <x v="2"/>
  </r>
  <r>
    <x v="0"/>
    <d v="1999-08-07T00:00:00"/>
    <x v="3"/>
    <x v="9"/>
    <n v="1"/>
    <s v="Arcus 29"/>
    <s v="Heimat"/>
    <s v="Fieschertal"/>
    <n v="1"/>
    <n v="36"/>
    <x v="55"/>
    <x v="2"/>
  </r>
  <r>
    <x v="0"/>
    <d v="1999-08-08T00:00:00"/>
    <x v="3"/>
    <x v="9"/>
    <n v="1"/>
    <s v="Arcus 29"/>
    <s v="Brunni"/>
    <s v="Fieschertal"/>
    <m/>
    <n v="10"/>
    <x v="4"/>
    <x v="2"/>
  </r>
  <r>
    <x v="0"/>
    <d v="1999-09-10T00:00:00"/>
    <x v="4"/>
    <x v="9"/>
    <n v="1"/>
    <s v="UP Vision"/>
    <s v="Niederbauen"/>
    <s v="Emetten"/>
    <m/>
    <n v="10"/>
    <x v="4"/>
    <x v="2"/>
  </r>
  <r>
    <x v="0"/>
    <d v="1999-09-12T00:00:00"/>
    <x v="4"/>
    <x v="9"/>
    <n v="1"/>
    <s v="UP Vision"/>
    <s v="Stanserhorn"/>
    <s v="Stans"/>
    <n v="1"/>
    <n v="0"/>
    <x v="47"/>
    <x v="2"/>
  </r>
  <r>
    <x v="0"/>
    <d v="2000-04-10T00:00:00"/>
    <x v="9"/>
    <x v="10"/>
    <n v="1"/>
    <s v="Arcus XL"/>
    <s v="Brunni"/>
    <s v="Fieschertal"/>
    <m/>
    <n v="5"/>
    <x v="2"/>
    <x v="2"/>
  </r>
  <r>
    <x v="0"/>
    <d v="2000-05-08T00:00:00"/>
    <x v="0"/>
    <x v="10"/>
    <n v="1"/>
    <s v="Arcus XL"/>
    <s v="Brunni"/>
    <s v="Fieschertal"/>
    <m/>
    <n v="10"/>
    <x v="4"/>
    <x v="8"/>
  </r>
  <r>
    <x v="0"/>
    <d v="2000-05-08T00:00:00"/>
    <x v="0"/>
    <x v="10"/>
    <n v="0"/>
    <s v="Arcus XL"/>
    <s v="Brunni"/>
    <s v="Fieschertal"/>
    <m/>
    <n v="12"/>
    <x v="6"/>
    <x v="8"/>
  </r>
  <r>
    <x v="0"/>
    <d v="2000-05-09T00:00:00"/>
    <x v="0"/>
    <x v="10"/>
    <n v="1"/>
    <s v="Arcus XL"/>
    <s v="Heimat"/>
    <s v="Baschi"/>
    <n v="1"/>
    <n v="15"/>
    <x v="56"/>
    <x v="8"/>
  </r>
  <r>
    <x v="0"/>
    <d v="2000-05-10T00:00:00"/>
    <x v="0"/>
    <x v="10"/>
    <n v="1"/>
    <s v="Arcus XL"/>
    <s v="Mutti"/>
    <s v="Fieschertal"/>
    <m/>
    <n v="18"/>
    <x v="57"/>
    <x v="8"/>
  </r>
  <r>
    <x v="0"/>
    <d v="2000-05-14T00:00:00"/>
    <x v="0"/>
    <x v="10"/>
    <n v="1"/>
    <s v="Arcus XL"/>
    <s v="Stanserhorn"/>
    <s v="Wolfenschiessen"/>
    <n v="1"/>
    <n v="56"/>
    <x v="58"/>
    <x v="2"/>
  </r>
  <r>
    <x v="0"/>
    <d v="2000-05-15T00:00:00"/>
    <x v="0"/>
    <x v="10"/>
    <n v="1"/>
    <s v="Arcus XL"/>
    <s v="Niederbauen"/>
    <s v="Emetten"/>
    <m/>
    <n v="8"/>
    <x v="3"/>
    <x v="2"/>
  </r>
  <r>
    <x v="0"/>
    <d v="2000-05-23T00:00:00"/>
    <x v="0"/>
    <x v="10"/>
    <n v="1"/>
    <s v="Arcus XL"/>
    <s v="Stanserhorn"/>
    <s v="Stans"/>
    <m/>
    <n v="33"/>
    <x v="59"/>
    <x v="2"/>
  </r>
  <r>
    <x v="0"/>
    <d v="2000-05-24T00:00:00"/>
    <x v="0"/>
    <x v="10"/>
    <n v="1"/>
    <s v="Arcus XL"/>
    <s v="Stanserhorn"/>
    <s v="Stans"/>
    <m/>
    <n v="45"/>
    <x v="27"/>
    <x v="2"/>
  </r>
  <r>
    <x v="0"/>
    <d v="2000-06-01T00:00:00"/>
    <x v="1"/>
    <x v="10"/>
    <n v="1"/>
    <s v="Arcus XL"/>
    <s v="Stanserhorn"/>
    <s v="Stans"/>
    <n v="1"/>
    <n v="32"/>
    <x v="32"/>
    <x v="2"/>
  </r>
  <r>
    <x v="0"/>
    <d v="2000-06-03T00:00:00"/>
    <x v="1"/>
    <x v="10"/>
    <n v="1"/>
    <s v="Arcus XL"/>
    <s v="Fürenalp"/>
    <s v="Engelberg"/>
    <n v="1"/>
    <n v="11"/>
    <x v="60"/>
    <x v="2"/>
  </r>
  <r>
    <x v="0"/>
    <d v="2000-06-08T00:00:00"/>
    <x v="1"/>
    <x v="10"/>
    <n v="1"/>
    <s v="Arcus XL"/>
    <s v="Büelen"/>
    <s v="Grafenort"/>
    <m/>
    <n v="25"/>
    <x v="52"/>
    <x v="2"/>
  </r>
  <r>
    <x v="0"/>
    <d v="2000-06-08T00:00:00"/>
    <x v="1"/>
    <x v="10"/>
    <n v="0"/>
    <s v="Arcus XL"/>
    <s v="Stanserhorn"/>
    <s v="Stans"/>
    <m/>
    <n v="15"/>
    <x v="15"/>
    <x v="2"/>
  </r>
  <r>
    <x v="0"/>
    <d v="2000-06-17T00:00:00"/>
    <x v="1"/>
    <x v="10"/>
    <n v="1"/>
    <s v="Arcus XL"/>
    <s v="Stanserhorn"/>
    <s v="Stans"/>
    <n v="1"/>
    <n v="1"/>
    <x v="31"/>
    <x v="2"/>
  </r>
  <r>
    <x v="0"/>
    <d v="2000-06-19T00:00:00"/>
    <x v="1"/>
    <x v="10"/>
    <n v="1"/>
    <s v="Arcus XL"/>
    <s v="Brändlen"/>
    <s v="Wolfenschiessen"/>
    <m/>
    <n v="24"/>
    <x v="61"/>
    <x v="2"/>
  </r>
  <r>
    <x v="0"/>
    <d v="2000-06-19T00:00:00"/>
    <x v="1"/>
    <x v="10"/>
    <n v="0"/>
    <s v="Arcus XL"/>
    <s v="Stanserhorn"/>
    <s v="Stans"/>
    <m/>
    <n v="16"/>
    <x v="19"/>
    <x v="2"/>
  </r>
  <r>
    <x v="0"/>
    <d v="2000-07-02T00:00:00"/>
    <x v="2"/>
    <x v="10"/>
    <n v="1"/>
    <s v="Arcus XL"/>
    <s v="Stanserhorn"/>
    <s v="Stans"/>
    <m/>
    <n v="16"/>
    <x v="19"/>
    <x v="2"/>
  </r>
  <r>
    <x v="0"/>
    <d v="2000-07-06T00:00:00"/>
    <x v="2"/>
    <x v="10"/>
    <n v="1"/>
    <s v="Arcus XL"/>
    <s v="Niederbauen"/>
    <s v="Emetten"/>
    <m/>
    <n v="9"/>
    <x v="22"/>
    <x v="2"/>
  </r>
  <r>
    <x v="0"/>
    <d v="2000-07-21T00:00:00"/>
    <x v="2"/>
    <x v="10"/>
    <n v="1"/>
    <s v="Arcus XL"/>
    <s v="Niederbauen"/>
    <s v="Emetten"/>
    <m/>
    <n v="15"/>
    <x v="15"/>
    <x v="2"/>
  </r>
  <r>
    <x v="0"/>
    <d v="2000-07-21T00:00:00"/>
    <x v="2"/>
    <x v="10"/>
    <n v="0"/>
    <s v="Arcus XL"/>
    <s v="Stanserhorn"/>
    <s v="Stans"/>
    <n v="2"/>
    <n v="1"/>
    <x v="62"/>
    <x v="2"/>
  </r>
  <r>
    <x v="0"/>
    <d v="2000-07-22T00:00:00"/>
    <x v="2"/>
    <x v="10"/>
    <n v="1"/>
    <s v="Arcus XL"/>
    <s v="Stanserhorn"/>
    <s v="Stans"/>
    <n v="1"/>
    <n v="48"/>
    <x v="35"/>
    <x v="2"/>
  </r>
  <r>
    <x v="0"/>
    <d v="2000-07-27T00:00:00"/>
    <x v="2"/>
    <x v="10"/>
    <n v="1"/>
    <s v="Arcus XL"/>
    <s v="Niesen"/>
    <s v="Bad Heustrich"/>
    <m/>
    <n v="28"/>
    <x v="63"/>
    <x v="2"/>
  </r>
  <r>
    <x v="0"/>
    <d v="2000-07-31T00:00:00"/>
    <x v="2"/>
    <x v="10"/>
    <n v="1"/>
    <s v="Arcus XL"/>
    <s v="Brändlen"/>
    <s v="Wolfenschiessen"/>
    <n v="1"/>
    <n v="26"/>
    <x v="64"/>
    <x v="2"/>
  </r>
  <r>
    <x v="0"/>
    <d v="2000-08-01T00:00:00"/>
    <x v="3"/>
    <x v="10"/>
    <n v="1"/>
    <s v="Arcus XL"/>
    <s v="Stanserhorn"/>
    <s v="Stans"/>
    <m/>
    <n v="18"/>
    <x v="57"/>
    <x v="2"/>
  </r>
  <r>
    <x v="0"/>
    <d v="2000-08-10T00:00:00"/>
    <x v="3"/>
    <x v="10"/>
    <n v="1"/>
    <s v="Arcus XL"/>
    <s v="Brändlen"/>
    <s v="Wolfenschiessen"/>
    <m/>
    <n v="17"/>
    <x v="26"/>
    <x v="2"/>
  </r>
  <r>
    <x v="0"/>
    <d v="2000-08-11T00:00:00"/>
    <x v="3"/>
    <x v="10"/>
    <n v="1"/>
    <s v="Arcus XL"/>
    <s v="Brändlen"/>
    <s v="Wolfenschiessen"/>
    <n v="1"/>
    <n v="30"/>
    <x v="9"/>
    <x v="2"/>
  </r>
  <r>
    <x v="0"/>
    <d v="2000-08-11T00:00:00"/>
    <x v="3"/>
    <x v="10"/>
    <n v="0"/>
    <s v="Arcus XL"/>
    <s v="Stanserhorn"/>
    <s v="Stans"/>
    <n v="2"/>
    <n v="5"/>
    <x v="65"/>
    <x v="2"/>
  </r>
  <r>
    <x v="0"/>
    <d v="2000-08-15T00:00:00"/>
    <x v="3"/>
    <x v="10"/>
    <n v="1"/>
    <s v="Arcus XL"/>
    <s v="First"/>
    <s v="Bodmi"/>
    <m/>
    <n v="42"/>
    <x v="66"/>
    <x v="2"/>
  </r>
  <r>
    <x v="0"/>
    <d v="2000-08-23T00:00:00"/>
    <x v="3"/>
    <x v="10"/>
    <n v="1"/>
    <s v="Arcus XL"/>
    <s v="Stanserhorn"/>
    <s v="Stans"/>
    <m/>
    <n v="16"/>
    <x v="19"/>
    <x v="2"/>
  </r>
  <r>
    <x v="0"/>
    <d v="2000-08-23T00:00:00"/>
    <x v="3"/>
    <x v="10"/>
    <n v="0"/>
    <s v="Arcus XL"/>
    <s v="Stanserhorn"/>
    <s v="Stans"/>
    <m/>
    <n v="16"/>
    <x v="19"/>
    <x v="2"/>
  </r>
  <r>
    <x v="0"/>
    <d v="2000-09-11T00:00:00"/>
    <x v="4"/>
    <x v="10"/>
    <n v="1"/>
    <s v="Arcus XL"/>
    <s v="Stanserhorn"/>
    <s v="Stans"/>
    <m/>
    <n v="14"/>
    <x v="11"/>
    <x v="2"/>
  </r>
  <r>
    <x v="0"/>
    <d v="2001-04-01T00:00:00"/>
    <x v="9"/>
    <x v="11"/>
    <n v="1"/>
    <s v="Arcus XL"/>
    <s v="Corvatsch"/>
    <m/>
    <m/>
    <n v="10"/>
    <x v="4"/>
    <x v="2"/>
  </r>
  <r>
    <x v="0"/>
    <d v="2001-04-23T00:00:00"/>
    <x v="9"/>
    <x v="11"/>
    <n v="1"/>
    <s v="Arcus XL"/>
    <s v="Cimetta"/>
    <s v="Maggio"/>
    <m/>
    <n v="45"/>
    <x v="27"/>
    <x v="9"/>
  </r>
  <r>
    <x v="0"/>
    <d v="2001-04-23T00:00:00"/>
    <x v="9"/>
    <x v="11"/>
    <n v="0"/>
    <s v="Arcus XL"/>
    <s v="Cimetta"/>
    <s v="Arvigeno"/>
    <n v="1"/>
    <n v="0"/>
    <x v="47"/>
    <x v="9"/>
  </r>
  <r>
    <x v="0"/>
    <d v="2001-04-24T00:00:00"/>
    <x v="9"/>
    <x v="11"/>
    <n v="1"/>
    <s v="Arcus XL"/>
    <s v="Mte Lema"/>
    <s v="Sessa"/>
    <n v="2"/>
    <n v="45"/>
    <x v="67"/>
    <x v="9"/>
  </r>
  <r>
    <x v="0"/>
    <d v="2001-04-24T00:00:00"/>
    <x v="9"/>
    <x v="11"/>
    <n v="0"/>
    <s v="Arcus XL"/>
    <s v="Mte Lema"/>
    <s v="Sessa"/>
    <n v="1"/>
    <n v="15"/>
    <x v="56"/>
    <x v="9"/>
  </r>
  <r>
    <x v="0"/>
    <d v="2001-04-27T00:00:00"/>
    <x v="9"/>
    <x v="11"/>
    <n v="1"/>
    <s v="Arcus XL"/>
    <s v="Mte Lema"/>
    <s v="Talstation"/>
    <m/>
    <n v="12"/>
    <x v="6"/>
    <x v="9"/>
  </r>
  <r>
    <x v="0"/>
    <d v="2001-04-27T00:00:00"/>
    <x v="9"/>
    <x v="11"/>
    <n v="0"/>
    <s v="Arcus XL"/>
    <s v="Mte Lema"/>
    <s v="Talstation"/>
    <m/>
    <n v="18"/>
    <x v="57"/>
    <x v="9"/>
  </r>
  <r>
    <x v="0"/>
    <d v="2001-04-27T00:00:00"/>
    <x v="9"/>
    <x v="11"/>
    <n v="0"/>
    <s v="Arcus XL"/>
    <s v="Mte Lema"/>
    <s v="Talstation"/>
    <m/>
    <n v="10"/>
    <x v="4"/>
    <x v="9"/>
  </r>
  <r>
    <x v="0"/>
    <d v="2001-05-13T00:00:00"/>
    <x v="0"/>
    <x v="11"/>
    <n v="1"/>
    <s v="Arcus XL"/>
    <s v="Brändlen"/>
    <s v="Wolfenschiessen"/>
    <m/>
    <n v="12"/>
    <x v="6"/>
    <x v="2"/>
  </r>
  <r>
    <x v="0"/>
    <d v="2001-05-23T00:00:00"/>
    <x v="0"/>
    <x v="11"/>
    <n v="1"/>
    <s v="Arcus XL"/>
    <s v="Niederbauen"/>
    <s v="Emetten"/>
    <m/>
    <n v="12"/>
    <x v="6"/>
    <x v="2"/>
  </r>
  <r>
    <x v="0"/>
    <d v="2001-05-24T00:00:00"/>
    <x v="0"/>
    <x v="11"/>
    <n v="1"/>
    <s v="Arcus XL"/>
    <s v="Stanserhorn"/>
    <s v="Stans"/>
    <m/>
    <n v="15"/>
    <x v="15"/>
    <x v="2"/>
  </r>
  <r>
    <x v="0"/>
    <d v="2001-05-26T00:00:00"/>
    <x v="0"/>
    <x v="11"/>
    <n v="1"/>
    <s v="Arcus XL"/>
    <s v="Stanserhorn"/>
    <s v="Stans"/>
    <n v="1"/>
    <n v="32"/>
    <x v="32"/>
    <x v="2"/>
  </r>
  <r>
    <x v="0"/>
    <d v="2001-05-27T00:00:00"/>
    <x v="0"/>
    <x v="11"/>
    <n v="1"/>
    <s v="Arcus XL"/>
    <s v="Stanserhorn"/>
    <s v="Stans"/>
    <m/>
    <n v="56"/>
    <x v="68"/>
    <x v="2"/>
  </r>
  <r>
    <x v="0"/>
    <d v="2001-05-30T00:00:00"/>
    <x v="0"/>
    <x v="11"/>
    <n v="1"/>
    <s v="Arcus XL"/>
    <s v="Brändlen"/>
    <s v="Wolfenschiessen"/>
    <n v="1"/>
    <n v="44"/>
    <x v="69"/>
    <x v="2"/>
  </r>
  <r>
    <x v="0"/>
    <d v="2001-06-04T00:00:00"/>
    <x v="1"/>
    <x v="11"/>
    <n v="1"/>
    <s v="Arcus XL"/>
    <s v="Brändlen"/>
    <s v="Wolfenschiessen"/>
    <m/>
    <n v="36"/>
    <x v="39"/>
    <x v="2"/>
  </r>
  <r>
    <x v="0"/>
    <d v="2001-06-05T00:00:00"/>
    <x v="1"/>
    <x v="11"/>
    <n v="1"/>
    <s v="Arcus XL"/>
    <s v="Stanserhorn"/>
    <s v="Stans"/>
    <m/>
    <n v="16"/>
    <x v="19"/>
    <x v="2"/>
  </r>
  <r>
    <x v="0"/>
    <d v="2001-06-23T00:00:00"/>
    <x v="1"/>
    <x v="11"/>
    <n v="1"/>
    <s v="Arcus XL"/>
    <s v="Stanserhorn"/>
    <s v="Kerns"/>
    <m/>
    <n v="16"/>
    <x v="19"/>
    <x v="2"/>
  </r>
  <r>
    <x v="0"/>
    <d v="2001-06-24T00:00:00"/>
    <x v="1"/>
    <x v="11"/>
    <n v="1"/>
    <s v="Arcus XL"/>
    <s v="First"/>
    <s v="Bodmi"/>
    <n v="1"/>
    <n v="0"/>
    <x v="47"/>
    <x v="2"/>
  </r>
  <r>
    <x v="0"/>
    <d v="2001-06-25T00:00:00"/>
    <x v="1"/>
    <x v="11"/>
    <n v="1"/>
    <s v="UP Summit L"/>
    <s v="First"/>
    <s v="Bodmi"/>
    <m/>
    <n v="10"/>
    <x v="4"/>
    <x v="2"/>
  </r>
  <r>
    <x v="0"/>
    <d v="2001-06-25T00:00:00"/>
    <x v="1"/>
    <x v="11"/>
    <n v="0"/>
    <s v="UP Summit L"/>
    <s v="First"/>
    <s v="Bodmi"/>
    <n v="2"/>
    <n v="17"/>
    <x v="70"/>
    <x v="2"/>
  </r>
  <r>
    <x v="0"/>
    <d v="2001-07-25T00:00:00"/>
    <x v="2"/>
    <x v="11"/>
    <n v="1"/>
    <s v="Arcus XL"/>
    <s v="Venet"/>
    <s v="Zams"/>
    <m/>
    <n v="13"/>
    <x v="18"/>
    <x v="2"/>
  </r>
  <r>
    <x v="0"/>
    <d v="2001-07-29T00:00:00"/>
    <x v="2"/>
    <x v="11"/>
    <n v="1"/>
    <s v="Arcus XL"/>
    <s v="Venet"/>
    <s v="Zams"/>
    <m/>
    <n v="13"/>
    <x v="18"/>
    <x v="2"/>
  </r>
  <r>
    <x v="0"/>
    <d v="2001-07-30T00:00:00"/>
    <x v="2"/>
    <x v="11"/>
    <n v="1"/>
    <s v="Arcus XL"/>
    <s v="Stanserhorn"/>
    <s v="Stans"/>
    <n v="1"/>
    <n v="57"/>
    <x v="71"/>
    <x v="2"/>
  </r>
  <r>
    <x v="0"/>
    <d v="2001-07-31T00:00:00"/>
    <x v="2"/>
    <x v="11"/>
    <n v="1"/>
    <s v="Arcus XL"/>
    <s v="Stanserhorn"/>
    <s v="Stans"/>
    <m/>
    <n v="25"/>
    <x v="52"/>
    <x v="2"/>
  </r>
  <r>
    <x v="0"/>
    <d v="2001-08-14T00:00:00"/>
    <x v="3"/>
    <x v="11"/>
    <n v="1"/>
    <s v="Arcus XL"/>
    <s v="Stanserhorn"/>
    <s v="Stans"/>
    <m/>
    <n v="14"/>
    <x v="11"/>
    <x v="2"/>
  </r>
  <r>
    <x v="0"/>
    <d v="2001-08-18T00:00:00"/>
    <x v="3"/>
    <x v="11"/>
    <n v="1"/>
    <s v="Arcus XL"/>
    <s v="Brunni"/>
    <s v="Engelberg"/>
    <m/>
    <n v="2.4"/>
    <x v="72"/>
    <x v="2"/>
  </r>
  <r>
    <x v="0"/>
    <d v="2001-08-25T00:00:00"/>
    <x v="3"/>
    <x v="11"/>
    <n v="1"/>
    <s v="Arcus XL"/>
    <s v="Brunni"/>
    <s v="Engelberg"/>
    <m/>
    <n v="24"/>
    <x v="61"/>
    <x v="2"/>
  </r>
  <r>
    <x v="0"/>
    <d v="2001-08-25T00:00:00"/>
    <x v="3"/>
    <x v="11"/>
    <n v="0"/>
    <s v="Arcus XL"/>
    <s v="Brunni"/>
    <s v="Engelberg"/>
    <m/>
    <n v="27"/>
    <x v="34"/>
    <x v="2"/>
  </r>
  <r>
    <x v="0"/>
    <d v="2001-10-13T00:00:00"/>
    <x v="5"/>
    <x v="11"/>
    <n v="1"/>
    <s v="Arcus XL"/>
    <s v="Brunni"/>
    <s v="Engelberg"/>
    <m/>
    <n v="14"/>
    <x v="11"/>
    <x v="2"/>
  </r>
  <r>
    <x v="0"/>
    <d v="2002-04-01T00:00:00"/>
    <x v="9"/>
    <x v="12"/>
    <n v="1"/>
    <s v="Arcus XL"/>
    <s v="Renaz"/>
    <s v="Capt"/>
    <n v="2"/>
    <n v="0"/>
    <x v="10"/>
    <x v="10"/>
  </r>
  <r>
    <x v="0"/>
    <d v="2002-04-02T00:00:00"/>
    <x v="9"/>
    <x v="12"/>
    <n v="1"/>
    <s v="Arcus XL"/>
    <s v="St. Geniez"/>
    <s v="St. Geniez"/>
    <m/>
    <n v="10"/>
    <x v="4"/>
    <x v="10"/>
  </r>
  <r>
    <x v="0"/>
    <d v="2002-04-02T00:00:00"/>
    <x v="9"/>
    <x v="12"/>
    <n v="0"/>
    <s v="Arcus XL"/>
    <s v="St. Geniez"/>
    <s v="St. Geniez"/>
    <m/>
    <n v="15"/>
    <x v="15"/>
    <x v="10"/>
  </r>
  <r>
    <x v="0"/>
    <d v="2002-04-02T00:00:00"/>
    <x v="9"/>
    <x v="12"/>
    <n v="0"/>
    <s v="Arcus XL"/>
    <s v="St. Geniez"/>
    <s v="St. Geniez"/>
    <m/>
    <n v="51"/>
    <x v="21"/>
    <x v="10"/>
  </r>
  <r>
    <x v="0"/>
    <d v="2002-04-03T00:00:00"/>
    <x v="9"/>
    <x v="12"/>
    <n v="1"/>
    <s v="Arcus XL"/>
    <s v="St. Geniez"/>
    <s v="St. Geniez"/>
    <m/>
    <n v="5"/>
    <x v="2"/>
    <x v="10"/>
  </r>
  <r>
    <x v="0"/>
    <d v="2002-04-03T00:00:00"/>
    <x v="9"/>
    <x v="12"/>
    <n v="0"/>
    <s v="Arcus XL"/>
    <s v="St. Geniez"/>
    <s v="St. Geniez"/>
    <m/>
    <n v="5"/>
    <x v="2"/>
    <x v="10"/>
  </r>
  <r>
    <x v="0"/>
    <d v="2002-04-03T00:00:00"/>
    <x v="9"/>
    <x v="12"/>
    <n v="0"/>
    <s v="Arcus XL"/>
    <s v="Laragne"/>
    <s v="Notlandeplatz"/>
    <m/>
    <n v="8"/>
    <x v="3"/>
    <x v="10"/>
  </r>
  <r>
    <x v="0"/>
    <d v="2002-04-04T00:00:00"/>
    <x v="9"/>
    <x v="12"/>
    <n v="1"/>
    <s v="Arcus XL"/>
    <s v="Rahet de Beau Mont"/>
    <s v="Tesclaux"/>
    <n v="1"/>
    <n v="17"/>
    <x v="73"/>
    <x v="10"/>
  </r>
  <r>
    <x v="0"/>
    <d v="2002-04-05T00:00:00"/>
    <x v="9"/>
    <x v="12"/>
    <n v="1"/>
    <s v="Arcus XL"/>
    <s v="Plan fait"/>
    <s v="Tolloir"/>
    <m/>
    <n v="54"/>
    <x v="28"/>
    <x v="10"/>
  </r>
  <r>
    <x v="0"/>
    <d v="2002-04-05T00:00:00"/>
    <x v="9"/>
    <x v="12"/>
    <n v="0"/>
    <s v="Arcus XL"/>
    <s v="Plan fait"/>
    <s v="Tolloir"/>
    <m/>
    <n v="24"/>
    <x v="61"/>
    <x v="10"/>
  </r>
  <r>
    <x v="0"/>
    <d v="2002-04-05T00:00:00"/>
    <x v="9"/>
    <x v="12"/>
    <n v="0"/>
    <s v="Arcus XL"/>
    <s v="Plan fait"/>
    <s v="Tolloir"/>
    <m/>
    <n v="28"/>
    <x v="63"/>
    <x v="10"/>
  </r>
  <r>
    <x v="0"/>
    <d v="2002-05-06T00:00:00"/>
    <x v="0"/>
    <x v="12"/>
    <n v="1"/>
    <s v="Arcus XL"/>
    <s v="Brunni"/>
    <s v="Engelberg"/>
    <m/>
    <n v="15"/>
    <x v="15"/>
    <x v="2"/>
  </r>
  <r>
    <x v="0"/>
    <d v="2002-05-15T00:00:00"/>
    <x v="0"/>
    <x v="12"/>
    <n v="1"/>
    <s v="Arcus XL"/>
    <s v="Stanserhorn"/>
    <s v="Stans"/>
    <m/>
    <n v="18"/>
    <x v="57"/>
    <x v="2"/>
  </r>
  <r>
    <x v="0"/>
    <d v="2002-05-16T00:00:00"/>
    <x v="0"/>
    <x v="12"/>
    <n v="1"/>
    <s v="Arcus XL"/>
    <s v="Brändlen"/>
    <s v="Wolfenschiessen"/>
    <m/>
    <n v="14"/>
    <x v="11"/>
    <x v="2"/>
  </r>
  <r>
    <x v="0"/>
    <d v="2002-05-29T00:00:00"/>
    <x v="0"/>
    <x v="12"/>
    <n v="1"/>
    <s v="Arcus XL"/>
    <s v="Mte Lema"/>
    <s v="Carrago"/>
    <m/>
    <n v="45"/>
    <x v="27"/>
    <x v="9"/>
  </r>
  <r>
    <x v="0"/>
    <d v="2002-05-30T00:00:00"/>
    <x v="0"/>
    <x v="12"/>
    <n v="1"/>
    <s v="Arcus XL"/>
    <s v="Mte Generoso"/>
    <s v="Capolago"/>
    <n v="4"/>
    <n v="1"/>
    <x v="74"/>
    <x v="9"/>
  </r>
  <r>
    <x v="0"/>
    <d v="2002-05-31T00:00:00"/>
    <x v="0"/>
    <x v="12"/>
    <n v="1"/>
    <s v="Arcus XL"/>
    <s v="Cimetta"/>
    <s v="Fpz Ascona"/>
    <n v="1"/>
    <n v="50"/>
    <x v="36"/>
    <x v="9"/>
  </r>
  <r>
    <x v="0"/>
    <d v="2002-06-01T00:00:00"/>
    <x v="1"/>
    <x v="12"/>
    <n v="1"/>
    <s v="Arcus XL"/>
    <s v="Heimat"/>
    <s v="Fieschertal"/>
    <n v="3"/>
    <n v="10"/>
    <x v="75"/>
    <x v="2"/>
  </r>
  <r>
    <x v="0"/>
    <d v="2002-06-14T00:00:00"/>
    <x v="1"/>
    <x v="12"/>
    <n v="1"/>
    <s v="Arcus XL"/>
    <s v="Stanserhorn"/>
    <s v="Sachseln"/>
    <n v="1"/>
    <n v="41"/>
    <x v="76"/>
    <x v="2"/>
  </r>
  <r>
    <x v="0"/>
    <d v="2002-06-17T00:00:00"/>
    <x v="1"/>
    <x v="12"/>
    <n v="1"/>
    <s v="Arcus XL"/>
    <s v="Stanserhorn"/>
    <s v="Kerns"/>
    <m/>
    <n v="34"/>
    <x v="50"/>
    <x v="2"/>
  </r>
  <r>
    <x v="0"/>
    <d v="2002-06-18T00:00:00"/>
    <x v="1"/>
    <x v="12"/>
    <n v="1"/>
    <s v="Arcus XL"/>
    <s v="Stanserhorn"/>
    <s v="Kaiserstuhl"/>
    <n v="2"/>
    <n v="30"/>
    <x v="77"/>
    <x v="2"/>
  </r>
  <r>
    <x v="0"/>
    <d v="2002-06-19T00:00:00"/>
    <x v="1"/>
    <x v="12"/>
    <n v="1"/>
    <s v="Arcus XL"/>
    <s v="Stanserhorn"/>
    <s v="Stans"/>
    <n v="1"/>
    <n v="6"/>
    <x v="44"/>
    <x v="2"/>
  </r>
  <r>
    <x v="0"/>
    <d v="2002-06-29T00:00:00"/>
    <x v="1"/>
    <x v="12"/>
    <n v="1"/>
    <s v="Arcus XL"/>
    <s v="Büelen"/>
    <s v="Grafenort"/>
    <n v="2"/>
    <n v="8"/>
    <x v="78"/>
    <x v="2"/>
  </r>
  <r>
    <x v="0"/>
    <d v="2002-07-19T00:00:00"/>
    <x v="2"/>
    <x v="12"/>
    <n v="1"/>
    <s v="Arcus XL"/>
    <s v="First"/>
    <s v="Bodmi"/>
    <m/>
    <n v="18"/>
    <x v="57"/>
    <x v="2"/>
  </r>
  <r>
    <x v="0"/>
    <d v="2002-07-22T00:00:00"/>
    <x v="2"/>
    <x v="12"/>
    <n v="1"/>
    <s v="Arcus XL"/>
    <s v="Stanserhorn"/>
    <s v="Stans"/>
    <m/>
    <n v="49"/>
    <x v="79"/>
    <x v="2"/>
  </r>
  <r>
    <x v="0"/>
    <d v="2002-07-23T00:00:00"/>
    <x v="2"/>
    <x v="12"/>
    <n v="1"/>
    <s v="Arcus XL"/>
    <s v="First"/>
    <s v="Grund"/>
    <n v="1"/>
    <n v="28"/>
    <x v="80"/>
    <x v="2"/>
  </r>
  <r>
    <x v="0"/>
    <d v="2002-08-02T00:00:00"/>
    <x v="3"/>
    <x v="12"/>
    <n v="1"/>
    <s v="Arcus XL"/>
    <s v="Stanserhorn"/>
    <s v="Stans"/>
    <m/>
    <n v="19"/>
    <x v="20"/>
    <x v="2"/>
  </r>
  <r>
    <x v="0"/>
    <d v="2002-08-15T00:00:00"/>
    <x v="3"/>
    <x v="12"/>
    <n v="1"/>
    <s v="Arcus XL"/>
    <s v="Stanserhorn"/>
    <s v="Ennetmoos"/>
    <m/>
    <n v="18"/>
    <x v="57"/>
    <x v="2"/>
  </r>
  <r>
    <x v="0"/>
    <d v="2002-08-25T00:00:00"/>
    <x v="3"/>
    <x v="12"/>
    <n v="1"/>
    <s v="UP Gr M"/>
    <s v="First"/>
    <s v="Bodmi"/>
    <m/>
    <n v="15"/>
    <x v="15"/>
    <x v="2"/>
  </r>
  <r>
    <x v="0"/>
    <d v="2002-09-18T00:00:00"/>
    <x v="4"/>
    <x v="12"/>
    <n v="1"/>
    <s v="Arcus XL"/>
    <s v="Stanserhorn"/>
    <s v="Ennetmoos"/>
    <m/>
    <n v="18"/>
    <x v="57"/>
    <x v="2"/>
  </r>
  <r>
    <x v="0"/>
    <d v="2002-09-30T00:00:00"/>
    <x v="4"/>
    <x v="12"/>
    <n v="1"/>
    <s v="Arcus XL"/>
    <s v="Brändlen"/>
    <s v="Ennetmoos"/>
    <m/>
    <n v="14"/>
    <x v="11"/>
    <x v="2"/>
  </r>
  <r>
    <x v="0"/>
    <d v="2003-03-24T00:00:00"/>
    <x v="8"/>
    <x v="13"/>
    <n v="1"/>
    <s v="Arcus XL"/>
    <s v="Brunni"/>
    <s v="Wolfenschiessen"/>
    <n v="1"/>
    <n v="48"/>
    <x v="35"/>
    <x v="2"/>
  </r>
  <r>
    <x v="0"/>
    <d v="2003-03-26T00:00:00"/>
    <x v="8"/>
    <x v="13"/>
    <n v="1"/>
    <s v="Arcus XL"/>
    <s v="Brunni"/>
    <s v="Grafenort"/>
    <n v="2"/>
    <n v="15"/>
    <x v="81"/>
    <x v="2"/>
  </r>
  <r>
    <x v="0"/>
    <d v="2003-04-15T00:00:00"/>
    <x v="9"/>
    <x v="13"/>
    <n v="1"/>
    <s v="Arcus XL"/>
    <s v="Brunni"/>
    <s v="Engelberg"/>
    <m/>
    <n v="40"/>
    <x v="33"/>
    <x v="2"/>
  </r>
  <r>
    <x v="0"/>
    <d v="2003-04-18T00:00:00"/>
    <x v="9"/>
    <x v="13"/>
    <n v="1"/>
    <s v="Arcus XL"/>
    <s v="Brunni"/>
    <s v="Engelberg"/>
    <n v="2"/>
    <n v="5"/>
    <x v="65"/>
    <x v="2"/>
  </r>
  <r>
    <x v="0"/>
    <d v="2003-04-25T00:00:00"/>
    <x v="9"/>
    <x v="13"/>
    <n v="1"/>
    <s v="Arcus XL"/>
    <s v="Fürenalp"/>
    <s v="Grafenort"/>
    <n v="2"/>
    <n v="38"/>
    <x v="82"/>
    <x v="2"/>
  </r>
  <r>
    <x v="0"/>
    <d v="2003-05-04T00:00:00"/>
    <x v="0"/>
    <x v="13"/>
    <n v="1"/>
    <s v="Arcus XL"/>
    <s v="Fürenalp"/>
    <s v="Engelberg"/>
    <m/>
    <n v="19"/>
    <x v="20"/>
    <x v="2"/>
  </r>
  <r>
    <x v="0"/>
    <d v="2003-05-07T00:00:00"/>
    <x v="0"/>
    <x v="13"/>
    <n v="1"/>
    <s v="Arcus XL"/>
    <s v="Büelen"/>
    <s v="Grafenort"/>
    <m/>
    <n v="18"/>
    <x v="57"/>
    <x v="2"/>
  </r>
  <r>
    <x v="0"/>
    <d v="2003-05-25T00:00:00"/>
    <x v="0"/>
    <x v="13"/>
    <n v="1"/>
    <s v="Arcus XL"/>
    <s v="Gerlizen A"/>
    <s v="Ossiachersee West"/>
    <n v="2"/>
    <n v="25"/>
    <x v="83"/>
    <x v="11"/>
  </r>
  <r>
    <x v="0"/>
    <d v="2003-05-25T00:00:00"/>
    <x v="0"/>
    <x v="13"/>
    <n v="0"/>
    <s v="Arcus XL"/>
    <s v="Gerlizen A"/>
    <s v="Ossiachersee West"/>
    <n v="1"/>
    <n v="15"/>
    <x v="56"/>
    <x v="11"/>
  </r>
  <r>
    <x v="0"/>
    <d v="2003-05-26T00:00:00"/>
    <x v="0"/>
    <x v="13"/>
    <n v="1"/>
    <s v="Arcus XL"/>
    <s v="Gerlizen A"/>
    <s v="Ossiachersee West"/>
    <m/>
    <n v="55"/>
    <x v="84"/>
    <x v="11"/>
  </r>
  <r>
    <x v="0"/>
    <d v="2003-05-26T00:00:00"/>
    <x v="0"/>
    <x v="13"/>
    <n v="0"/>
    <s v="Arcus XL"/>
    <s v="Gerlizen A"/>
    <s v="Ossiachersee West"/>
    <m/>
    <n v="38"/>
    <x v="17"/>
    <x v="11"/>
  </r>
  <r>
    <x v="0"/>
    <d v="2003-05-28T00:00:00"/>
    <x v="0"/>
    <x v="13"/>
    <n v="1"/>
    <s v="Arcus XL"/>
    <s v="Gerlizen A"/>
    <s v="Ossiachersee West"/>
    <m/>
    <n v="29"/>
    <x v="85"/>
    <x v="11"/>
  </r>
  <r>
    <x v="0"/>
    <d v="2003-05-29T00:00:00"/>
    <x v="0"/>
    <x v="13"/>
    <n v="1"/>
    <s v="Arcus XL"/>
    <s v="Gerlizen A"/>
    <s v="Ossiachersee West"/>
    <n v="1"/>
    <n v="45"/>
    <x v="41"/>
    <x v="11"/>
  </r>
  <r>
    <x v="0"/>
    <d v="2003-05-30T00:00:00"/>
    <x v="0"/>
    <x v="13"/>
    <n v="1"/>
    <s v="Arcus XL"/>
    <s v="Gerlizen A"/>
    <s v="Ossiachersee West"/>
    <n v="2"/>
    <n v="30"/>
    <x v="77"/>
    <x v="11"/>
  </r>
  <r>
    <x v="0"/>
    <d v="2003-05-30T00:00:00"/>
    <x v="0"/>
    <x v="13"/>
    <n v="0"/>
    <s v="Arcus XL"/>
    <s v="Gerlizen A"/>
    <s v="Ossiachersee West"/>
    <n v="1"/>
    <n v="40"/>
    <x v="48"/>
    <x v="11"/>
  </r>
  <r>
    <x v="0"/>
    <d v="2003-06-01T00:00:00"/>
    <x v="1"/>
    <x v="13"/>
    <n v="1"/>
    <s v="Arcus XL"/>
    <s v="Stanserhorn"/>
    <s v="Wolfenschiessen"/>
    <n v="2"/>
    <n v="40"/>
    <x v="86"/>
    <x v="2"/>
  </r>
  <r>
    <x v="0"/>
    <d v="2003-06-10T00:00:00"/>
    <x v="1"/>
    <x v="13"/>
    <n v="1"/>
    <s v="Arcus XL"/>
    <s v="Stanserhorn"/>
    <s v="Stans"/>
    <n v="1"/>
    <n v="20"/>
    <x v="46"/>
    <x v="2"/>
  </r>
  <r>
    <x v="0"/>
    <d v="2003-06-14T00:00:00"/>
    <x v="1"/>
    <x v="13"/>
    <n v="1"/>
    <s v="Arcus XL"/>
    <s v="First"/>
    <s v="Bodmi"/>
    <n v="1"/>
    <n v="18"/>
    <x v="87"/>
    <x v="2"/>
  </r>
  <r>
    <x v="0"/>
    <d v="2003-06-19T00:00:00"/>
    <x v="1"/>
    <x v="13"/>
    <n v="1"/>
    <s v="Arcus XL"/>
    <s v="Stanserhorn"/>
    <s v="Stans"/>
    <m/>
    <n v="20"/>
    <x v="5"/>
    <x v="2"/>
  </r>
  <r>
    <x v="0"/>
    <d v="2003-06-21T00:00:00"/>
    <x v="1"/>
    <x v="13"/>
    <n v="1"/>
    <s v="Arcus XL"/>
    <s v="Fürenalp"/>
    <s v="Stans"/>
    <n v="1"/>
    <n v="12"/>
    <x v="88"/>
    <x v="2"/>
  </r>
  <r>
    <x v="0"/>
    <d v="2003-06-22T00:00:00"/>
    <x v="1"/>
    <x v="13"/>
    <n v="1"/>
    <s v="Arcus XL"/>
    <s v="Stanserhorn"/>
    <s v="Niederrickenbach"/>
    <m/>
    <n v="14"/>
    <x v="11"/>
    <x v="2"/>
  </r>
  <r>
    <x v="0"/>
    <d v="2003-06-29T00:00:00"/>
    <x v="1"/>
    <x v="13"/>
    <n v="1"/>
    <s v="Arcus XL"/>
    <s v="First"/>
    <s v="Bodmi"/>
    <m/>
    <n v="55"/>
    <x v="84"/>
    <x v="2"/>
  </r>
  <r>
    <x v="0"/>
    <d v="2003-07-11T00:00:00"/>
    <x v="2"/>
    <x v="13"/>
    <n v="1"/>
    <s v="Arcus XL"/>
    <s v="First"/>
    <s v="Aussenlandung"/>
    <m/>
    <n v="56"/>
    <x v="68"/>
    <x v="2"/>
  </r>
  <r>
    <x v="0"/>
    <d v="2003-07-12T00:00:00"/>
    <x v="2"/>
    <x v="13"/>
    <n v="1"/>
    <s v="Arcus XL"/>
    <s v="First"/>
    <s v="Bodmi"/>
    <n v="1"/>
    <n v="30"/>
    <x v="9"/>
    <x v="2"/>
  </r>
  <r>
    <x v="0"/>
    <d v="2003-07-30T00:00:00"/>
    <x v="2"/>
    <x v="13"/>
    <n v="1"/>
    <s v="Arcus XL"/>
    <s v="Lazid"/>
    <s v="Komperdell"/>
    <m/>
    <n v="7"/>
    <x v="1"/>
    <x v="2"/>
  </r>
  <r>
    <x v="0"/>
    <d v="2003-08-03T00:00:00"/>
    <x v="3"/>
    <x v="13"/>
    <n v="1"/>
    <s v="Arcus XL"/>
    <s v="First"/>
    <s v="Grund"/>
    <n v="3"/>
    <n v="32"/>
    <x v="89"/>
    <x v="2"/>
  </r>
  <r>
    <x v="2"/>
    <d v="2004-04-18T00:00:00"/>
    <x v="9"/>
    <x v="14"/>
    <n v="0"/>
    <m/>
    <m/>
    <m/>
    <m/>
    <m/>
    <x v="30"/>
    <x v="12"/>
  </r>
  <r>
    <x v="0"/>
    <d v="2004-05-15T00:00:00"/>
    <x v="0"/>
    <x v="14"/>
    <n v="1"/>
    <s v="Arcus XL"/>
    <s v="Büelen"/>
    <s v="Grafenort"/>
    <m/>
    <n v="50"/>
    <x v="40"/>
    <x v="2"/>
  </r>
  <r>
    <x v="0"/>
    <d v="2004-05-29T00:00:00"/>
    <x v="0"/>
    <x v="14"/>
    <n v="1"/>
    <s v="Arcus XL"/>
    <s v="Büelen"/>
    <s v="Grafenort"/>
    <n v="2"/>
    <n v="43"/>
    <x v="90"/>
    <x v="2"/>
  </r>
  <r>
    <x v="0"/>
    <d v="2004-05-30T00:00:00"/>
    <x v="0"/>
    <x v="14"/>
    <n v="1"/>
    <s v="Arcus XL"/>
    <s v="Brunni"/>
    <s v="Engelberg"/>
    <n v="1"/>
    <n v="22"/>
    <x v="91"/>
    <x v="2"/>
  </r>
  <r>
    <x v="0"/>
    <d v="2004-06-10T00:00:00"/>
    <x v="1"/>
    <x v="14"/>
    <n v="1"/>
    <s v="Arcus XL"/>
    <s v="First"/>
    <s v="Bodmi"/>
    <m/>
    <n v="23"/>
    <x v="92"/>
    <x v="2"/>
  </r>
  <r>
    <x v="0"/>
    <d v="2004-06-10T00:00:00"/>
    <x v="1"/>
    <x v="14"/>
    <n v="0"/>
    <s v="Arcus XL"/>
    <s v="First"/>
    <s v="Grund"/>
    <n v="2"/>
    <n v="29"/>
    <x v="93"/>
    <x v="2"/>
  </r>
  <r>
    <x v="0"/>
    <d v="2004-07-04T00:00:00"/>
    <x v="2"/>
    <x v="14"/>
    <n v="1"/>
    <s v="Arcus XL"/>
    <s v="Brunni"/>
    <s v="Engelberg"/>
    <n v="1"/>
    <n v="13"/>
    <x v="94"/>
    <x v="2"/>
  </r>
  <r>
    <x v="0"/>
    <d v="2004-07-18T00:00:00"/>
    <x v="2"/>
    <x v="14"/>
    <n v="1"/>
    <s v="Arcus XL"/>
    <s v="First"/>
    <s v="Grund"/>
    <m/>
    <n v="18"/>
    <x v="57"/>
    <x v="2"/>
  </r>
  <r>
    <x v="0"/>
    <d v="2004-07-28T00:00:00"/>
    <x v="2"/>
    <x v="14"/>
    <n v="1"/>
    <s v="Arcus XL"/>
    <s v="Büelen"/>
    <s v="Grafenort"/>
    <m/>
    <n v="58"/>
    <x v="95"/>
    <x v="2"/>
  </r>
  <r>
    <x v="0"/>
    <d v="2004-07-29T00:00:00"/>
    <x v="2"/>
    <x v="14"/>
    <n v="1"/>
    <s v="Arcus XL"/>
    <s v="First"/>
    <s v="Bodmi"/>
    <n v="1"/>
    <n v="54"/>
    <x v="96"/>
    <x v="2"/>
  </r>
  <r>
    <x v="0"/>
    <d v="2004-07-31T00:00:00"/>
    <x v="2"/>
    <x v="14"/>
    <n v="1"/>
    <s v="Arcus XL"/>
    <s v="First"/>
    <s v="Bodmi"/>
    <n v="1"/>
    <n v="36"/>
    <x v="55"/>
    <x v="2"/>
  </r>
  <r>
    <x v="0"/>
    <d v="2004-08-07T00:00:00"/>
    <x v="3"/>
    <x v="14"/>
    <n v="1"/>
    <s v="Arcus XL"/>
    <s v="First"/>
    <s v="Grund"/>
    <m/>
    <n v="21"/>
    <x v="97"/>
    <x v="2"/>
  </r>
  <r>
    <x v="0"/>
    <d v="2004-08-08T00:00:00"/>
    <x v="3"/>
    <x v="14"/>
    <n v="1"/>
    <s v="Arcus XL"/>
    <s v="First"/>
    <s v="Grund"/>
    <n v="1"/>
    <n v="53"/>
    <x v="98"/>
    <x v="2"/>
  </r>
  <r>
    <x v="0"/>
    <d v="2004-09-06T00:00:00"/>
    <x v="4"/>
    <x v="14"/>
    <n v="1"/>
    <s v="Arcus XL"/>
    <s v="First"/>
    <s v="Grund"/>
    <m/>
    <n v="57"/>
    <x v="49"/>
    <x v="2"/>
  </r>
  <r>
    <x v="2"/>
    <d v="2005-03-30T00:00:00"/>
    <x v="8"/>
    <x v="15"/>
    <n v="0"/>
    <m/>
    <m/>
    <m/>
    <m/>
    <m/>
    <x v="30"/>
    <x v="2"/>
  </r>
  <r>
    <x v="0"/>
    <d v="2005-04-04T00:00:00"/>
    <x v="9"/>
    <x v="15"/>
    <n v="1"/>
    <s v="Mistral 3"/>
    <s v="Heimat"/>
    <s v="Kühboden"/>
    <m/>
    <n v="44"/>
    <x v="99"/>
    <x v="8"/>
  </r>
  <r>
    <x v="0"/>
    <d v="2005-04-05T00:00:00"/>
    <x v="9"/>
    <x v="15"/>
    <n v="1"/>
    <s v="Mistral 3"/>
    <s v="Heimat"/>
    <s v="Heimat"/>
    <m/>
    <n v="11"/>
    <x v="14"/>
    <x v="8"/>
  </r>
  <r>
    <x v="0"/>
    <d v="2005-04-05T00:00:00"/>
    <x v="9"/>
    <x v="15"/>
    <n v="0"/>
    <s v="Mistral 3"/>
    <s v="Heimat"/>
    <s v="Baschi"/>
    <n v="1"/>
    <n v="16"/>
    <x v="100"/>
    <x v="8"/>
  </r>
  <r>
    <x v="0"/>
    <d v="2005-04-06T00:00:00"/>
    <x v="9"/>
    <x v="15"/>
    <n v="1"/>
    <s v="Mistral 3"/>
    <s v="Heimat"/>
    <s v="Kühboden"/>
    <m/>
    <n v="32"/>
    <x v="23"/>
    <x v="8"/>
  </r>
  <r>
    <x v="0"/>
    <d v="2005-04-30T00:00:00"/>
    <x v="9"/>
    <x v="15"/>
    <n v="1"/>
    <s v="Arcus XL"/>
    <s v="Büelen"/>
    <s v="Sachseln"/>
    <n v="2"/>
    <n v="29"/>
    <x v="93"/>
    <x v="2"/>
  </r>
  <r>
    <x v="0"/>
    <d v="2005-05-01T00:00:00"/>
    <x v="0"/>
    <x v="15"/>
    <n v="1"/>
    <s v="Arcus XL"/>
    <s v="Büelen"/>
    <s v="Grafenort"/>
    <m/>
    <n v="34"/>
    <x v="50"/>
    <x v="2"/>
  </r>
  <r>
    <x v="0"/>
    <d v="2005-05-28T00:00:00"/>
    <x v="0"/>
    <x v="15"/>
    <n v="1"/>
    <s v="Mistral 3"/>
    <s v="Stanserhorn"/>
    <s v="Stans"/>
    <n v="3"/>
    <n v="8"/>
    <x v="101"/>
    <x v="2"/>
  </r>
  <r>
    <x v="0"/>
    <d v="2005-05-29T00:00:00"/>
    <x v="0"/>
    <x v="15"/>
    <n v="1"/>
    <s v="Mistral 3"/>
    <s v="Stanserhorn"/>
    <s v="Stans"/>
    <m/>
    <n v="36"/>
    <x v="39"/>
    <x v="2"/>
  </r>
  <r>
    <x v="0"/>
    <d v="2005-06-11T00:00:00"/>
    <x v="1"/>
    <x v="15"/>
    <n v="1"/>
    <s v="Mistral 3"/>
    <s v="Stanserhorn"/>
    <s v="Wolfenschiessen"/>
    <n v="1"/>
    <n v="18"/>
    <x v="87"/>
    <x v="2"/>
  </r>
  <r>
    <x v="0"/>
    <d v="2005-06-18T00:00:00"/>
    <x v="1"/>
    <x v="15"/>
    <n v="1"/>
    <s v="Mistral 3"/>
    <s v="First"/>
    <s v="Grund"/>
    <m/>
    <n v="37"/>
    <x v="51"/>
    <x v="2"/>
  </r>
  <r>
    <x v="0"/>
    <d v="2005-06-19T00:00:00"/>
    <x v="1"/>
    <x v="15"/>
    <n v="1"/>
    <s v="Mistral 3"/>
    <s v="First"/>
    <s v="Grund"/>
    <n v="2"/>
    <n v="40"/>
    <x v="86"/>
    <x v="2"/>
  </r>
  <r>
    <x v="0"/>
    <d v="2005-06-26T00:00:00"/>
    <x v="1"/>
    <x v="15"/>
    <n v="1"/>
    <s v="Mistral 3"/>
    <s v="First"/>
    <s v="Grund"/>
    <n v="1"/>
    <n v="23"/>
    <x v="102"/>
    <x v="2"/>
  </r>
  <r>
    <x v="0"/>
    <d v="2005-07-17T00:00:00"/>
    <x v="2"/>
    <x v="15"/>
    <n v="1"/>
    <s v="Mistral 3"/>
    <s v="Stanserhorn"/>
    <s v="Stans"/>
    <m/>
    <n v="17"/>
    <x v="26"/>
    <x v="2"/>
  </r>
  <r>
    <x v="0"/>
    <d v="2005-07-20T00:00:00"/>
    <x v="2"/>
    <x v="15"/>
    <n v="1"/>
    <s v="Mistral 3"/>
    <s v="First"/>
    <s v="Grund"/>
    <m/>
    <n v="31"/>
    <x v="103"/>
    <x v="2"/>
  </r>
  <r>
    <x v="0"/>
    <d v="2005-07-27T00:00:00"/>
    <x v="2"/>
    <x v="15"/>
    <n v="1"/>
    <s v="Mistral 3"/>
    <s v="First"/>
    <s v="Grund"/>
    <n v="1"/>
    <n v="1"/>
    <x v="31"/>
    <x v="2"/>
  </r>
  <r>
    <x v="0"/>
    <d v="2005-07-28T00:00:00"/>
    <x v="2"/>
    <x v="15"/>
    <n v="1"/>
    <s v="Mistral 3"/>
    <s v="First"/>
    <s v="Grund"/>
    <n v="1"/>
    <n v="58"/>
    <x v="104"/>
    <x v="2"/>
  </r>
  <r>
    <x v="0"/>
    <d v="2005-09-12T00:00:00"/>
    <x v="4"/>
    <x v="15"/>
    <n v="1"/>
    <s v="Mistral 3"/>
    <s v="Rodella"/>
    <s v="Campitello"/>
    <m/>
    <n v="56"/>
    <x v="68"/>
    <x v="13"/>
  </r>
  <r>
    <x v="0"/>
    <d v="2005-09-12T00:00:00"/>
    <x v="4"/>
    <x v="15"/>
    <n v="0"/>
    <s v="Mistral 3"/>
    <s v="Belvedere"/>
    <s v="Campitello"/>
    <m/>
    <n v="17"/>
    <x v="26"/>
    <x v="13"/>
  </r>
  <r>
    <x v="0"/>
    <d v="2005-09-13T00:00:00"/>
    <x v="4"/>
    <x v="15"/>
    <n v="1"/>
    <s v="Mistral 3"/>
    <s v="Rodella"/>
    <s v="Campitello"/>
    <m/>
    <n v="9"/>
    <x v="22"/>
    <x v="13"/>
  </r>
  <r>
    <x v="0"/>
    <d v="2005-09-13T00:00:00"/>
    <x v="4"/>
    <x v="15"/>
    <n v="0"/>
    <s v="Mistral 3"/>
    <s v="Rodella"/>
    <s v="Canazei"/>
    <m/>
    <n v="11"/>
    <x v="14"/>
    <x v="13"/>
  </r>
  <r>
    <x v="0"/>
    <d v="2005-09-13T00:00:00"/>
    <x v="4"/>
    <x v="15"/>
    <n v="0"/>
    <s v="Mistral 3"/>
    <s v="Belvedere"/>
    <s v="Campitello"/>
    <m/>
    <n v="9"/>
    <x v="22"/>
    <x v="13"/>
  </r>
  <r>
    <x v="0"/>
    <d v="2005-09-14T00:00:00"/>
    <x v="4"/>
    <x v="15"/>
    <n v="1"/>
    <s v="Mistral 3"/>
    <s v="Rodella"/>
    <s v="Campitello"/>
    <m/>
    <n v="7"/>
    <x v="1"/>
    <x v="13"/>
  </r>
  <r>
    <x v="0"/>
    <d v="2005-09-15T00:00:00"/>
    <x v="4"/>
    <x v="15"/>
    <n v="1"/>
    <s v="Mistral 3"/>
    <s v="Rodella"/>
    <s v="Campitello"/>
    <n v="1"/>
    <n v="40"/>
    <x v="48"/>
    <x v="13"/>
  </r>
  <r>
    <x v="0"/>
    <d v="2005-09-15T00:00:00"/>
    <x v="4"/>
    <x v="15"/>
    <n v="0"/>
    <s v="Mistral 3"/>
    <s v="Belvedere"/>
    <s v="Campitello"/>
    <n v="1"/>
    <n v="1"/>
    <x v="31"/>
    <x v="13"/>
  </r>
  <r>
    <x v="0"/>
    <d v="2005-09-16T00:00:00"/>
    <x v="4"/>
    <x v="15"/>
    <n v="1"/>
    <s v="Mistral 3"/>
    <s v="Rodella"/>
    <s v="Bella Vista"/>
    <n v="1"/>
    <n v="18"/>
    <x v="87"/>
    <x v="13"/>
  </r>
  <r>
    <x v="0"/>
    <d v="2005-09-16T00:00:00"/>
    <x v="4"/>
    <x v="15"/>
    <n v="0"/>
    <s v="Mistral 3"/>
    <s v="Belvedere"/>
    <s v="Campitello"/>
    <m/>
    <n v="18"/>
    <x v="57"/>
    <x v="13"/>
  </r>
  <r>
    <x v="0"/>
    <d v="2005-09-24T00:00:00"/>
    <x v="4"/>
    <x v="15"/>
    <n v="1"/>
    <s v="Mistral 3"/>
    <s v="First"/>
    <s v="Grund"/>
    <n v="1"/>
    <n v="52"/>
    <x v="105"/>
    <x v="2"/>
  </r>
  <r>
    <x v="0"/>
    <d v="2005-10-10T00:00:00"/>
    <x v="5"/>
    <x v="15"/>
    <n v="1"/>
    <s v="Mistral 3"/>
    <s v="Heimat"/>
    <s v="Fieschertal"/>
    <m/>
    <n v="13"/>
    <x v="18"/>
    <x v="2"/>
  </r>
  <r>
    <x v="0"/>
    <d v="2005-10-12T00:00:00"/>
    <x v="5"/>
    <x v="15"/>
    <n v="1"/>
    <s v="Mistral 3"/>
    <s v="Heimat"/>
    <s v="Fiesch"/>
    <m/>
    <n v="12"/>
    <x v="6"/>
    <x v="2"/>
  </r>
  <r>
    <x v="0"/>
    <d v="2005-10-13T00:00:00"/>
    <x v="5"/>
    <x v="15"/>
    <n v="1"/>
    <s v="Mistral 3"/>
    <s v="Heimat"/>
    <s v="Fieschertal"/>
    <m/>
    <n v="13"/>
    <x v="18"/>
    <x v="2"/>
  </r>
  <r>
    <x v="0"/>
    <d v="2005-10-14T00:00:00"/>
    <x v="5"/>
    <x v="15"/>
    <n v="1"/>
    <s v="Mistral 3"/>
    <s v="Heimat"/>
    <s v="Fieschertal"/>
    <m/>
    <n v="31"/>
    <x v="103"/>
    <x v="2"/>
  </r>
  <r>
    <x v="0"/>
    <d v="2005-10-14T00:00:00"/>
    <x v="5"/>
    <x v="15"/>
    <n v="0"/>
    <s v="Mistral 3"/>
    <s v="Steibenkreuz"/>
    <s v="Fieschertal"/>
    <m/>
    <n v="23"/>
    <x v="92"/>
    <x v="2"/>
  </r>
  <r>
    <x v="0"/>
    <d v="2006-04-08T00:00:00"/>
    <x v="9"/>
    <x v="16"/>
    <n v="1"/>
    <s v="Mistral 3"/>
    <s v="Brunni"/>
    <s v="Engelberg"/>
    <n v="1"/>
    <n v="5"/>
    <x v="45"/>
    <x v="2"/>
  </r>
  <r>
    <x v="0"/>
    <d v="2006-04-22T00:00:00"/>
    <x v="9"/>
    <x v="16"/>
    <n v="1"/>
    <s v="Mistral 4"/>
    <s v="Büelen"/>
    <s v="Grafenort"/>
    <n v="1"/>
    <n v="19"/>
    <x v="53"/>
    <x v="2"/>
  </r>
  <r>
    <x v="0"/>
    <d v="2006-05-03T00:00:00"/>
    <x v="0"/>
    <x v="16"/>
    <n v="1"/>
    <s v="Mistral 4"/>
    <s v="Büelen"/>
    <s v="Grafenort"/>
    <n v="1"/>
    <n v="53"/>
    <x v="98"/>
    <x v="2"/>
  </r>
  <r>
    <x v="0"/>
    <d v="2006-06-10T00:00:00"/>
    <x v="1"/>
    <x v="16"/>
    <n v="1"/>
    <s v="Mistral 4"/>
    <s v="Büelen"/>
    <s v="Grafenort"/>
    <n v="1"/>
    <n v="30"/>
    <x v="9"/>
    <x v="2"/>
  </r>
  <r>
    <x v="0"/>
    <d v="2006-06-12T00:00:00"/>
    <x v="1"/>
    <x v="16"/>
    <n v="1"/>
    <s v="Mistral 4"/>
    <s v="Heimat"/>
    <s v="Baschi"/>
    <n v="2"/>
    <n v="0"/>
    <x v="10"/>
    <x v="8"/>
  </r>
  <r>
    <x v="0"/>
    <d v="2006-06-13T00:00:00"/>
    <x v="1"/>
    <x v="16"/>
    <n v="1"/>
    <s v="Mistral 4"/>
    <s v="Heimat"/>
    <s v="Fiesch"/>
    <m/>
    <n v="29"/>
    <x v="85"/>
    <x v="8"/>
  </r>
  <r>
    <x v="0"/>
    <d v="2006-06-13T00:00:00"/>
    <x v="1"/>
    <x v="16"/>
    <n v="0"/>
    <s v="Mistral 4"/>
    <s v="Heimat"/>
    <s v="Baschi"/>
    <n v="1"/>
    <n v="43"/>
    <x v="106"/>
    <x v="8"/>
  </r>
  <r>
    <x v="0"/>
    <d v="2006-06-14T00:00:00"/>
    <x v="1"/>
    <x v="16"/>
    <n v="1"/>
    <s v="Mistral 4"/>
    <s v="Heimat"/>
    <s v="Baschi"/>
    <n v="2"/>
    <n v="13"/>
    <x v="107"/>
    <x v="8"/>
  </r>
  <r>
    <x v="0"/>
    <d v="2006-06-15T00:00:00"/>
    <x v="1"/>
    <x v="16"/>
    <n v="1"/>
    <s v="Mistral 4"/>
    <s v="Heimat"/>
    <s v="Andermatt"/>
    <n v="2"/>
    <n v="35"/>
    <x v="108"/>
    <x v="8"/>
  </r>
  <r>
    <x v="0"/>
    <d v="2006-06-18T00:00:00"/>
    <x v="1"/>
    <x v="16"/>
    <n v="1"/>
    <s v="Mistral 4"/>
    <s v="Büelen"/>
    <s v="Grafenort"/>
    <m/>
    <n v="31"/>
    <x v="103"/>
    <x v="2"/>
  </r>
  <r>
    <x v="0"/>
    <d v="2006-06-24T00:00:00"/>
    <x v="1"/>
    <x v="16"/>
    <n v="1"/>
    <s v="Mistral 4"/>
    <s v="Stanserhorn"/>
    <s v="Stans"/>
    <m/>
    <n v="16"/>
    <x v="19"/>
    <x v="2"/>
  </r>
  <r>
    <x v="0"/>
    <d v="2006-07-02T00:00:00"/>
    <x v="2"/>
    <x v="16"/>
    <n v="1"/>
    <s v="Mistral 4"/>
    <s v="Axalp"/>
    <s v="Brienzersee"/>
    <m/>
    <n v="8"/>
    <x v="3"/>
    <x v="14"/>
  </r>
  <r>
    <x v="0"/>
    <d v="2006-07-19T00:00:00"/>
    <x v="2"/>
    <x v="16"/>
    <n v="1"/>
    <s v="Mistral 4"/>
    <s v="First"/>
    <s v="Wahlis"/>
    <n v="2"/>
    <n v="21"/>
    <x v="109"/>
    <x v="2"/>
  </r>
  <r>
    <x v="0"/>
    <d v="2006-07-20T00:00:00"/>
    <x v="2"/>
    <x v="16"/>
    <n v="1"/>
    <s v="Mistral 4"/>
    <s v="First"/>
    <s v="Wahlis"/>
    <n v="1"/>
    <n v="2"/>
    <x v="110"/>
    <x v="2"/>
  </r>
  <r>
    <x v="0"/>
    <d v="2006-07-21T00:00:00"/>
    <x v="2"/>
    <x v="16"/>
    <n v="1"/>
    <s v="Mistral 4"/>
    <s v="Brunni"/>
    <s v="Engelberg"/>
    <n v="1"/>
    <n v="12"/>
    <x v="88"/>
    <x v="2"/>
  </r>
  <r>
    <x v="0"/>
    <d v="2006-07-30T00:00:00"/>
    <x v="2"/>
    <x v="16"/>
    <n v="1"/>
    <s v="Mistral 4"/>
    <s v="Büelen"/>
    <s v="Grafenort"/>
    <n v="1"/>
    <n v="53"/>
    <x v="98"/>
    <x v="2"/>
  </r>
  <r>
    <x v="0"/>
    <d v="2006-09-10T00:00:00"/>
    <x v="4"/>
    <x v="16"/>
    <n v="1"/>
    <s v="Mistral 4"/>
    <s v="Rodella"/>
    <s v="Campitello"/>
    <m/>
    <n v="12"/>
    <x v="6"/>
    <x v="13"/>
  </r>
  <r>
    <x v="0"/>
    <d v="2006-09-10T00:00:00"/>
    <x v="4"/>
    <x v="16"/>
    <n v="0"/>
    <s v="Mistral 4"/>
    <s v="Rodella"/>
    <s v="Campitello"/>
    <n v="1"/>
    <n v="52"/>
    <x v="105"/>
    <x v="13"/>
  </r>
  <r>
    <x v="0"/>
    <d v="2006-09-10T00:00:00"/>
    <x v="4"/>
    <x v="16"/>
    <n v="0"/>
    <s v="Mistral 4"/>
    <s v="Belvedere"/>
    <s v="Campitello"/>
    <m/>
    <n v="10"/>
    <x v="4"/>
    <x v="13"/>
  </r>
  <r>
    <x v="0"/>
    <d v="2006-09-11T00:00:00"/>
    <x v="4"/>
    <x v="16"/>
    <n v="1"/>
    <s v="Mistral 4"/>
    <s v="Rodella"/>
    <s v="San Giovanni"/>
    <n v="1"/>
    <n v="51"/>
    <x v="111"/>
    <x v="13"/>
  </r>
  <r>
    <x v="0"/>
    <d v="2006-09-11T00:00:00"/>
    <x v="4"/>
    <x v="16"/>
    <n v="0"/>
    <s v="Mistral 4"/>
    <s v="Pecol"/>
    <s v="Campitello"/>
    <n v="1"/>
    <n v="1"/>
    <x v="31"/>
    <x v="13"/>
  </r>
  <r>
    <x v="0"/>
    <d v="2006-09-12T00:00:00"/>
    <x v="4"/>
    <x v="16"/>
    <n v="1"/>
    <s v="Mistral 4"/>
    <s v="Rodella"/>
    <s v="Campitello"/>
    <n v="1"/>
    <n v="32"/>
    <x v="32"/>
    <x v="13"/>
  </r>
  <r>
    <x v="0"/>
    <d v="2006-09-12T00:00:00"/>
    <x v="4"/>
    <x v="16"/>
    <n v="0"/>
    <s v="Mistral 4"/>
    <s v="Rosengarten"/>
    <s v="Campitello"/>
    <m/>
    <n v="56"/>
    <x v="68"/>
    <x v="13"/>
  </r>
  <r>
    <x v="0"/>
    <d v="2006-09-13T00:00:00"/>
    <x v="4"/>
    <x v="16"/>
    <n v="1"/>
    <s v="Mistral 4"/>
    <s v="Rodella"/>
    <s v="Campitello"/>
    <n v="2"/>
    <n v="44"/>
    <x v="112"/>
    <x v="13"/>
  </r>
  <r>
    <x v="0"/>
    <d v="2006-09-13T00:00:00"/>
    <x v="4"/>
    <x v="16"/>
    <n v="0"/>
    <s v="Mistral 4"/>
    <s v="Rosengarten"/>
    <s v="Karrerpass"/>
    <m/>
    <n v="7"/>
    <x v="1"/>
    <x v="13"/>
  </r>
  <r>
    <x v="0"/>
    <d v="2006-09-14T00:00:00"/>
    <x v="4"/>
    <x v="16"/>
    <n v="1"/>
    <s v="Mistral 4"/>
    <s v="Rodella"/>
    <s v="Campitello"/>
    <m/>
    <n v="10"/>
    <x v="4"/>
    <x v="13"/>
  </r>
  <r>
    <x v="0"/>
    <d v="2007-02-21T00:00:00"/>
    <x v="7"/>
    <x v="17"/>
    <n v="1"/>
    <s v="Mistral 4"/>
    <s v="First"/>
    <s v="Wahlis"/>
    <m/>
    <n v="40"/>
    <x v="33"/>
    <x v="2"/>
  </r>
  <r>
    <x v="0"/>
    <d v="2007-04-06T00:00:00"/>
    <x v="9"/>
    <x v="17"/>
    <n v="1"/>
    <s v="Mistral 4"/>
    <s v="Büelen"/>
    <s v="Grafenort"/>
    <m/>
    <n v="15"/>
    <x v="15"/>
    <x v="2"/>
  </r>
  <r>
    <x v="0"/>
    <d v="2007-04-07T00:00:00"/>
    <x v="9"/>
    <x v="17"/>
    <n v="1"/>
    <s v="Mistral 4"/>
    <s v="Büelen"/>
    <s v="Grafenort"/>
    <n v="1"/>
    <n v="25"/>
    <x v="113"/>
    <x v="2"/>
  </r>
  <r>
    <x v="0"/>
    <d v="2007-04-09T00:00:00"/>
    <x v="9"/>
    <x v="17"/>
    <n v="1"/>
    <s v="Mistral 4"/>
    <s v="First"/>
    <s v="Wahlis"/>
    <n v="1"/>
    <n v="4"/>
    <x v="38"/>
    <x v="2"/>
  </r>
  <r>
    <x v="3"/>
    <d v="2007-04-11T00:00:00"/>
    <x v="9"/>
    <x v="17"/>
    <n v="0"/>
    <s v="nano 14"/>
    <s v="Kühboden"/>
    <s v="Kühboden"/>
    <m/>
    <m/>
    <x v="30"/>
    <x v="2"/>
  </r>
  <r>
    <x v="0"/>
    <d v="2007-04-28T00:00:00"/>
    <x v="9"/>
    <x v="17"/>
    <n v="1"/>
    <s v="Mistral 4"/>
    <s v="Büelen"/>
    <s v="Grafenort"/>
    <m/>
    <n v="40"/>
    <x v="33"/>
    <x v="2"/>
  </r>
  <r>
    <x v="0"/>
    <d v="2007-05-19T00:00:00"/>
    <x v="0"/>
    <x v="17"/>
    <n v="1"/>
    <s v="Mistral 4"/>
    <s v="Brunni"/>
    <s v="Engelberg"/>
    <n v="1"/>
    <n v="32"/>
    <x v="32"/>
    <x v="2"/>
  </r>
  <r>
    <x v="0"/>
    <d v="2007-05-21T00:00:00"/>
    <x v="0"/>
    <x v="17"/>
    <n v="1"/>
    <s v="Mistral 4"/>
    <s v="Nudo"/>
    <s v="Laveno"/>
    <n v="1"/>
    <n v="3"/>
    <x v="25"/>
    <x v="9"/>
  </r>
  <r>
    <x v="0"/>
    <d v="2007-05-21T00:00:00"/>
    <x v="0"/>
    <x v="17"/>
    <n v="0"/>
    <s v="Mistral 4"/>
    <s v="Nudo"/>
    <s v="Laveno"/>
    <n v="2"/>
    <n v="7"/>
    <x v="114"/>
    <x v="9"/>
  </r>
  <r>
    <x v="0"/>
    <d v="2007-05-22T00:00:00"/>
    <x v="0"/>
    <x v="17"/>
    <n v="1"/>
    <s v="Mistral 4"/>
    <s v="Mte Lema"/>
    <s v="Sessa"/>
    <n v="1"/>
    <n v="36"/>
    <x v="55"/>
    <x v="9"/>
  </r>
  <r>
    <x v="0"/>
    <d v="2007-05-22T00:00:00"/>
    <x v="0"/>
    <x v="17"/>
    <n v="0"/>
    <s v="Mistral 4"/>
    <s v="Mte Lema"/>
    <s v="Sessa"/>
    <n v="1"/>
    <n v="16"/>
    <x v="100"/>
    <x v="9"/>
  </r>
  <r>
    <x v="0"/>
    <d v="2007-05-23T00:00:00"/>
    <x v="0"/>
    <x v="17"/>
    <n v="1"/>
    <s v="Mistral 4"/>
    <s v="Mte Generoso"/>
    <s v="Camping Paradiso"/>
    <n v="1"/>
    <n v="48"/>
    <x v="35"/>
    <x v="9"/>
  </r>
  <r>
    <x v="0"/>
    <d v="2007-05-23T00:00:00"/>
    <x v="0"/>
    <x v="17"/>
    <n v="0"/>
    <s v="Mistral 4"/>
    <s v="Mte Generoso"/>
    <s v="Camping Paradiso"/>
    <n v="1"/>
    <n v="23"/>
    <x v="102"/>
    <x v="9"/>
  </r>
  <r>
    <x v="0"/>
    <d v="2007-05-24T00:00:00"/>
    <x v="0"/>
    <x v="17"/>
    <n v="1"/>
    <s v="Mistral 4"/>
    <s v="Cimetta"/>
    <s v="Fpz Ascona"/>
    <m/>
    <n v="29"/>
    <x v="85"/>
    <x v="9"/>
  </r>
  <r>
    <x v="0"/>
    <d v="2007-05-24T00:00:00"/>
    <x v="0"/>
    <x v="17"/>
    <n v="0"/>
    <s v="Mistral 4"/>
    <s v="Cimetta"/>
    <s v="Fpz Ascona"/>
    <m/>
    <n v="29"/>
    <x v="85"/>
    <x v="9"/>
  </r>
  <r>
    <x v="0"/>
    <d v="2007-05-25T00:00:00"/>
    <x v="0"/>
    <x v="17"/>
    <n v="1"/>
    <s v="Mistral 4"/>
    <s v="Mutti"/>
    <s v="Fieschertal"/>
    <m/>
    <n v="19"/>
    <x v="20"/>
    <x v="2"/>
  </r>
  <r>
    <x v="0"/>
    <d v="2007-06-10T00:00:00"/>
    <x v="1"/>
    <x v="17"/>
    <n v="1"/>
    <s v="Mistral 4"/>
    <s v="Büelen"/>
    <s v="Grafenort"/>
    <m/>
    <n v="50"/>
    <x v="40"/>
    <x v="2"/>
  </r>
  <r>
    <x v="0"/>
    <d v="2007-06-17T00:00:00"/>
    <x v="1"/>
    <x v="17"/>
    <n v="1"/>
    <s v="Mistral 4"/>
    <s v="Brunni"/>
    <s v="Engelberg"/>
    <m/>
    <n v="50"/>
    <x v="40"/>
    <x v="2"/>
  </r>
  <r>
    <x v="0"/>
    <d v="2007-07-07T00:00:00"/>
    <x v="2"/>
    <x v="17"/>
    <n v="1"/>
    <s v="Mistral 4"/>
    <s v="Brändlen"/>
    <s v="Wolfenschiessen"/>
    <m/>
    <n v="32"/>
    <x v="23"/>
    <x v="2"/>
  </r>
  <r>
    <x v="0"/>
    <d v="2007-07-14T00:00:00"/>
    <x v="2"/>
    <x v="17"/>
    <n v="1"/>
    <s v="Mistral 4"/>
    <s v="First"/>
    <s v="Wahlis"/>
    <m/>
    <n v="41"/>
    <x v="115"/>
    <x v="2"/>
  </r>
  <r>
    <x v="0"/>
    <d v="2007-07-15T00:00:00"/>
    <x v="2"/>
    <x v="17"/>
    <n v="1"/>
    <s v="Mistral 4"/>
    <s v="First"/>
    <s v="Grund"/>
    <m/>
    <n v="51"/>
    <x v="21"/>
    <x v="2"/>
  </r>
  <r>
    <x v="0"/>
    <d v="2007-07-25T00:00:00"/>
    <x v="2"/>
    <x v="17"/>
    <n v="1"/>
    <s v="Mistral 4"/>
    <s v="First"/>
    <s v="Bodmi"/>
    <m/>
    <n v="22"/>
    <x v="42"/>
    <x v="2"/>
  </r>
  <r>
    <x v="0"/>
    <d v="2007-07-25T00:00:00"/>
    <x v="2"/>
    <x v="17"/>
    <n v="0"/>
    <s v="Mistral 4"/>
    <s v="First"/>
    <s v="Grund"/>
    <n v="1"/>
    <n v="9"/>
    <x v="116"/>
    <x v="2"/>
  </r>
  <r>
    <x v="0"/>
    <d v="2007-07-26T00:00:00"/>
    <x v="2"/>
    <x v="17"/>
    <n v="1"/>
    <s v="Mistral 4"/>
    <s v="First"/>
    <s v="Grund"/>
    <n v="2"/>
    <n v="4"/>
    <x v="117"/>
    <x v="2"/>
  </r>
  <r>
    <x v="0"/>
    <d v="2007-07-27T00:00:00"/>
    <x v="2"/>
    <x v="17"/>
    <n v="1"/>
    <s v="Mistral 4"/>
    <s v="First"/>
    <s v="Grund"/>
    <m/>
    <n v="21"/>
    <x v="97"/>
    <x v="2"/>
  </r>
  <r>
    <x v="0"/>
    <d v="2007-07-31T00:00:00"/>
    <x v="2"/>
    <x v="17"/>
    <n v="1"/>
    <s v="Mistral 4"/>
    <s v="First"/>
    <s v="Grund"/>
    <n v="1"/>
    <n v="2"/>
    <x v="110"/>
    <x v="2"/>
  </r>
  <r>
    <x v="0"/>
    <d v="2007-08-01T00:00:00"/>
    <x v="3"/>
    <x v="17"/>
    <n v="1"/>
    <s v="Mistral 4"/>
    <s v="First"/>
    <s v="Grund"/>
    <n v="1"/>
    <n v="9"/>
    <x v="116"/>
    <x v="2"/>
  </r>
  <r>
    <x v="0"/>
    <d v="2007-08-05T00:00:00"/>
    <x v="3"/>
    <x v="17"/>
    <n v="1"/>
    <s v="Mistral 4"/>
    <s v="Brunni"/>
    <s v="Engelberg"/>
    <m/>
    <n v="22"/>
    <x v="42"/>
    <x v="2"/>
  </r>
  <r>
    <x v="0"/>
    <d v="2007-08-25T00:00:00"/>
    <x v="3"/>
    <x v="17"/>
    <n v="1"/>
    <s v="Mistral 4"/>
    <s v="Brunni"/>
    <s v="Engelberg"/>
    <m/>
    <n v="41"/>
    <x v="115"/>
    <x v="2"/>
  </r>
  <r>
    <x v="0"/>
    <d v="2007-10-13T00:00:00"/>
    <x v="5"/>
    <x v="17"/>
    <n v="1"/>
    <s v="Mistral 4"/>
    <s v="Heimat"/>
    <s v="Fieschertal"/>
    <m/>
    <n v="15"/>
    <x v="15"/>
    <x v="2"/>
  </r>
  <r>
    <x v="0"/>
    <d v="2007-10-13T00:00:00"/>
    <x v="5"/>
    <x v="17"/>
    <n v="0"/>
    <s v="Mistral 4"/>
    <s v="Heimat"/>
    <s v="Fieschertal"/>
    <m/>
    <n v="15"/>
    <x v="15"/>
    <x v="2"/>
  </r>
  <r>
    <x v="0"/>
    <d v="2007-10-13T00:00:00"/>
    <x v="5"/>
    <x v="17"/>
    <n v="0"/>
    <s v="Mistral 4"/>
    <s v="Heimat"/>
    <s v="Fieschertal"/>
    <m/>
    <n v="14"/>
    <x v="11"/>
    <x v="2"/>
  </r>
  <r>
    <x v="0"/>
    <d v="2007-10-13T00:00:00"/>
    <x v="5"/>
    <x v="17"/>
    <n v="0"/>
    <s v="Mistral 4"/>
    <s v="Heimat"/>
    <s v="Fieschertal"/>
    <m/>
    <n v="14"/>
    <x v="11"/>
    <x v="2"/>
  </r>
  <r>
    <x v="0"/>
    <d v="2007-10-14T00:00:00"/>
    <x v="5"/>
    <x v="17"/>
    <n v="1"/>
    <s v="Mistral 4"/>
    <s v="Heimat"/>
    <s v="Fieschertal"/>
    <m/>
    <n v="16"/>
    <x v="19"/>
    <x v="2"/>
  </r>
  <r>
    <x v="0"/>
    <d v="2007-10-14T00:00:00"/>
    <x v="5"/>
    <x v="17"/>
    <n v="0"/>
    <s v="Mistral 4"/>
    <s v="Heimat"/>
    <s v="Fieschertal"/>
    <m/>
    <n v="16"/>
    <x v="19"/>
    <x v="2"/>
  </r>
  <r>
    <x v="0"/>
    <d v="2007-10-14T00:00:00"/>
    <x v="5"/>
    <x v="17"/>
    <n v="0"/>
    <s v="Mistral 4"/>
    <s v="Heimat"/>
    <s v="Fieschertal"/>
    <m/>
    <n v="16"/>
    <x v="19"/>
    <x v="2"/>
  </r>
  <r>
    <x v="0"/>
    <d v="2007-10-27T00:00:00"/>
    <x v="5"/>
    <x v="17"/>
    <n v="1"/>
    <s v="Mistral 4"/>
    <s v="Mte Mim /Annecy"/>
    <s v="Doussard"/>
    <m/>
    <n v="10"/>
    <x v="4"/>
    <x v="5"/>
  </r>
  <r>
    <x v="0"/>
    <d v="2007-10-28T00:00:00"/>
    <x v="5"/>
    <x v="17"/>
    <n v="1"/>
    <s v="Mistral 4"/>
    <s v="Chalves S"/>
    <s v="St. André"/>
    <m/>
    <n v="12"/>
    <x v="6"/>
    <x v="5"/>
  </r>
  <r>
    <x v="0"/>
    <d v="2007-10-28T00:00:00"/>
    <x v="5"/>
    <x v="17"/>
    <n v="0"/>
    <s v="Mistral 4"/>
    <s v="Chalves W"/>
    <s v="St. André"/>
    <n v="2"/>
    <n v="4"/>
    <x v="117"/>
    <x v="5"/>
  </r>
  <r>
    <x v="0"/>
    <d v="2007-10-29T00:00:00"/>
    <x v="5"/>
    <x v="17"/>
    <n v="1"/>
    <s v="Mistral 4"/>
    <s v="Chalves S"/>
    <s v="St. André"/>
    <m/>
    <n v="10"/>
    <x v="4"/>
    <x v="5"/>
  </r>
  <r>
    <x v="0"/>
    <d v="2007-10-29T00:00:00"/>
    <x v="5"/>
    <x v="17"/>
    <n v="0"/>
    <s v="Mistral 4"/>
    <s v="Chalves S"/>
    <s v="St. André"/>
    <n v="3"/>
    <n v="10"/>
    <x v="75"/>
    <x v="5"/>
  </r>
  <r>
    <x v="0"/>
    <d v="2007-10-30T00:00:00"/>
    <x v="5"/>
    <x v="17"/>
    <n v="1"/>
    <s v="Mistral 4"/>
    <s v="Chalves S"/>
    <s v="St. André"/>
    <m/>
    <n v="6"/>
    <x v="0"/>
    <x v="5"/>
  </r>
  <r>
    <x v="0"/>
    <d v="2007-10-30T00:00:00"/>
    <x v="5"/>
    <x v="17"/>
    <n v="0"/>
    <s v="Mistral 4"/>
    <s v="Gourdon/Site de l'ambarniere"/>
    <s v="Les Vallettes/Bar sur loup"/>
    <m/>
    <n v="16"/>
    <x v="19"/>
    <x v="5"/>
  </r>
  <r>
    <x v="0"/>
    <d v="2007-10-31T00:00:00"/>
    <x v="5"/>
    <x v="17"/>
    <n v="1"/>
    <s v="Mistral 4"/>
    <s v="Mt Gros"/>
    <s v="Roque brunnes"/>
    <m/>
    <n v="7"/>
    <x v="1"/>
    <x v="5"/>
  </r>
  <r>
    <x v="0"/>
    <d v="2007-11-01T00:00:00"/>
    <x v="6"/>
    <x v="17"/>
    <n v="1"/>
    <s v="Mistral 4"/>
    <s v="Mt Gros"/>
    <s v="Roque brunnes"/>
    <m/>
    <n v="21"/>
    <x v="97"/>
    <x v="5"/>
  </r>
  <r>
    <x v="0"/>
    <d v="2007-11-01T00:00:00"/>
    <x v="6"/>
    <x v="17"/>
    <n v="0"/>
    <s v="Mistral 4"/>
    <s v="Mt Gros"/>
    <s v="Roque brunnes"/>
    <m/>
    <n v="12"/>
    <x v="6"/>
    <x v="5"/>
  </r>
  <r>
    <x v="0"/>
    <d v="2007-11-02T00:00:00"/>
    <x v="6"/>
    <x v="17"/>
    <n v="1"/>
    <s v="Mistral 4"/>
    <s v="Mt Gros"/>
    <s v="Roque brunnes"/>
    <n v="1"/>
    <n v="11"/>
    <x v="60"/>
    <x v="5"/>
  </r>
  <r>
    <x v="0"/>
    <d v="2007-11-02T00:00:00"/>
    <x v="6"/>
    <x v="17"/>
    <n v="0"/>
    <s v="Mistral 4"/>
    <s v="Mt Gros"/>
    <s v="Roque brunnes"/>
    <m/>
    <n v="9"/>
    <x v="22"/>
    <x v="5"/>
  </r>
  <r>
    <x v="3"/>
    <d v="2008-02-07T00:00:00"/>
    <x v="7"/>
    <x v="18"/>
    <n v="0"/>
    <s v="nano 14"/>
    <s v="Heimat"/>
    <s v="Heimat"/>
    <m/>
    <m/>
    <x v="30"/>
    <x v="2"/>
  </r>
  <r>
    <x v="3"/>
    <d v="2008-02-08T00:00:00"/>
    <x v="7"/>
    <x v="18"/>
    <n v="0"/>
    <s v="nano 14"/>
    <s v="Eggishorn"/>
    <s v="Fieschertal"/>
    <m/>
    <m/>
    <x v="30"/>
    <x v="2"/>
  </r>
  <r>
    <x v="0"/>
    <d v="2008-02-09T00:00:00"/>
    <x v="7"/>
    <x v="18"/>
    <n v="1"/>
    <s v="Mistral 4"/>
    <s v="Heimat"/>
    <s v="Fieschertal"/>
    <m/>
    <n v="30"/>
    <x v="8"/>
    <x v="2"/>
  </r>
  <r>
    <x v="3"/>
    <d v="2008-02-10T00:00:00"/>
    <x v="7"/>
    <x v="18"/>
    <n v="0"/>
    <s v="savage13"/>
    <s v="Eggishorn/Steiberkreuz"/>
    <m/>
    <m/>
    <m/>
    <x v="30"/>
    <x v="2"/>
  </r>
  <r>
    <x v="3"/>
    <d v="2008-02-15T00:00:00"/>
    <x v="7"/>
    <x v="18"/>
    <n v="0"/>
    <s v="savage13"/>
    <s v="Kühboden"/>
    <m/>
    <m/>
    <m/>
    <x v="30"/>
    <x v="2"/>
  </r>
  <r>
    <x v="3"/>
    <d v="2008-02-16T00:00:00"/>
    <x v="7"/>
    <x v="18"/>
    <n v="0"/>
    <s v="savage13"/>
    <s v="Steibenkreuz"/>
    <m/>
    <m/>
    <m/>
    <x v="30"/>
    <x v="2"/>
  </r>
  <r>
    <x v="0"/>
    <d v="2008-02-17T00:00:00"/>
    <x v="7"/>
    <x v="18"/>
    <n v="1"/>
    <s v="Mistral 4"/>
    <s v="Heimat"/>
    <s v="Fieschertal"/>
    <m/>
    <n v="42"/>
    <x v="66"/>
    <x v="2"/>
  </r>
  <r>
    <x v="3"/>
    <d v="2008-02-17T00:00:00"/>
    <x v="7"/>
    <x v="18"/>
    <n v="0"/>
    <s v="savage13"/>
    <s v="Eggishorn"/>
    <m/>
    <m/>
    <m/>
    <x v="30"/>
    <x v="2"/>
  </r>
  <r>
    <x v="3"/>
    <d v="2008-03-28T00:00:00"/>
    <x v="8"/>
    <x v="18"/>
    <n v="0"/>
    <s v="savage13"/>
    <s v="Eggishorn"/>
    <m/>
    <m/>
    <m/>
    <x v="30"/>
    <x v="2"/>
  </r>
  <r>
    <x v="0"/>
    <d v="2008-03-28T00:00:00"/>
    <x v="8"/>
    <x v="18"/>
    <n v="1"/>
    <s v="Mistral 4"/>
    <s v="Heimat"/>
    <s v="Fieschertal"/>
    <m/>
    <n v="43"/>
    <x v="118"/>
    <x v="8"/>
  </r>
  <r>
    <x v="0"/>
    <d v="2008-03-29T00:00:00"/>
    <x v="8"/>
    <x v="18"/>
    <n v="1"/>
    <s v="Mistral 4"/>
    <s v="Heimat"/>
    <s v="Heimat"/>
    <m/>
    <n v="56"/>
    <x v="68"/>
    <x v="8"/>
  </r>
  <r>
    <x v="0"/>
    <d v="2008-03-29T00:00:00"/>
    <x v="8"/>
    <x v="18"/>
    <n v="0"/>
    <s v="Mistral 4"/>
    <s v="Heimat"/>
    <s v="Fieschertal"/>
    <m/>
    <n v="35"/>
    <x v="119"/>
    <x v="8"/>
  </r>
  <r>
    <x v="0"/>
    <d v="2008-04-01T00:00:00"/>
    <x v="9"/>
    <x v="18"/>
    <n v="1"/>
    <s v="Mistral 4"/>
    <s v="Heimat"/>
    <s v="Fieschertal"/>
    <n v="1"/>
    <n v="54"/>
    <x v="96"/>
    <x v="8"/>
  </r>
  <r>
    <x v="0"/>
    <d v="2008-04-20T00:00:00"/>
    <x v="9"/>
    <x v="18"/>
    <n v="1"/>
    <s v="Rush2/M"/>
    <s v="obere Wengi"/>
    <s v="Matzendorf"/>
    <m/>
    <n v="4"/>
    <x v="7"/>
    <x v="2"/>
  </r>
  <r>
    <x v="0"/>
    <d v="2008-04-20T00:00:00"/>
    <x v="9"/>
    <x v="18"/>
    <n v="0"/>
    <s v="Astral 5 / 28"/>
    <s v="Sonnenberg"/>
    <s v="Matzendorf"/>
    <m/>
    <n v="8"/>
    <x v="3"/>
    <x v="2"/>
  </r>
  <r>
    <x v="0"/>
    <d v="2008-04-20T00:00:00"/>
    <x v="9"/>
    <x v="18"/>
    <n v="0"/>
    <s v="Ozone 7 / L"/>
    <s v="Sonnenberg"/>
    <s v="Matzendorf"/>
    <m/>
    <n v="25"/>
    <x v="52"/>
    <x v="2"/>
  </r>
  <r>
    <x v="0"/>
    <d v="2008-04-27T00:00:00"/>
    <x v="9"/>
    <x v="18"/>
    <n v="1"/>
    <s v="Mistral 4"/>
    <s v="Mte Rosso"/>
    <s v="Mte Rosso Meer"/>
    <m/>
    <n v="18"/>
    <x v="57"/>
    <x v="15"/>
  </r>
  <r>
    <x v="0"/>
    <d v="2008-04-27T00:00:00"/>
    <x v="9"/>
    <x v="18"/>
    <n v="0"/>
    <s v="Mistral 4"/>
    <s v="Pizzorne"/>
    <s v="Matria / Lucca"/>
    <m/>
    <n v="12"/>
    <x v="6"/>
    <x v="15"/>
  </r>
  <r>
    <x v="0"/>
    <d v="2008-04-28T00:00:00"/>
    <x v="9"/>
    <x v="18"/>
    <n v="1"/>
    <s v="Mistral 4"/>
    <s v="Pizzorne"/>
    <s v="Matria / Lucca"/>
    <m/>
    <n v="11"/>
    <x v="14"/>
    <x v="15"/>
  </r>
  <r>
    <x v="0"/>
    <d v="2008-04-28T00:00:00"/>
    <x v="9"/>
    <x v="18"/>
    <n v="0"/>
    <s v="Mistral 4"/>
    <s v="Pizzorne"/>
    <s v="Matria / Lucca"/>
    <m/>
    <n v="55"/>
    <x v="84"/>
    <x v="15"/>
  </r>
  <r>
    <x v="0"/>
    <d v="2008-04-30T00:00:00"/>
    <x v="9"/>
    <x v="18"/>
    <n v="1"/>
    <s v="Mistral 4"/>
    <s v="Diezimo"/>
    <s v="Diezimo"/>
    <m/>
    <n v="28"/>
    <x v="63"/>
    <x v="15"/>
  </r>
  <r>
    <x v="0"/>
    <d v="2008-05-01T00:00:00"/>
    <x v="0"/>
    <x v="18"/>
    <n v="1"/>
    <s v="Mistral 4"/>
    <s v="Pizzorne"/>
    <s v="Matria / Lucca"/>
    <n v="1"/>
    <n v="12"/>
    <x v="88"/>
    <x v="15"/>
  </r>
  <r>
    <x v="0"/>
    <d v="2008-05-01T00:00:00"/>
    <x v="0"/>
    <x v="18"/>
    <n v="0"/>
    <s v="Mistral 4"/>
    <s v="Pizzorne"/>
    <s v="Matria / Lucca"/>
    <m/>
    <n v="15"/>
    <x v="15"/>
    <x v="15"/>
  </r>
  <r>
    <x v="0"/>
    <d v="2008-05-02T00:00:00"/>
    <x v="0"/>
    <x v="18"/>
    <n v="1"/>
    <s v="Mistral 4"/>
    <s v="Pizzorne"/>
    <s v="Matria / Lucca"/>
    <m/>
    <n v="13"/>
    <x v="18"/>
    <x v="15"/>
  </r>
  <r>
    <x v="0"/>
    <d v="2008-05-02T00:00:00"/>
    <x v="0"/>
    <x v="18"/>
    <n v="0"/>
    <s v="Mistral 4"/>
    <s v="Prato Fiori"/>
    <s v="Prato Fiori"/>
    <n v="1"/>
    <n v="5"/>
    <x v="45"/>
    <x v="15"/>
  </r>
  <r>
    <x v="0"/>
    <d v="2008-05-02T00:00:00"/>
    <x v="0"/>
    <x v="18"/>
    <n v="0"/>
    <s v="Mistral 4"/>
    <s v="Diezimo"/>
    <s v="Diezimo"/>
    <m/>
    <n v="59"/>
    <x v="120"/>
    <x v="15"/>
  </r>
  <r>
    <x v="0"/>
    <d v="2008-05-11T00:00:00"/>
    <x v="0"/>
    <x v="18"/>
    <n v="1"/>
    <s v="Mistral 4"/>
    <s v="Büelen"/>
    <s v="Grafenort"/>
    <m/>
    <n v="16"/>
    <x v="19"/>
    <x v="2"/>
  </r>
  <r>
    <x v="0"/>
    <d v="2008-05-12T00:00:00"/>
    <x v="0"/>
    <x v="18"/>
    <n v="1"/>
    <s v="Mistral 4"/>
    <s v="Gummen"/>
    <s v="Dallenwil"/>
    <m/>
    <n v="57"/>
    <x v="49"/>
    <x v="2"/>
  </r>
  <r>
    <x v="0"/>
    <d v="2008-05-23T00:00:00"/>
    <x v="0"/>
    <x v="18"/>
    <n v="1"/>
    <s v="Mistral 4"/>
    <s v="First"/>
    <s v="Grund"/>
    <m/>
    <n v="30"/>
    <x v="8"/>
    <x v="2"/>
  </r>
  <r>
    <x v="0"/>
    <d v="2008-06-21T00:00:00"/>
    <x v="1"/>
    <x v="18"/>
    <n v="1"/>
    <s v="Mistral 4"/>
    <s v="Heimat"/>
    <s v="Baschi"/>
    <n v="2"/>
    <n v="23"/>
    <x v="121"/>
    <x v="2"/>
  </r>
  <r>
    <x v="0"/>
    <d v="2008-06-22T00:00:00"/>
    <x v="1"/>
    <x v="18"/>
    <n v="1"/>
    <s v="Mistral 4"/>
    <s v="Heimat"/>
    <s v="Fieschertal"/>
    <n v="2"/>
    <n v="9"/>
    <x v="122"/>
    <x v="2"/>
  </r>
  <r>
    <x v="0"/>
    <d v="2008-06-28T00:00:00"/>
    <x v="1"/>
    <x v="18"/>
    <n v="1"/>
    <s v="Mistral 4"/>
    <s v="Heimat"/>
    <s v="Fieschertal"/>
    <n v="1"/>
    <n v="2"/>
    <x v="110"/>
    <x v="2"/>
  </r>
  <r>
    <x v="0"/>
    <d v="2008-06-29T00:00:00"/>
    <x v="1"/>
    <x v="18"/>
    <n v="1"/>
    <s v="Mistral 4"/>
    <s v="Heimat"/>
    <s v="Fieschertal"/>
    <m/>
    <n v="51"/>
    <x v="21"/>
    <x v="2"/>
  </r>
  <r>
    <x v="0"/>
    <d v="2008-07-04T00:00:00"/>
    <x v="2"/>
    <x v="18"/>
    <n v="1"/>
    <s v="Mistral 4"/>
    <s v="Heimat"/>
    <s v="Fieschertal"/>
    <n v="1"/>
    <n v="34"/>
    <x v="13"/>
    <x v="2"/>
  </r>
  <r>
    <x v="0"/>
    <d v="2008-07-05T00:00:00"/>
    <x v="2"/>
    <x v="18"/>
    <n v="1"/>
    <s v="Mistral 4"/>
    <s v="Axalp"/>
    <s v="Brienzersee"/>
    <m/>
    <n v="8"/>
    <x v="3"/>
    <x v="14"/>
  </r>
  <r>
    <x v="0"/>
    <d v="2008-07-19T00:00:00"/>
    <x v="2"/>
    <x v="18"/>
    <n v="1"/>
    <s v="Sigma 7"/>
    <s v="Heimat"/>
    <s v="Fieschertal"/>
    <m/>
    <n v="28"/>
    <x v="63"/>
    <x v="2"/>
  </r>
  <r>
    <x v="0"/>
    <d v="2008-07-25T00:00:00"/>
    <x v="2"/>
    <x v="18"/>
    <n v="1"/>
    <s v="Mistral 4"/>
    <s v="Steibenkreuz"/>
    <s v="Baschi"/>
    <n v="1"/>
    <n v="40"/>
    <x v="48"/>
    <x v="2"/>
  </r>
  <r>
    <x v="0"/>
    <d v="2008-07-27T00:00:00"/>
    <x v="2"/>
    <x v="18"/>
    <n v="1"/>
    <s v="Mistral 4"/>
    <s v="Grieläger"/>
    <s v="Raron"/>
    <m/>
    <n v="24"/>
    <x v="61"/>
    <x v="2"/>
  </r>
  <r>
    <x v="0"/>
    <d v="2008-07-28T00:00:00"/>
    <x v="2"/>
    <x v="18"/>
    <n v="1"/>
    <s v="Sigma 7"/>
    <s v="Heimat"/>
    <s v="Fieschertal"/>
    <n v="1"/>
    <n v="41"/>
    <x v="76"/>
    <x v="2"/>
  </r>
  <r>
    <x v="0"/>
    <d v="2008-07-30T00:00:00"/>
    <x v="2"/>
    <x v="18"/>
    <n v="1"/>
    <s v="Sigma 7"/>
    <s v="Heimat"/>
    <s v="Fieschertal"/>
    <n v="1"/>
    <n v="45"/>
    <x v="41"/>
    <x v="2"/>
  </r>
  <r>
    <x v="0"/>
    <d v="2008-07-31T00:00:00"/>
    <x v="2"/>
    <x v="18"/>
    <n v="1"/>
    <s v="Sigma 7"/>
    <s v="Heimat"/>
    <s v="Realp"/>
    <n v="3"/>
    <n v="6"/>
    <x v="123"/>
    <x v="2"/>
  </r>
  <r>
    <x v="0"/>
    <d v="2008-08-01T00:00:00"/>
    <x v="3"/>
    <x v="18"/>
    <n v="1"/>
    <s v="Sigma 7"/>
    <s v="Heimat"/>
    <s v="Fieschertal"/>
    <m/>
    <n v="16"/>
    <x v="19"/>
    <x v="2"/>
  </r>
  <r>
    <x v="0"/>
    <d v="2008-08-02T00:00:00"/>
    <x v="3"/>
    <x v="18"/>
    <n v="1"/>
    <s v="Sigma 7"/>
    <s v="Galvera"/>
    <s v="Fieschertal"/>
    <n v="1"/>
    <n v="48"/>
    <x v="35"/>
    <x v="2"/>
  </r>
  <r>
    <x v="0"/>
    <d v="2008-08-03T00:00:00"/>
    <x v="3"/>
    <x v="18"/>
    <n v="1"/>
    <s v="Sigma 7"/>
    <s v="Galfera"/>
    <s v="Baschi"/>
    <n v="2"/>
    <n v="33"/>
    <x v="124"/>
    <x v="2"/>
  </r>
  <r>
    <x v="0"/>
    <d v="2008-08-06T00:00:00"/>
    <x v="3"/>
    <x v="18"/>
    <n v="1"/>
    <s v="Sigma 7"/>
    <s v="First"/>
    <s v="Grund"/>
    <m/>
    <n v="19"/>
    <x v="20"/>
    <x v="2"/>
  </r>
  <r>
    <x v="0"/>
    <d v="2008-08-09T00:00:00"/>
    <x v="3"/>
    <x v="18"/>
    <n v="1"/>
    <s v="Sigma 7"/>
    <s v="Galvera"/>
    <s v="Fieschertal"/>
    <n v="1"/>
    <n v="12"/>
    <x v="88"/>
    <x v="2"/>
  </r>
  <r>
    <x v="0"/>
    <d v="2008-08-10T00:00:00"/>
    <x v="3"/>
    <x v="18"/>
    <n v="1"/>
    <s v="Sigma 7"/>
    <s v="Heimat"/>
    <s v="Kapelle"/>
    <n v="2"/>
    <n v="48"/>
    <x v="125"/>
    <x v="2"/>
  </r>
  <r>
    <x v="0"/>
    <d v="2008-08-24T00:00:00"/>
    <x v="3"/>
    <x v="18"/>
    <n v="1"/>
    <s v="Sigma 7"/>
    <s v="Galvera"/>
    <s v="Fieschertal"/>
    <n v="1"/>
    <n v="49"/>
    <x v="126"/>
    <x v="2"/>
  </r>
  <r>
    <x v="0"/>
    <d v="2008-08-30T00:00:00"/>
    <x v="3"/>
    <x v="18"/>
    <n v="1"/>
    <s v="Sigma 7"/>
    <s v="Galvera"/>
    <s v="Fieschertal"/>
    <n v="2"/>
    <n v="41"/>
    <x v="127"/>
    <x v="2"/>
  </r>
  <r>
    <x v="0"/>
    <d v="2008-08-30T00:00:00"/>
    <x v="3"/>
    <x v="18"/>
    <n v="0"/>
    <s v="Sigma 7"/>
    <s v="Breithorn"/>
    <s v="Fieschertal"/>
    <m/>
    <n v="29"/>
    <x v="85"/>
    <x v="2"/>
  </r>
  <r>
    <x v="0"/>
    <d v="2008-08-31T00:00:00"/>
    <x v="3"/>
    <x v="18"/>
    <n v="1"/>
    <s v="Sigma 7"/>
    <s v="Heimat"/>
    <s v="Fieschertal"/>
    <m/>
    <n v="9"/>
    <x v="22"/>
    <x v="2"/>
  </r>
  <r>
    <x v="0"/>
    <d v="2008-09-08T00:00:00"/>
    <x v="4"/>
    <x v="18"/>
    <n v="1"/>
    <s v="Sigma 7"/>
    <s v="Rosengarten"/>
    <s v="Campitello"/>
    <m/>
    <n v="50"/>
    <x v="40"/>
    <x v="13"/>
  </r>
  <r>
    <x v="0"/>
    <d v="2008-09-09T00:00:00"/>
    <x v="4"/>
    <x v="18"/>
    <n v="1"/>
    <s v="Sigma 7"/>
    <s v="Rodella"/>
    <s v="Belvedere"/>
    <n v="2"/>
    <n v="35"/>
    <x v="108"/>
    <x v="13"/>
  </r>
  <r>
    <x v="0"/>
    <d v="2008-09-09T00:00:00"/>
    <x v="4"/>
    <x v="18"/>
    <n v="0"/>
    <s v="Sigma 7"/>
    <s v="Belvedere"/>
    <s v="Campitello"/>
    <m/>
    <n v="36"/>
    <x v="39"/>
    <x v="13"/>
  </r>
  <r>
    <x v="0"/>
    <d v="2008-09-10T00:00:00"/>
    <x v="4"/>
    <x v="18"/>
    <n v="1"/>
    <s v="Sigma 7"/>
    <s v="Rodella"/>
    <s v="Campitello"/>
    <n v="1"/>
    <n v="38"/>
    <x v="128"/>
    <x v="13"/>
  </r>
  <r>
    <x v="0"/>
    <d v="2008-09-10T00:00:00"/>
    <x v="4"/>
    <x v="18"/>
    <n v="0"/>
    <s v="Sigma 7"/>
    <s v="Belvedere"/>
    <s v="Campitello"/>
    <m/>
    <n v="18"/>
    <x v="57"/>
    <x v="13"/>
  </r>
  <r>
    <x v="0"/>
    <d v="2008-09-11T00:00:00"/>
    <x v="4"/>
    <x v="18"/>
    <n v="1"/>
    <s v="Sigma 7"/>
    <s v="Rodella"/>
    <s v="Campitello"/>
    <n v="1"/>
    <n v="27"/>
    <x v="129"/>
    <x v="13"/>
  </r>
  <r>
    <x v="0"/>
    <d v="2008-09-12T00:00:00"/>
    <x v="4"/>
    <x v="18"/>
    <n v="1"/>
    <s v="Astral 5"/>
    <s v="Rodella Süd"/>
    <s v="Campitello"/>
    <n v="1"/>
    <n v="18"/>
    <x v="87"/>
    <x v="13"/>
  </r>
  <r>
    <x v="0"/>
    <d v="2008-09-20T00:00:00"/>
    <x v="4"/>
    <x v="18"/>
    <n v="1"/>
    <s v="Sigma 7"/>
    <s v="Heimat"/>
    <s v="Kapelle"/>
    <n v="1"/>
    <n v="25"/>
    <x v="113"/>
    <x v="2"/>
  </r>
  <r>
    <x v="0"/>
    <d v="2008-09-22T00:00:00"/>
    <x v="4"/>
    <x v="18"/>
    <n v="1"/>
    <s v="Sigma 7"/>
    <s v="Flumserberg"/>
    <s v="Wallenstadt"/>
    <m/>
    <n v="17"/>
    <x v="26"/>
    <x v="16"/>
  </r>
  <r>
    <x v="0"/>
    <d v="2008-09-22T00:00:00"/>
    <x v="4"/>
    <x v="18"/>
    <n v="0"/>
    <s v="Sigma 7"/>
    <s v="Gotschnagrat"/>
    <s v="Klosters"/>
    <m/>
    <n v="20"/>
    <x v="5"/>
    <x v="16"/>
  </r>
  <r>
    <x v="0"/>
    <d v="2008-09-23T00:00:00"/>
    <x v="4"/>
    <x v="18"/>
    <n v="1"/>
    <s v="Sigma 7"/>
    <s v="Brämenbühl/Jakobshorn"/>
    <s v="Davos"/>
    <m/>
    <n v="49"/>
    <x v="79"/>
    <x v="16"/>
  </r>
  <r>
    <x v="0"/>
    <d v="2008-09-24T00:00:00"/>
    <x v="4"/>
    <x v="18"/>
    <n v="1"/>
    <s v="Sigma 7"/>
    <s v="Höhenweg Parsenn"/>
    <s v="Davos"/>
    <m/>
    <n v="6"/>
    <x v="0"/>
    <x v="16"/>
  </r>
  <r>
    <x v="0"/>
    <d v="2008-09-24T00:00:00"/>
    <x v="4"/>
    <x v="18"/>
    <n v="0"/>
    <s v="Sigma 7"/>
    <s v="Höhenweg Parsenn"/>
    <s v="Davos /See"/>
    <m/>
    <n v="8"/>
    <x v="3"/>
    <x v="16"/>
  </r>
  <r>
    <x v="0"/>
    <d v="2008-09-24T00:00:00"/>
    <x v="4"/>
    <x v="18"/>
    <n v="0"/>
    <s v="Sigma 7"/>
    <s v="Brämenbühl/Jakobshorn"/>
    <s v="Davos"/>
    <n v="1"/>
    <n v="3"/>
    <x v="25"/>
    <x v="16"/>
  </r>
  <r>
    <x v="0"/>
    <d v="2008-09-24T00:00:00"/>
    <x v="4"/>
    <x v="18"/>
    <n v="0"/>
    <s v="Sigma 7"/>
    <s v="Sont Gant"/>
    <s v="Savognin"/>
    <m/>
    <n v="58"/>
    <x v="95"/>
    <x v="16"/>
  </r>
  <r>
    <x v="0"/>
    <d v="2008-09-25T00:00:00"/>
    <x v="4"/>
    <x v="18"/>
    <n v="1"/>
    <s v="Sigma 7"/>
    <s v="Naraus"/>
    <s v="Flims"/>
    <m/>
    <n v="14"/>
    <x v="11"/>
    <x v="16"/>
  </r>
  <r>
    <x v="0"/>
    <d v="2008-09-25T00:00:00"/>
    <x v="4"/>
    <x v="18"/>
    <n v="0"/>
    <s v="Sigma 7"/>
    <s v="Naraus"/>
    <s v="Flims"/>
    <m/>
    <n v="13"/>
    <x v="18"/>
    <x v="16"/>
  </r>
  <r>
    <x v="1"/>
    <d v="2008-10-18T00:00:00"/>
    <x v="5"/>
    <x v="18"/>
    <n v="1"/>
    <s v="Sigma 7"/>
    <s v="Heimat"/>
    <s v="Fieschertal"/>
    <m/>
    <n v="14"/>
    <x v="11"/>
    <x v="17"/>
  </r>
  <r>
    <x v="1"/>
    <d v="2008-10-18T00:00:00"/>
    <x v="5"/>
    <x v="18"/>
    <n v="0"/>
    <s v="Sigma 7"/>
    <s v="Heimat"/>
    <s v="Fieschertal"/>
    <m/>
    <n v="17"/>
    <x v="26"/>
    <x v="17"/>
  </r>
  <r>
    <x v="1"/>
    <d v="2008-10-18T00:00:00"/>
    <x v="5"/>
    <x v="18"/>
    <n v="0"/>
    <s v="Sigma 7"/>
    <s v="Heimat"/>
    <s v="Fieschertal"/>
    <m/>
    <n v="30"/>
    <x v="8"/>
    <x v="17"/>
  </r>
  <r>
    <x v="1"/>
    <d v="2008-10-19T00:00:00"/>
    <x v="5"/>
    <x v="18"/>
    <n v="1"/>
    <s v="Sigma 7"/>
    <s v="Heimat"/>
    <s v="Fieschertal"/>
    <m/>
    <n v="20"/>
    <x v="5"/>
    <x v="17"/>
  </r>
  <r>
    <x v="1"/>
    <d v="2008-10-19T00:00:00"/>
    <x v="5"/>
    <x v="18"/>
    <n v="0"/>
    <s v="Sigma 7"/>
    <s v="Heimat"/>
    <s v="Fieschertal"/>
    <m/>
    <n v="18"/>
    <x v="57"/>
    <x v="17"/>
  </r>
  <r>
    <x v="1"/>
    <d v="2008-10-19T00:00:00"/>
    <x v="5"/>
    <x v="18"/>
    <n v="0"/>
    <s v="Sigma 7"/>
    <s v="Breithorn"/>
    <s v="Fieschertal"/>
    <m/>
    <n v="16"/>
    <x v="19"/>
    <x v="17"/>
  </r>
  <r>
    <x v="4"/>
    <d v="2008-12-27T00:00:00"/>
    <x v="10"/>
    <x v="18"/>
    <n v="1"/>
    <s v="BiBeta 4"/>
    <s v="Heimat"/>
    <s v="Fieschertal"/>
    <m/>
    <n v="15"/>
    <x v="15"/>
    <x v="2"/>
  </r>
  <r>
    <x v="4"/>
    <d v="2008-12-27T00:00:00"/>
    <x v="10"/>
    <x v="18"/>
    <n v="0"/>
    <s v="BiBeta 4"/>
    <s v="Heimat"/>
    <s v="Fieschertal"/>
    <m/>
    <n v="15"/>
    <x v="15"/>
    <x v="2"/>
  </r>
  <r>
    <x v="4"/>
    <d v="2008-12-27T00:00:00"/>
    <x v="10"/>
    <x v="18"/>
    <n v="0"/>
    <s v="BiBeta 4"/>
    <s v="Heimat"/>
    <s v="Fieschertal"/>
    <m/>
    <n v="15"/>
    <x v="15"/>
    <x v="2"/>
  </r>
  <r>
    <x v="3"/>
    <d v="2008-12-28T00:00:00"/>
    <x v="10"/>
    <x v="18"/>
    <n v="0"/>
    <s v="savage13"/>
    <s v="Steibenkreuz"/>
    <s v="Mutti"/>
    <m/>
    <m/>
    <x v="30"/>
    <x v="2"/>
  </r>
  <r>
    <x v="3"/>
    <d v="2008-12-29T00:00:00"/>
    <x v="10"/>
    <x v="18"/>
    <n v="0"/>
    <s v="savage13"/>
    <s v="Eggishorn"/>
    <m/>
    <m/>
    <m/>
    <x v="30"/>
    <x v="2"/>
  </r>
  <r>
    <x v="3"/>
    <d v="2008-12-30T00:00:00"/>
    <x v="10"/>
    <x v="18"/>
    <n v="0"/>
    <s v="savage13"/>
    <s v="Steibenkreuz"/>
    <s v="Mutti"/>
    <m/>
    <m/>
    <x v="30"/>
    <x v="2"/>
  </r>
  <r>
    <x v="4"/>
    <d v="2009-01-01T00:00:00"/>
    <x v="11"/>
    <x v="19"/>
    <n v="1"/>
    <s v="BiBeta 4"/>
    <s v="Heimat"/>
    <s v="Fieschertal"/>
    <m/>
    <n v="15"/>
    <x v="15"/>
    <x v="2"/>
  </r>
  <r>
    <x v="4"/>
    <d v="2009-01-01T00:00:00"/>
    <x v="11"/>
    <x v="19"/>
    <n v="0"/>
    <s v="BiBeta 4"/>
    <s v="Heimat"/>
    <s v="Fieschertal"/>
    <m/>
    <n v="15"/>
    <x v="15"/>
    <x v="2"/>
  </r>
  <r>
    <x v="4"/>
    <d v="2009-01-02T00:00:00"/>
    <x v="11"/>
    <x v="19"/>
    <n v="1"/>
    <s v="BiBeta 4"/>
    <s v="Heimat"/>
    <s v="Fieschertal"/>
    <m/>
    <n v="15"/>
    <x v="15"/>
    <x v="2"/>
  </r>
  <r>
    <x v="4"/>
    <d v="2009-01-02T00:00:00"/>
    <x v="11"/>
    <x v="19"/>
    <n v="0"/>
    <s v="BiBeta 4"/>
    <s v="Heimat"/>
    <s v="Fieschertal"/>
    <m/>
    <n v="15"/>
    <x v="15"/>
    <x v="2"/>
  </r>
  <r>
    <x v="4"/>
    <d v="2009-01-02T00:00:00"/>
    <x v="11"/>
    <x v="19"/>
    <n v="0"/>
    <s v="BiBeta 4"/>
    <s v="Steibenkreuz"/>
    <s v="Fieschertal"/>
    <m/>
    <n v="15"/>
    <x v="15"/>
    <x v="2"/>
  </r>
  <r>
    <x v="4"/>
    <d v="2009-01-03T00:00:00"/>
    <x v="11"/>
    <x v="19"/>
    <n v="1"/>
    <s v="BiBeta 4"/>
    <s v="Heimat"/>
    <s v="Fieschertal"/>
    <m/>
    <n v="20"/>
    <x v="5"/>
    <x v="2"/>
  </r>
  <r>
    <x v="4"/>
    <d v="2009-01-03T00:00:00"/>
    <x v="11"/>
    <x v="19"/>
    <n v="0"/>
    <s v="BiBeta 4"/>
    <s v="Heimat"/>
    <s v="Fieschertal"/>
    <m/>
    <n v="20"/>
    <x v="5"/>
    <x v="2"/>
  </r>
  <r>
    <x v="3"/>
    <d v="2009-01-04T00:00:00"/>
    <x v="11"/>
    <x v="19"/>
    <n v="0"/>
    <s v="savage13"/>
    <s v="Eggishorn"/>
    <m/>
    <m/>
    <m/>
    <x v="30"/>
    <x v="2"/>
  </r>
  <r>
    <x v="3"/>
    <d v="2009-01-07T00:00:00"/>
    <x v="11"/>
    <x v="19"/>
    <n v="0"/>
    <s v="savage13"/>
    <s v="Eggishorn"/>
    <m/>
    <m/>
    <m/>
    <x v="30"/>
    <x v="2"/>
  </r>
  <r>
    <x v="4"/>
    <d v="2009-01-09T00:00:00"/>
    <x v="11"/>
    <x v="19"/>
    <n v="1"/>
    <s v="BiBeta 4"/>
    <s v="Heimat"/>
    <s v="Fieschertal"/>
    <m/>
    <n v="15"/>
    <x v="15"/>
    <x v="2"/>
  </r>
  <r>
    <x v="4"/>
    <d v="2009-01-09T00:00:00"/>
    <x v="11"/>
    <x v="19"/>
    <n v="0"/>
    <s v="BiBeta 4"/>
    <s v="Heimat"/>
    <s v="Fieschertal"/>
    <m/>
    <n v="50"/>
    <x v="40"/>
    <x v="2"/>
  </r>
  <r>
    <x v="4"/>
    <d v="2009-01-10T00:00:00"/>
    <x v="11"/>
    <x v="19"/>
    <n v="1"/>
    <s v="BiBeta 4"/>
    <s v="Heimat"/>
    <s v="Fieschertal"/>
    <m/>
    <n v="20"/>
    <x v="5"/>
    <x v="2"/>
  </r>
  <r>
    <x v="4"/>
    <d v="2009-01-10T00:00:00"/>
    <x v="11"/>
    <x v="19"/>
    <n v="0"/>
    <s v="BiBeta 4"/>
    <s v="Heimat"/>
    <s v="Fiesch"/>
    <m/>
    <n v="20"/>
    <x v="5"/>
    <x v="2"/>
  </r>
  <r>
    <x v="3"/>
    <d v="2009-01-10T00:00:00"/>
    <x v="11"/>
    <x v="19"/>
    <n v="0"/>
    <s v="savage13"/>
    <s v="Eggishorn"/>
    <m/>
    <m/>
    <m/>
    <x v="30"/>
    <x v="2"/>
  </r>
  <r>
    <x v="4"/>
    <d v="2009-01-11T00:00:00"/>
    <x v="11"/>
    <x v="19"/>
    <n v="1"/>
    <s v="BiBeta 4"/>
    <s v="Heimat"/>
    <s v="Fieschertal"/>
    <m/>
    <n v="20"/>
    <x v="5"/>
    <x v="2"/>
  </r>
  <r>
    <x v="4"/>
    <d v="2009-01-11T00:00:00"/>
    <x v="11"/>
    <x v="19"/>
    <n v="0"/>
    <s v="BiBeta 4"/>
    <s v="Heimat"/>
    <s v="Fieschertal"/>
    <m/>
    <n v="20"/>
    <x v="5"/>
    <x v="2"/>
  </r>
  <r>
    <x v="4"/>
    <d v="2009-01-17T00:00:00"/>
    <x v="11"/>
    <x v="19"/>
    <n v="1"/>
    <s v="BiBeta 4"/>
    <s v="Torym"/>
    <s v="Vionnaz"/>
    <m/>
    <n v="15"/>
    <x v="15"/>
    <x v="2"/>
  </r>
  <r>
    <x v="4"/>
    <d v="2009-01-17T00:00:00"/>
    <x v="11"/>
    <x v="19"/>
    <n v="0"/>
    <s v="BiBeta 4"/>
    <s v="Torym"/>
    <s v="Vionnaz"/>
    <m/>
    <n v="15"/>
    <x v="15"/>
    <x v="2"/>
  </r>
  <r>
    <x v="4"/>
    <d v="2009-01-31T00:00:00"/>
    <x v="11"/>
    <x v="19"/>
    <n v="1"/>
    <s v="BiBeta 4"/>
    <s v="Torym"/>
    <s v="Vionnaz"/>
    <m/>
    <n v="15"/>
    <x v="15"/>
    <x v="2"/>
  </r>
  <r>
    <x v="4"/>
    <d v="2009-01-31T00:00:00"/>
    <x v="11"/>
    <x v="19"/>
    <n v="0"/>
    <s v="BiBeta 4"/>
    <s v="Torym"/>
    <s v="Vionnaz"/>
    <m/>
    <n v="15"/>
    <x v="15"/>
    <x v="2"/>
  </r>
  <r>
    <x v="3"/>
    <d v="2009-02-21T00:00:00"/>
    <x v="7"/>
    <x v="19"/>
    <n v="0"/>
    <s v="savage13"/>
    <s v="Steibenkreuz"/>
    <s v="Mutti"/>
    <m/>
    <m/>
    <x v="30"/>
    <x v="2"/>
  </r>
  <r>
    <x v="4"/>
    <d v="2009-02-28T00:00:00"/>
    <x v="7"/>
    <x v="19"/>
    <n v="1"/>
    <s v="BiBeta 4"/>
    <s v="Heimat"/>
    <s v="Fiesch"/>
    <m/>
    <n v="17"/>
    <x v="26"/>
    <x v="2"/>
  </r>
  <r>
    <x v="4"/>
    <d v="2009-02-28T00:00:00"/>
    <x v="7"/>
    <x v="19"/>
    <n v="0"/>
    <s v="BiBeta 4"/>
    <s v="Heimat"/>
    <s v="Fiesch"/>
    <m/>
    <n v="56"/>
    <x v="68"/>
    <x v="2"/>
  </r>
  <r>
    <x v="4"/>
    <d v="2009-03-22T00:00:00"/>
    <x v="8"/>
    <x v="19"/>
    <n v="1"/>
    <s v="BiBeta 4"/>
    <s v="Heimat"/>
    <s v="Fieschertal"/>
    <m/>
    <n v="19"/>
    <x v="20"/>
    <x v="2"/>
  </r>
  <r>
    <x v="0"/>
    <d v="2009-03-28T00:00:00"/>
    <x v="8"/>
    <x v="19"/>
    <n v="1"/>
    <s v="Sigma 7"/>
    <s v="Heimat"/>
    <s v="Fieschertal"/>
    <m/>
    <n v="25"/>
    <x v="52"/>
    <x v="2"/>
  </r>
  <r>
    <x v="0"/>
    <d v="2009-04-04T00:00:00"/>
    <x v="9"/>
    <x v="19"/>
    <n v="1"/>
    <s v="Sigma 7"/>
    <s v="Heimat"/>
    <s v="Baschi"/>
    <m/>
    <n v="58"/>
    <x v="95"/>
    <x v="2"/>
  </r>
  <r>
    <x v="0"/>
    <d v="2009-04-05T00:00:00"/>
    <x v="9"/>
    <x v="19"/>
    <n v="1"/>
    <s v="Sigma 7"/>
    <s v="Heimat"/>
    <s v="Fieschertal"/>
    <n v="2"/>
    <n v="20"/>
    <x v="130"/>
    <x v="2"/>
  </r>
  <r>
    <x v="0"/>
    <d v="2009-04-18T00:00:00"/>
    <x v="9"/>
    <x v="19"/>
    <n v="1"/>
    <s v="Sigma 7"/>
    <s v="Heimat"/>
    <s v="Fieschertal"/>
    <m/>
    <n v="39"/>
    <x v="131"/>
    <x v="2"/>
  </r>
  <r>
    <x v="4"/>
    <d v="2009-04-29T00:00:00"/>
    <x v="9"/>
    <x v="19"/>
    <n v="1"/>
    <s v="BiBeta 4"/>
    <s v="Mte Lema"/>
    <s v="Sessa"/>
    <n v="1"/>
    <n v="18"/>
    <x v="87"/>
    <x v="9"/>
  </r>
  <r>
    <x v="4"/>
    <d v="2009-04-30T00:00:00"/>
    <x v="9"/>
    <x v="19"/>
    <n v="1"/>
    <s v="BiBeta 4"/>
    <s v="Gornizzolo"/>
    <s v="Suella I"/>
    <m/>
    <n v="27"/>
    <x v="34"/>
    <x v="9"/>
  </r>
  <r>
    <x v="4"/>
    <d v="2009-05-01T00:00:00"/>
    <x v="0"/>
    <x v="19"/>
    <n v="1"/>
    <s v="BiBeta 4"/>
    <s v="Cimetta"/>
    <s v="Ascona"/>
    <m/>
    <n v="42"/>
    <x v="66"/>
    <x v="9"/>
  </r>
  <r>
    <x v="0"/>
    <d v="2009-05-01T00:00:00"/>
    <x v="0"/>
    <x v="19"/>
    <n v="0"/>
    <s v="Sigma 7"/>
    <s v="Cimetta"/>
    <s v="Ascona"/>
    <m/>
    <n v="47"/>
    <x v="132"/>
    <x v="9"/>
  </r>
  <r>
    <x v="0"/>
    <d v="2009-05-03T00:00:00"/>
    <x v="0"/>
    <x v="19"/>
    <n v="1"/>
    <s v="Sigma 7"/>
    <s v="Riederalp"/>
    <s v="Fieschertal"/>
    <n v="2"/>
    <n v="52"/>
    <x v="133"/>
    <x v="2"/>
  </r>
  <r>
    <x v="4"/>
    <d v="2009-05-21T00:00:00"/>
    <x v="0"/>
    <x v="19"/>
    <n v="1"/>
    <s v="BiBeta 4"/>
    <s v="Motta Naluns"/>
    <s v="Scuol"/>
    <m/>
    <n v="7"/>
    <x v="1"/>
    <x v="2"/>
  </r>
  <r>
    <x v="4"/>
    <d v="2009-05-23T00:00:00"/>
    <x v="0"/>
    <x v="19"/>
    <n v="1"/>
    <s v="BiBeta 4"/>
    <s v="Motta Naluns"/>
    <s v="Scuol"/>
    <m/>
    <n v="14"/>
    <x v="11"/>
    <x v="2"/>
  </r>
  <r>
    <x v="4"/>
    <d v="2009-05-31T00:00:00"/>
    <x v="0"/>
    <x v="19"/>
    <n v="1"/>
    <s v="BiBeta 4"/>
    <s v="Riederalp"/>
    <s v="Camping"/>
    <m/>
    <n v="19"/>
    <x v="20"/>
    <x v="2"/>
  </r>
  <r>
    <x v="0"/>
    <d v="2009-06-22T00:00:00"/>
    <x v="1"/>
    <x v="19"/>
    <n v="1"/>
    <s v="Sigma 7"/>
    <s v="Sonchaux"/>
    <s v="Villneuve"/>
    <m/>
    <n v="26"/>
    <x v="134"/>
    <x v="18"/>
  </r>
  <r>
    <x v="4"/>
    <d v="2009-06-22T00:00:00"/>
    <x v="1"/>
    <x v="19"/>
    <n v="0"/>
    <s v="BiBeta 4"/>
    <s v="Levandry"/>
    <s v="Grandvillard"/>
    <m/>
    <n v="16"/>
    <x v="19"/>
    <x v="18"/>
  </r>
  <r>
    <x v="0"/>
    <d v="2009-06-24T00:00:00"/>
    <x v="1"/>
    <x v="19"/>
    <n v="1"/>
    <s v="Sigma 7"/>
    <s v="Guri"/>
    <s v="Plaffeien"/>
    <m/>
    <n v="29"/>
    <x v="85"/>
    <x v="18"/>
  </r>
  <r>
    <x v="4"/>
    <d v="2009-06-24T00:00:00"/>
    <x v="1"/>
    <x v="19"/>
    <n v="0"/>
    <s v="BiBeta 4"/>
    <s v="Guri"/>
    <s v="Plaffeien"/>
    <m/>
    <n v="38"/>
    <x v="17"/>
    <x v="18"/>
  </r>
  <r>
    <x v="0"/>
    <d v="2009-06-25T00:00:00"/>
    <x v="1"/>
    <x v="19"/>
    <n v="1"/>
    <s v="Sigma 7"/>
    <s v="First"/>
    <s v="Grund"/>
    <m/>
    <n v="48"/>
    <x v="135"/>
    <x v="18"/>
  </r>
  <r>
    <x v="4"/>
    <d v="2009-06-25T00:00:00"/>
    <x v="1"/>
    <x v="19"/>
    <n v="0"/>
    <s v="BiBeta 4"/>
    <s v="Mürren"/>
    <s v="Stechelberg"/>
    <m/>
    <n v="8"/>
    <x v="3"/>
    <x v="18"/>
  </r>
  <r>
    <x v="4"/>
    <d v="2009-06-26T00:00:00"/>
    <x v="1"/>
    <x v="19"/>
    <n v="1"/>
    <s v="BiBeta 4"/>
    <s v="Muti"/>
    <s v="Fieschertal"/>
    <m/>
    <n v="21"/>
    <x v="97"/>
    <x v="18"/>
  </r>
  <r>
    <x v="4"/>
    <d v="2009-06-28T00:00:00"/>
    <x v="1"/>
    <x v="19"/>
    <n v="1"/>
    <s v="Sky Metis 2"/>
    <s v="Vounetz"/>
    <s v="Charmey"/>
    <m/>
    <n v="11"/>
    <x v="14"/>
    <x v="2"/>
  </r>
  <r>
    <x v="0"/>
    <d v="2009-06-28T00:00:00"/>
    <x v="1"/>
    <x v="19"/>
    <n v="0"/>
    <s v="Sigma 7"/>
    <s v="Vounetz"/>
    <s v="Charmey"/>
    <m/>
    <n v="33"/>
    <x v="59"/>
    <x v="2"/>
  </r>
  <r>
    <x v="5"/>
    <d v="2009-07-09T00:00:00"/>
    <x v="2"/>
    <x v="19"/>
    <n v="1"/>
    <s v="BiBeta 4"/>
    <s v="Axalp"/>
    <s v="Brienzersee"/>
    <m/>
    <n v="10"/>
    <x v="4"/>
    <x v="14"/>
  </r>
  <r>
    <x v="0"/>
    <d v="2009-07-09T00:00:00"/>
    <x v="2"/>
    <x v="19"/>
    <n v="1"/>
    <s v="Sigma 7"/>
    <s v="Axalp"/>
    <s v="Brienzersee"/>
    <m/>
    <n v="13"/>
    <x v="18"/>
    <x v="2"/>
  </r>
  <r>
    <x v="4"/>
    <d v="2009-07-11T00:00:00"/>
    <x v="2"/>
    <x v="19"/>
    <n v="1"/>
    <s v="BiBeta 4"/>
    <s v="Chalet Ü50"/>
    <s v="Fieschertal"/>
    <m/>
    <n v="58"/>
    <x v="95"/>
    <x v="2"/>
  </r>
  <r>
    <x v="0"/>
    <d v="2009-07-12T00:00:00"/>
    <x v="2"/>
    <x v="19"/>
    <n v="1"/>
    <s v="Sigma 7"/>
    <s v="Heimat"/>
    <s v="Fieschertal"/>
    <m/>
    <n v="39"/>
    <x v="131"/>
    <x v="2"/>
  </r>
  <r>
    <x v="0"/>
    <d v="2009-07-19T00:00:00"/>
    <x v="2"/>
    <x v="19"/>
    <n v="1"/>
    <s v="Sigma 7"/>
    <s v="Heimat"/>
    <s v="Fieschertal"/>
    <m/>
    <n v="29"/>
    <x v="85"/>
    <x v="2"/>
  </r>
  <r>
    <x v="0"/>
    <d v="2009-07-19T00:00:00"/>
    <x v="2"/>
    <x v="19"/>
    <n v="0"/>
    <s v="Sigma 7"/>
    <s v="Fiescheralp"/>
    <s v="Fieschertal"/>
    <n v="1"/>
    <n v="7"/>
    <x v="136"/>
    <x v="2"/>
  </r>
  <r>
    <x v="0"/>
    <d v="2009-07-25T00:00:00"/>
    <x v="2"/>
    <x v="19"/>
    <n v="1"/>
    <s v="Sigma 7"/>
    <s v="Fiescheralp"/>
    <s v="Baschi"/>
    <n v="1"/>
    <n v="2"/>
    <x v="110"/>
    <x v="2"/>
  </r>
  <r>
    <x v="4"/>
    <d v="2009-07-26T00:00:00"/>
    <x v="2"/>
    <x v="19"/>
    <n v="1"/>
    <s v="BiBeta 4"/>
    <s v="Chalet Ü50"/>
    <s v="Kapelle"/>
    <n v="1"/>
    <n v="49"/>
    <x v="126"/>
    <x v="2"/>
  </r>
  <r>
    <x v="4"/>
    <d v="2009-08-01T00:00:00"/>
    <x v="3"/>
    <x v="19"/>
    <n v="1"/>
    <s v="BiBeta 4"/>
    <s v="Chalet Ü50"/>
    <s v="Baschi"/>
    <m/>
    <n v="53"/>
    <x v="137"/>
    <x v="2"/>
  </r>
  <r>
    <x v="0"/>
    <d v="2009-08-09T00:00:00"/>
    <x v="3"/>
    <x v="19"/>
    <n v="1"/>
    <s v="Sigma 7"/>
    <s v="Heimat"/>
    <s v="Kapelle"/>
    <m/>
    <n v="45"/>
    <x v="27"/>
    <x v="2"/>
  </r>
  <r>
    <x v="0"/>
    <d v="2009-08-28T00:00:00"/>
    <x v="3"/>
    <x v="19"/>
    <n v="1"/>
    <s v="Sigma 7"/>
    <s v="Heimat"/>
    <s v="Kapelle"/>
    <n v="1"/>
    <n v="50"/>
    <x v="36"/>
    <x v="2"/>
  </r>
  <r>
    <x v="0"/>
    <d v="2009-08-30T00:00:00"/>
    <x v="3"/>
    <x v="19"/>
    <n v="1"/>
    <s v="Sigma 7"/>
    <s v="Heimat"/>
    <s v="Fieschertal"/>
    <m/>
    <n v="45"/>
    <x v="27"/>
    <x v="2"/>
  </r>
  <r>
    <x v="4"/>
    <d v="2009-09-06T00:00:00"/>
    <x v="4"/>
    <x v="19"/>
    <n v="1"/>
    <s v="BiBeta 4"/>
    <s v="First"/>
    <s v="Grund"/>
    <m/>
    <n v="30"/>
    <x v="8"/>
    <x v="2"/>
  </r>
  <r>
    <x v="0"/>
    <d v="2009-09-12T00:00:00"/>
    <x v="4"/>
    <x v="19"/>
    <n v="1"/>
    <s v="Sigma 7"/>
    <s v="Heimat"/>
    <s v="Fieschertal"/>
    <m/>
    <n v="20"/>
    <x v="5"/>
    <x v="2"/>
  </r>
  <r>
    <x v="0"/>
    <d v="2009-09-13T00:00:00"/>
    <x v="4"/>
    <x v="19"/>
    <n v="1"/>
    <s v="Sigma 7"/>
    <s v="Heimat"/>
    <s v="Fieschertal"/>
    <m/>
    <n v="29"/>
    <x v="85"/>
    <x v="2"/>
  </r>
  <r>
    <x v="4"/>
    <d v="2009-09-20T00:00:00"/>
    <x v="4"/>
    <x v="19"/>
    <n v="1"/>
    <s v="BiBeta 4"/>
    <s v="Heimat"/>
    <s v="Fieschertal"/>
    <m/>
    <n v="32"/>
    <x v="23"/>
    <x v="2"/>
  </r>
  <r>
    <x v="4"/>
    <d v="2009-09-20T00:00:00"/>
    <x v="4"/>
    <x v="19"/>
    <n v="0"/>
    <s v="BiBeta 4"/>
    <s v="Heimat"/>
    <s v="Fieschertal"/>
    <m/>
    <n v="22"/>
    <x v="42"/>
    <x v="2"/>
  </r>
  <r>
    <x v="4"/>
    <d v="2009-09-26T00:00:00"/>
    <x v="4"/>
    <x v="19"/>
    <n v="1"/>
    <s v="BiBeta 4"/>
    <s v="Heimat"/>
    <s v="Baschi"/>
    <m/>
    <n v="57"/>
    <x v="49"/>
    <x v="2"/>
  </r>
  <r>
    <x v="0"/>
    <d v="2009-09-27T00:00:00"/>
    <x v="4"/>
    <x v="19"/>
    <n v="1"/>
    <s v="Sigma 7"/>
    <s v="Heimat"/>
    <s v="Fiesch"/>
    <n v="1"/>
    <n v="48"/>
    <x v="35"/>
    <x v="2"/>
  </r>
  <r>
    <x v="0"/>
    <d v="2009-10-03T00:00:00"/>
    <x v="5"/>
    <x v="19"/>
    <n v="1"/>
    <s v="Sigma 7"/>
    <s v="Heimat"/>
    <s v="Fieschertal"/>
    <m/>
    <n v="30"/>
    <x v="8"/>
    <x v="2"/>
  </r>
  <r>
    <x v="0"/>
    <d v="2009-10-23T00:00:00"/>
    <x v="5"/>
    <x v="19"/>
    <n v="1"/>
    <s v="Sigma 7/28"/>
    <s v="Cuchi Corral"/>
    <s v="Rio Pintos"/>
    <m/>
    <n v="50"/>
    <x v="40"/>
    <x v="2"/>
  </r>
  <r>
    <x v="4"/>
    <d v="2009-10-28T00:00:00"/>
    <x v="5"/>
    <x v="19"/>
    <n v="1"/>
    <s v="BiBeta 4"/>
    <s v="Cuchi Corral"/>
    <s v="Rio Pintos"/>
    <m/>
    <n v="7"/>
    <x v="1"/>
    <x v="2"/>
  </r>
  <r>
    <x v="0"/>
    <d v="2009-10-28T00:00:00"/>
    <x v="5"/>
    <x v="19"/>
    <n v="0"/>
    <s v="Sigma 7/28"/>
    <s v="Cuchi Corral"/>
    <s v="Strasse"/>
    <m/>
    <n v="24"/>
    <x v="61"/>
    <x v="2"/>
  </r>
  <r>
    <x v="4"/>
    <d v="2010-01-23T00:00:00"/>
    <x v="11"/>
    <x v="20"/>
    <n v="1"/>
    <s v="BiBeta 4"/>
    <s v="Heimat"/>
    <s v="Fiesch"/>
    <m/>
    <n v="19"/>
    <x v="20"/>
    <x v="2"/>
  </r>
  <r>
    <x v="0"/>
    <d v="2010-03-08T00:00:00"/>
    <x v="8"/>
    <x v="20"/>
    <n v="1"/>
    <s v="Sigma 7"/>
    <s v="Heimat"/>
    <s v="Fiesch"/>
    <m/>
    <n v="41"/>
    <x v="115"/>
    <x v="2"/>
  </r>
  <r>
    <x v="0"/>
    <d v="2010-04-09T00:00:00"/>
    <x v="9"/>
    <x v="20"/>
    <n v="1"/>
    <s v="Sigma 7"/>
    <s v="Heimat"/>
    <s v="Mung"/>
    <m/>
    <n v="20"/>
    <x v="5"/>
    <x v="2"/>
  </r>
  <r>
    <x v="0"/>
    <d v="2010-04-10T00:00:00"/>
    <x v="9"/>
    <x v="20"/>
    <n v="1"/>
    <s v="Sigma 7"/>
    <s v="Heimat"/>
    <s v="Mung"/>
    <m/>
    <n v="50"/>
    <x v="40"/>
    <x v="2"/>
  </r>
  <r>
    <x v="0"/>
    <d v="2010-04-10T00:00:00"/>
    <x v="9"/>
    <x v="20"/>
    <n v="0"/>
    <s v="Sigma 7"/>
    <s v="Heimat"/>
    <s v="Mung"/>
    <m/>
    <n v="10"/>
    <x v="4"/>
    <x v="2"/>
  </r>
  <r>
    <x v="0"/>
    <d v="2010-04-10T00:00:00"/>
    <x v="9"/>
    <x v="20"/>
    <n v="0"/>
    <s v="Sigma 7"/>
    <s v="Heimat"/>
    <s v="Fieschertal"/>
    <m/>
    <n v="20"/>
    <x v="5"/>
    <x v="2"/>
  </r>
  <r>
    <x v="0"/>
    <d v="2010-04-16T00:00:00"/>
    <x v="9"/>
    <x v="20"/>
    <n v="1"/>
    <s v="Sigma 7"/>
    <s v="Heimat"/>
    <s v="Fieschertal"/>
    <m/>
    <n v="20"/>
    <x v="5"/>
    <x v="2"/>
  </r>
  <r>
    <x v="4"/>
    <d v="2010-04-17T00:00:00"/>
    <x v="9"/>
    <x v="20"/>
    <n v="1"/>
    <s v="BiBeta 4"/>
    <s v="Heimat"/>
    <s v="Fieschertal"/>
    <n v="2"/>
    <n v="0"/>
    <x v="10"/>
    <x v="2"/>
  </r>
  <r>
    <x v="0"/>
    <d v="2010-05-24T00:00:00"/>
    <x v="0"/>
    <x v="20"/>
    <n v="1"/>
    <s v="Sigma 7"/>
    <s v="Pizzorne"/>
    <s v="Matria / Lucca"/>
    <m/>
    <n v="39"/>
    <x v="131"/>
    <x v="15"/>
  </r>
  <r>
    <x v="0"/>
    <d v="2010-05-24T00:00:00"/>
    <x v="0"/>
    <x v="20"/>
    <n v="0"/>
    <s v="Sigma 7"/>
    <s v="Pizzorne"/>
    <s v="Matria / Lucca"/>
    <n v="1"/>
    <n v="26"/>
    <x v="64"/>
    <x v="15"/>
  </r>
  <r>
    <x v="0"/>
    <d v="2010-05-25T00:00:00"/>
    <x v="0"/>
    <x v="20"/>
    <n v="1"/>
    <s v="Sigma 7"/>
    <s v="Prato Fiori"/>
    <s v="Prato Fiori"/>
    <m/>
    <n v="30"/>
    <x v="8"/>
    <x v="15"/>
  </r>
  <r>
    <x v="0"/>
    <d v="2010-05-25T00:00:00"/>
    <x v="0"/>
    <x v="20"/>
    <n v="0"/>
    <s v="Sigma 7"/>
    <s v="Prato Fiori"/>
    <s v="Prato Fiori"/>
    <m/>
    <n v="15"/>
    <x v="15"/>
    <x v="15"/>
  </r>
  <r>
    <x v="0"/>
    <d v="2010-05-26T00:00:00"/>
    <x v="0"/>
    <x v="20"/>
    <n v="1"/>
    <s v="Sigma 7"/>
    <s v="Pizzorne"/>
    <s v="Matria / Lucca"/>
    <m/>
    <n v="40"/>
    <x v="33"/>
    <x v="15"/>
  </r>
  <r>
    <x v="4"/>
    <d v="2010-05-26T00:00:00"/>
    <x v="0"/>
    <x v="20"/>
    <n v="0"/>
    <s v="BiBeta 4"/>
    <s v="Pizzorne"/>
    <s v="Matria / Lucca"/>
    <m/>
    <n v="30"/>
    <x v="8"/>
    <x v="15"/>
  </r>
  <r>
    <x v="4"/>
    <d v="2010-05-26T00:00:00"/>
    <x v="0"/>
    <x v="20"/>
    <n v="0"/>
    <s v="BiBeta 4"/>
    <s v="Diezimo"/>
    <s v="Diezimo"/>
    <m/>
    <n v="42"/>
    <x v="66"/>
    <x v="15"/>
  </r>
  <r>
    <x v="0"/>
    <d v="2010-05-27T00:00:00"/>
    <x v="0"/>
    <x v="20"/>
    <n v="1"/>
    <s v="Sigma 7"/>
    <s v="Pizzorne"/>
    <s v="Matria / Lucca"/>
    <m/>
    <n v="15"/>
    <x v="15"/>
    <x v="15"/>
  </r>
  <r>
    <x v="0"/>
    <d v="2010-05-28T00:00:00"/>
    <x v="0"/>
    <x v="20"/>
    <n v="1"/>
    <s v="Sigma 7"/>
    <s v="Pizzorne"/>
    <s v="Matria / Lucca"/>
    <m/>
    <n v="22"/>
    <x v="42"/>
    <x v="15"/>
  </r>
  <r>
    <x v="0"/>
    <d v="2010-05-28T00:00:00"/>
    <x v="0"/>
    <x v="20"/>
    <n v="0"/>
    <s v="Sigma 7"/>
    <s v="Pizzorne"/>
    <s v="Hazienda"/>
    <m/>
    <n v="50"/>
    <x v="40"/>
    <x v="15"/>
  </r>
  <r>
    <x v="0"/>
    <d v="2010-06-04T00:00:00"/>
    <x v="1"/>
    <x v="20"/>
    <n v="1"/>
    <s v="Sigma 7"/>
    <s v="Heimat"/>
    <s v="Fieschertal"/>
    <m/>
    <n v="12"/>
    <x v="6"/>
    <x v="2"/>
  </r>
  <r>
    <x v="4"/>
    <d v="2010-06-05T00:00:00"/>
    <x v="1"/>
    <x v="20"/>
    <n v="1"/>
    <s v="BiBeta 4"/>
    <s v="Eggishorn"/>
    <s v="Fieschertal"/>
    <m/>
    <n v="54"/>
    <x v="28"/>
    <x v="2"/>
  </r>
  <r>
    <x v="0"/>
    <d v="2010-06-06T00:00:00"/>
    <x v="1"/>
    <x v="20"/>
    <n v="1"/>
    <s v="Sigma 7"/>
    <s v="Heimat"/>
    <s v="Baschi"/>
    <m/>
    <n v="47"/>
    <x v="132"/>
    <x v="2"/>
  </r>
  <r>
    <x v="0"/>
    <d v="2010-06-21T00:00:00"/>
    <x v="1"/>
    <x v="20"/>
    <n v="1"/>
    <s v="Sigma 7"/>
    <s v="Obern"/>
    <s v="Turtmann"/>
    <m/>
    <n v="16"/>
    <x v="19"/>
    <x v="18"/>
  </r>
  <r>
    <x v="0"/>
    <d v="2010-06-22T00:00:00"/>
    <x v="1"/>
    <x v="20"/>
    <n v="1"/>
    <s v="Sigma 7"/>
    <s v="Wispile"/>
    <s v="Gstaad"/>
    <m/>
    <n v="51"/>
    <x v="21"/>
    <x v="18"/>
  </r>
  <r>
    <x v="0"/>
    <d v="2010-06-22T00:00:00"/>
    <x v="1"/>
    <x v="20"/>
    <n v="0"/>
    <s v="Sigma 7"/>
    <s v="Levandry"/>
    <s v="Grandvillard"/>
    <m/>
    <n v="15"/>
    <x v="15"/>
    <x v="18"/>
  </r>
  <r>
    <x v="0"/>
    <d v="2010-06-23T00:00:00"/>
    <x v="1"/>
    <x v="20"/>
    <n v="1"/>
    <s v="Sigma 7"/>
    <s v="Wispile"/>
    <s v="Gstaad"/>
    <n v="1"/>
    <n v="28"/>
    <x v="80"/>
    <x v="18"/>
  </r>
  <r>
    <x v="4"/>
    <d v="2010-06-23T00:00:00"/>
    <x v="1"/>
    <x v="20"/>
    <n v="0"/>
    <s v="BiBeta 4"/>
    <s v="Niesen"/>
    <s v="Spiez"/>
    <m/>
    <n v="27"/>
    <x v="34"/>
    <x v="18"/>
  </r>
  <r>
    <x v="4"/>
    <d v="2010-06-24T00:00:00"/>
    <x v="1"/>
    <x v="20"/>
    <n v="1"/>
    <s v="BiBeta 4"/>
    <s v="First"/>
    <s v="Grund"/>
    <m/>
    <n v="56"/>
    <x v="68"/>
    <x v="18"/>
  </r>
  <r>
    <x v="4"/>
    <d v="2010-06-24T00:00:00"/>
    <x v="1"/>
    <x v="20"/>
    <n v="0"/>
    <s v="BiBeta 4"/>
    <s v="Schinige Platte"/>
    <s v="Höhenmatte"/>
    <m/>
    <n v="35"/>
    <x v="119"/>
    <x v="18"/>
  </r>
  <r>
    <x v="4"/>
    <d v="2010-06-25T00:00:00"/>
    <x v="1"/>
    <x v="20"/>
    <n v="1"/>
    <s v="BiBeta 4"/>
    <s v="Jungfraujoch"/>
    <s v="Wilderswil"/>
    <m/>
    <n v="35"/>
    <x v="119"/>
    <x v="18"/>
  </r>
  <r>
    <x v="0"/>
    <d v="2010-06-26T00:00:00"/>
    <x v="1"/>
    <x v="20"/>
    <n v="1"/>
    <s v="Sigma 7"/>
    <s v="Galfera"/>
    <s v="Fieschertal"/>
    <n v="2"/>
    <n v="36"/>
    <x v="138"/>
    <x v="2"/>
  </r>
  <r>
    <x v="0"/>
    <d v="2010-06-27T00:00:00"/>
    <x v="1"/>
    <x v="20"/>
    <n v="1"/>
    <s v="Sigma 7"/>
    <s v="Galfera"/>
    <s v="Fieschertal"/>
    <n v="1"/>
    <n v="58"/>
    <x v="104"/>
    <x v="2"/>
  </r>
  <r>
    <x v="0"/>
    <d v="2010-06-28T00:00:00"/>
    <x v="1"/>
    <x v="20"/>
    <n v="1"/>
    <s v="Sigma 7"/>
    <s v="Galfera"/>
    <s v="Baschi"/>
    <n v="1"/>
    <n v="2"/>
    <x v="110"/>
    <x v="2"/>
  </r>
  <r>
    <x v="0"/>
    <d v="2010-07-02T00:00:00"/>
    <x v="2"/>
    <x v="20"/>
    <n v="1"/>
    <s v="Sigma 7"/>
    <s v="Heimat"/>
    <s v="Baschi"/>
    <n v="1"/>
    <n v="40"/>
    <x v="48"/>
    <x v="2"/>
  </r>
  <r>
    <x v="1"/>
    <d v="2010-07-03T00:00:00"/>
    <x v="2"/>
    <x v="20"/>
    <n v="1"/>
    <s v="Sigma 7"/>
    <s v="Axalp"/>
    <s v="Brienzersee"/>
    <m/>
    <n v="15"/>
    <x v="15"/>
    <x v="19"/>
  </r>
  <r>
    <x v="1"/>
    <d v="2010-07-03T00:00:00"/>
    <x v="2"/>
    <x v="20"/>
    <n v="0"/>
    <s v="Sigma 7"/>
    <s v="Axalp"/>
    <s v="Brienzersee"/>
    <m/>
    <n v="15"/>
    <x v="15"/>
    <x v="19"/>
  </r>
  <r>
    <x v="1"/>
    <d v="2010-07-03T00:00:00"/>
    <x v="2"/>
    <x v="20"/>
    <n v="0"/>
    <s v="Sigma 7"/>
    <s v="Axalp"/>
    <s v="Brienzersee"/>
    <m/>
    <n v="15"/>
    <x v="15"/>
    <x v="19"/>
  </r>
  <r>
    <x v="1"/>
    <d v="2010-07-04T00:00:00"/>
    <x v="2"/>
    <x v="20"/>
    <n v="1"/>
    <s v="Sigma 7"/>
    <s v="Axalp"/>
    <s v="Brienzersee"/>
    <m/>
    <n v="15"/>
    <x v="15"/>
    <x v="19"/>
  </r>
  <r>
    <x v="1"/>
    <d v="2010-07-04T00:00:00"/>
    <x v="2"/>
    <x v="20"/>
    <n v="0"/>
    <s v="Sigma 7"/>
    <s v="Axalp"/>
    <s v="Brienzersee"/>
    <m/>
    <n v="15"/>
    <x v="15"/>
    <x v="19"/>
  </r>
  <r>
    <x v="0"/>
    <d v="2010-07-06T00:00:00"/>
    <x v="2"/>
    <x v="20"/>
    <n v="1"/>
    <s v="Sigma 7"/>
    <s v="Heimat"/>
    <s v="Fieschertal"/>
    <m/>
    <n v="40"/>
    <x v="33"/>
    <x v="2"/>
  </r>
  <r>
    <x v="0"/>
    <d v="2010-07-07T00:00:00"/>
    <x v="2"/>
    <x v="20"/>
    <n v="1"/>
    <s v="Sigma 7"/>
    <s v="Heimat"/>
    <s v="Fieschertal"/>
    <n v="1"/>
    <n v="32"/>
    <x v="32"/>
    <x v="2"/>
  </r>
  <r>
    <x v="0"/>
    <d v="2010-07-09T00:00:00"/>
    <x v="2"/>
    <x v="20"/>
    <n v="1"/>
    <s v="Sigma 7"/>
    <s v="Galfera"/>
    <s v="Baschi"/>
    <n v="1"/>
    <n v="54"/>
    <x v="96"/>
    <x v="2"/>
  </r>
  <r>
    <x v="0"/>
    <d v="2010-07-18T00:00:00"/>
    <x v="2"/>
    <x v="20"/>
    <n v="1"/>
    <s v="Sigma 7"/>
    <s v="Galfera"/>
    <s v="Fiesch"/>
    <m/>
    <n v="50"/>
    <x v="40"/>
    <x v="2"/>
  </r>
  <r>
    <x v="0"/>
    <d v="2010-07-31T00:00:00"/>
    <x v="2"/>
    <x v="20"/>
    <n v="1"/>
    <s v="Sigma 7"/>
    <s v="Galfera"/>
    <s v="Baschi"/>
    <n v="2"/>
    <n v="18"/>
    <x v="139"/>
    <x v="2"/>
  </r>
  <r>
    <x v="0"/>
    <d v="2010-07-31T00:00:00"/>
    <x v="2"/>
    <x v="20"/>
    <n v="0"/>
    <s v="Sigma 7"/>
    <s v="Breithorn"/>
    <s v="Fieschertal"/>
    <m/>
    <n v="53"/>
    <x v="137"/>
    <x v="2"/>
  </r>
  <r>
    <x v="0"/>
    <d v="2010-08-01T00:00:00"/>
    <x v="3"/>
    <x v="20"/>
    <n v="1"/>
    <s v="Sigma 7"/>
    <s v="Galfera"/>
    <s v="Fiesch"/>
    <n v="1"/>
    <n v="49"/>
    <x v="126"/>
    <x v="2"/>
  </r>
  <r>
    <x v="0"/>
    <d v="2010-08-07T00:00:00"/>
    <x v="3"/>
    <x v="20"/>
    <n v="1"/>
    <s v="Sigma 7"/>
    <s v="Galfera"/>
    <s v="Fiesch"/>
    <n v="2"/>
    <n v="1"/>
    <x v="62"/>
    <x v="2"/>
  </r>
  <r>
    <x v="4"/>
    <d v="2010-08-22T00:00:00"/>
    <x v="3"/>
    <x v="20"/>
    <n v="1"/>
    <s v="BiBeta 4"/>
    <s v="Chalet Ü50"/>
    <s v="Fieschertal"/>
    <m/>
    <n v="30"/>
    <x v="8"/>
    <x v="2"/>
  </r>
  <r>
    <x v="0"/>
    <d v="2010-08-25T00:00:00"/>
    <x v="3"/>
    <x v="20"/>
    <n v="1"/>
    <s v="Sigma 7"/>
    <s v="Steibenkreuz"/>
    <s v="Reckingen"/>
    <m/>
    <n v="58"/>
    <x v="95"/>
    <x v="2"/>
  </r>
  <r>
    <x v="0"/>
    <d v="2010-08-26T00:00:00"/>
    <x v="3"/>
    <x v="20"/>
    <n v="1"/>
    <s v="Sigma 7"/>
    <s v="Steibenkreuz"/>
    <s v="Kapelle"/>
    <m/>
    <n v="16"/>
    <x v="19"/>
    <x v="2"/>
  </r>
  <r>
    <x v="4"/>
    <d v="2010-08-29T00:00:00"/>
    <x v="3"/>
    <x v="20"/>
    <n v="1"/>
    <s v="BiBeta 4"/>
    <s v="Chalet Ü50"/>
    <s v="Fieschertal"/>
    <m/>
    <n v="34"/>
    <x v="50"/>
    <x v="2"/>
  </r>
  <r>
    <x v="0"/>
    <d v="2010-09-01T00:00:00"/>
    <x v="4"/>
    <x v="20"/>
    <n v="1"/>
    <s v="Sigma 7"/>
    <s v="Heimat"/>
    <s v="Fieschertal"/>
    <m/>
    <n v="19"/>
    <x v="20"/>
    <x v="2"/>
  </r>
  <r>
    <x v="0"/>
    <d v="2010-09-01T00:00:00"/>
    <x v="4"/>
    <x v="20"/>
    <n v="0"/>
    <s v="Sigma 7"/>
    <s v="Heimat"/>
    <s v="Fieschertal"/>
    <m/>
    <n v="43"/>
    <x v="118"/>
    <x v="2"/>
  </r>
  <r>
    <x v="0"/>
    <d v="2010-09-02T00:00:00"/>
    <x v="4"/>
    <x v="20"/>
    <n v="1"/>
    <s v="Sigma 7"/>
    <s v="Heimat"/>
    <s v="Fieschertal"/>
    <m/>
    <n v="11"/>
    <x v="14"/>
    <x v="2"/>
  </r>
  <r>
    <x v="0"/>
    <d v="2010-09-02T00:00:00"/>
    <x v="4"/>
    <x v="20"/>
    <n v="0"/>
    <s v="Sigma 7"/>
    <s v="Heimat"/>
    <s v="Fieschertal"/>
    <m/>
    <n v="31"/>
    <x v="103"/>
    <x v="2"/>
  </r>
  <r>
    <x v="0"/>
    <d v="2010-09-03T00:00:00"/>
    <x v="4"/>
    <x v="20"/>
    <n v="1"/>
    <s v="Omega 8"/>
    <s v="Heimat"/>
    <s v="Fieschertal"/>
    <m/>
    <n v="20"/>
    <x v="5"/>
    <x v="2"/>
  </r>
  <r>
    <x v="0"/>
    <d v="2010-09-03T00:00:00"/>
    <x v="4"/>
    <x v="20"/>
    <n v="0"/>
    <s v="Sigma 7"/>
    <s v="Heimat"/>
    <s v="Fieschertal"/>
    <m/>
    <n v="23"/>
    <x v="92"/>
    <x v="2"/>
  </r>
  <r>
    <x v="0"/>
    <d v="2010-09-04T00:00:00"/>
    <x v="4"/>
    <x v="20"/>
    <n v="1"/>
    <s v="Sigma 7"/>
    <s v="Heimat"/>
    <s v="Baschi"/>
    <m/>
    <n v="50"/>
    <x v="40"/>
    <x v="2"/>
  </r>
  <r>
    <x v="4"/>
    <d v="2010-09-05T00:00:00"/>
    <x v="4"/>
    <x v="20"/>
    <n v="1"/>
    <s v="BiBeta 4"/>
    <s v="Rodella"/>
    <s v="Campitello"/>
    <m/>
    <n v="53"/>
    <x v="137"/>
    <x v="13"/>
  </r>
  <r>
    <x v="0"/>
    <d v="2010-09-06T00:00:00"/>
    <x v="4"/>
    <x v="20"/>
    <n v="1"/>
    <s v="Sigma 7"/>
    <s v="Rodella"/>
    <s v="Campitello"/>
    <m/>
    <n v="37"/>
    <x v="51"/>
    <x v="13"/>
  </r>
  <r>
    <x v="4"/>
    <d v="2010-09-06T00:00:00"/>
    <x v="4"/>
    <x v="20"/>
    <n v="0"/>
    <s v="BiBeta 4"/>
    <s v="Rosengarten"/>
    <s v="Karrerpass"/>
    <m/>
    <n v="9"/>
    <x v="22"/>
    <x v="13"/>
  </r>
  <r>
    <x v="0"/>
    <d v="2010-09-09T00:00:00"/>
    <x v="4"/>
    <x v="20"/>
    <n v="1"/>
    <s v="Sigma 7"/>
    <s v="Rodella"/>
    <s v="Campitello"/>
    <m/>
    <n v="38"/>
    <x v="17"/>
    <x v="13"/>
  </r>
  <r>
    <x v="0"/>
    <d v="2010-09-09T00:00:00"/>
    <x v="4"/>
    <x v="20"/>
    <n v="0"/>
    <s v="Sigma 7"/>
    <s v="Rodella"/>
    <s v="Campitello"/>
    <m/>
    <n v="29"/>
    <x v="85"/>
    <x v="13"/>
  </r>
  <r>
    <x v="0"/>
    <d v="2010-09-10T00:00:00"/>
    <x v="4"/>
    <x v="20"/>
    <n v="1"/>
    <s v="Sigma 7"/>
    <s v="da Beppi"/>
    <s v="Bassano"/>
    <n v="1"/>
    <n v="49"/>
    <x v="126"/>
    <x v="13"/>
  </r>
  <r>
    <x v="0"/>
    <d v="2010-09-10T00:00:00"/>
    <x v="4"/>
    <x v="20"/>
    <n v="0"/>
    <s v="Sigma 7"/>
    <s v="Casette"/>
    <s v="Bassano"/>
    <n v="1"/>
    <n v="26"/>
    <x v="64"/>
    <x v="13"/>
  </r>
  <r>
    <x v="0"/>
    <d v="2010-09-12T00:00:00"/>
    <x v="4"/>
    <x v="20"/>
    <n v="1"/>
    <s v="Sigma 7"/>
    <s v="Galfera"/>
    <s v="Fieschertal"/>
    <m/>
    <n v="15"/>
    <x v="15"/>
    <x v="2"/>
  </r>
  <r>
    <x v="0"/>
    <d v="2010-10-09T00:00:00"/>
    <x v="5"/>
    <x v="20"/>
    <n v="1"/>
    <s v="Sigma 7"/>
    <s v="Heimat"/>
    <s v="Fieschertal"/>
    <m/>
    <n v="15"/>
    <x v="15"/>
    <x v="2"/>
  </r>
  <r>
    <x v="0"/>
    <d v="2010-10-10T00:00:00"/>
    <x v="5"/>
    <x v="20"/>
    <n v="1"/>
    <s v="Sigma 7"/>
    <s v="Heimat"/>
    <s v="Fieschertal"/>
    <m/>
    <n v="26"/>
    <x v="134"/>
    <x v="2"/>
  </r>
  <r>
    <x v="0"/>
    <d v="2010-10-10T00:00:00"/>
    <x v="5"/>
    <x v="20"/>
    <n v="0"/>
    <s v="Sigma 7"/>
    <s v="Heimat"/>
    <s v="Fieschertal"/>
    <m/>
    <n v="11"/>
    <x v="14"/>
    <x v="2"/>
  </r>
  <r>
    <x v="0"/>
    <d v="2010-10-25T00:00:00"/>
    <x v="5"/>
    <x v="20"/>
    <n v="1"/>
    <s v="Sigma 7"/>
    <s v="Chalves W"/>
    <s v="St. André"/>
    <m/>
    <n v="7"/>
    <x v="1"/>
    <x v="5"/>
  </r>
  <r>
    <x v="0"/>
    <d v="2010-10-25T00:00:00"/>
    <x v="5"/>
    <x v="20"/>
    <n v="0"/>
    <s v="Sigma 7"/>
    <s v="Chalves W"/>
    <s v="St. André"/>
    <m/>
    <n v="28"/>
    <x v="63"/>
    <x v="5"/>
  </r>
  <r>
    <x v="0"/>
    <d v="2010-10-26T00:00:00"/>
    <x v="5"/>
    <x v="20"/>
    <n v="1"/>
    <s v="Sigma 7"/>
    <s v="Chalves S"/>
    <s v="St. André"/>
    <m/>
    <n v="11"/>
    <x v="14"/>
    <x v="5"/>
  </r>
  <r>
    <x v="0"/>
    <d v="2010-10-26T00:00:00"/>
    <x v="5"/>
    <x v="20"/>
    <n v="0"/>
    <s v="Sigma 7"/>
    <s v="Chalvet W"/>
    <s v="St. André"/>
    <n v="1"/>
    <n v="21"/>
    <x v="140"/>
    <x v="5"/>
  </r>
  <r>
    <x v="0"/>
    <d v="2010-10-26T00:00:00"/>
    <x v="5"/>
    <x v="20"/>
    <n v="0"/>
    <s v="Sigma 7"/>
    <s v="Chalvet W"/>
    <s v="St. André"/>
    <m/>
    <n v="52"/>
    <x v="37"/>
    <x v="5"/>
  </r>
  <r>
    <x v="0"/>
    <d v="2010-10-27T00:00:00"/>
    <x v="5"/>
    <x v="20"/>
    <n v="1"/>
    <s v="Sigma 7"/>
    <s v="Gourdon/Site de l'ambarniere"/>
    <s v="Les Vallettes/Bar sur loup"/>
    <m/>
    <n v="44"/>
    <x v="99"/>
    <x v="5"/>
  </r>
  <r>
    <x v="0"/>
    <d v="2010-10-27T00:00:00"/>
    <x v="5"/>
    <x v="20"/>
    <n v="0"/>
    <s v="Sigma 7"/>
    <s v="Mt Gros"/>
    <s v="Roque brunnes"/>
    <n v="1"/>
    <n v="0"/>
    <x v="47"/>
    <x v="5"/>
  </r>
  <r>
    <x v="0"/>
    <d v="2010-10-28T00:00:00"/>
    <x v="5"/>
    <x v="20"/>
    <n v="1"/>
    <s v="Sigma 7"/>
    <s v="Mt Gros"/>
    <s v="Roque brunnes"/>
    <m/>
    <n v="22"/>
    <x v="42"/>
    <x v="5"/>
  </r>
  <r>
    <x v="0"/>
    <d v="2010-10-29T00:00:00"/>
    <x v="5"/>
    <x v="20"/>
    <n v="1"/>
    <s v="Sigma 7"/>
    <s v="Mt Gros"/>
    <s v="Roque brunnes"/>
    <m/>
    <n v="20"/>
    <x v="5"/>
    <x v="5"/>
  </r>
  <r>
    <x v="4"/>
    <d v="2011-01-01T00:00:00"/>
    <x v="11"/>
    <x v="21"/>
    <n v="1"/>
    <s v="BiBeta 4"/>
    <s v="Heimat"/>
    <s v="Fiesch"/>
    <m/>
    <n v="15"/>
    <x v="15"/>
    <x v="2"/>
  </r>
  <r>
    <x v="0"/>
    <d v="2011-01-16T00:00:00"/>
    <x v="11"/>
    <x v="21"/>
    <n v="1"/>
    <s v="Sigma 7"/>
    <s v="Heimat"/>
    <s v="Fiesch"/>
    <n v="1"/>
    <n v="19"/>
    <x v="53"/>
    <x v="2"/>
  </r>
  <r>
    <x v="0"/>
    <d v="2011-03-02T00:00:00"/>
    <x v="8"/>
    <x v="21"/>
    <n v="1"/>
    <s v="Sigma 7"/>
    <s v="Heimat"/>
    <s v="Fieschertal"/>
    <m/>
    <n v="16"/>
    <x v="19"/>
    <x v="2"/>
  </r>
  <r>
    <x v="0"/>
    <d v="2011-03-04T00:00:00"/>
    <x v="8"/>
    <x v="21"/>
    <n v="1"/>
    <s v="Sigma 7"/>
    <s v="Heimat"/>
    <s v="Fieschertal"/>
    <m/>
    <n v="46"/>
    <x v="141"/>
    <x v="2"/>
  </r>
  <r>
    <x v="0"/>
    <d v="2011-03-05T00:00:00"/>
    <x v="8"/>
    <x v="21"/>
    <n v="1"/>
    <s v="Sigma 7"/>
    <s v="Heimat"/>
    <s v="Fieschertal"/>
    <n v="1"/>
    <n v="20"/>
    <x v="46"/>
    <x v="2"/>
  </r>
  <r>
    <x v="0"/>
    <d v="2011-03-07T00:00:00"/>
    <x v="8"/>
    <x v="21"/>
    <n v="1"/>
    <s v="Sigma 7"/>
    <s v="Heimat"/>
    <s v="Fiesch"/>
    <m/>
    <n v="58"/>
    <x v="95"/>
    <x v="2"/>
  </r>
  <r>
    <x v="0"/>
    <d v="2011-03-08T00:00:00"/>
    <x v="8"/>
    <x v="21"/>
    <n v="1"/>
    <s v="Sigma 7"/>
    <s v="Heimat"/>
    <s v="Baschi"/>
    <n v="1"/>
    <n v="38"/>
    <x v="128"/>
    <x v="2"/>
  </r>
  <r>
    <x v="0"/>
    <d v="2011-03-09T00:00:00"/>
    <x v="8"/>
    <x v="21"/>
    <n v="1"/>
    <s v="Sigma 7"/>
    <s v="Heimat"/>
    <s v="Baschi"/>
    <n v="2"/>
    <n v="0"/>
    <x v="10"/>
    <x v="2"/>
  </r>
  <r>
    <x v="0"/>
    <d v="2011-03-10T00:00:00"/>
    <x v="8"/>
    <x v="21"/>
    <n v="1"/>
    <s v="Sigma 7"/>
    <s v="Heimat"/>
    <s v="Baschi"/>
    <n v="1"/>
    <n v="0"/>
    <x v="47"/>
    <x v="2"/>
  </r>
  <r>
    <x v="0"/>
    <d v="2011-03-11T00:00:00"/>
    <x v="8"/>
    <x v="21"/>
    <n v="1"/>
    <s v="Sigma 7"/>
    <s v="Heimat"/>
    <s v="Baschi"/>
    <n v="2"/>
    <n v="1"/>
    <x v="62"/>
    <x v="2"/>
  </r>
  <r>
    <x v="0"/>
    <d v="2011-03-25T00:00:00"/>
    <x v="8"/>
    <x v="21"/>
    <n v="1"/>
    <s v="Sigma 8"/>
    <s v="Heimat"/>
    <s v="Fieschertal"/>
    <n v="1"/>
    <n v="40"/>
    <x v="48"/>
    <x v="2"/>
  </r>
  <r>
    <x v="0"/>
    <d v="2011-03-26T00:00:00"/>
    <x v="8"/>
    <x v="21"/>
    <n v="1"/>
    <s v="Sigma 8"/>
    <s v="Heimat"/>
    <s v="Fieschertal"/>
    <m/>
    <n v="25"/>
    <x v="52"/>
    <x v="2"/>
  </r>
  <r>
    <x v="0"/>
    <d v="2011-04-02T00:00:00"/>
    <x v="9"/>
    <x v="21"/>
    <n v="1"/>
    <s v="Sigma 8"/>
    <s v="Heimat"/>
    <s v="Fieschertal"/>
    <n v="2"/>
    <n v="7"/>
    <x v="114"/>
    <x v="2"/>
  </r>
  <r>
    <x v="4"/>
    <d v="2011-04-03T00:00:00"/>
    <x v="9"/>
    <x v="21"/>
    <n v="1"/>
    <s v="BiBeta 4"/>
    <s v="Heimat"/>
    <s v="Fieschertal"/>
    <m/>
    <n v="38"/>
    <x v="17"/>
    <x v="2"/>
  </r>
  <r>
    <x v="0"/>
    <d v="2011-04-09T00:00:00"/>
    <x v="9"/>
    <x v="21"/>
    <n v="1"/>
    <s v="Sigma 8"/>
    <s v="Heimat"/>
    <s v="Fieschertal"/>
    <n v="1"/>
    <n v="10"/>
    <x v="142"/>
    <x v="2"/>
  </r>
  <r>
    <x v="0"/>
    <d v="2011-04-10T00:00:00"/>
    <x v="9"/>
    <x v="21"/>
    <n v="1"/>
    <s v="Sigma 8"/>
    <s v="Heimat"/>
    <s v="Fieschertal"/>
    <m/>
    <n v="46"/>
    <x v="141"/>
    <x v="2"/>
  </r>
  <r>
    <x v="0"/>
    <d v="2011-04-21T00:00:00"/>
    <x v="9"/>
    <x v="21"/>
    <n v="1"/>
    <s v="Sigma 8"/>
    <s v="Heimat"/>
    <s v="Fiesch"/>
    <m/>
    <n v="8"/>
    <x v="3"/>
    <x v="2"/>
  </r>
  <r>
    <x v="0"/>
    <d v="2011-04-23T00:00:00"/>
    <x v="9"/>
    <x v="21"/>
    <n v="1"/>
    <s v="Sigma 8"/>
    <s v="Heimat"/>
    <s v="Fieschertal"/>
    <m/>
    <n v="14"/>
    <x v="11"/>
    <x v="2"/>
  </r>
  <r>
    <x v="0"/>
    <d v="2011-04-24T00:00:00"/>
    <x v="9"/>
    <x v="21"/>
    <n v="1"/>
    <s v="Sigma 8"/>
    <s v="Heimat"/>
    <s v="Fieschertal"/>
    <n v="1"/>
    <n v="37"/>
    <x v="143"/>
    <x v="2"/>
  </r>
  <r>
    <x v="0"/>
    <d v="2011-05-07T00:00:00"/>
    <x v="0"/>
    <x v="21"/>
    <n v="1"/>
    <s v="Sigma 8"/>
    <s v="Grenchenberg S"/>
    <s v="Lengnau"/>
    <m/>
    <n v="41"/>
    <x v="115"/>
    <x v="2"/>
  </r>
  <r>
    <x v="0"/>
    <d v="2011-05-28T00:00:00"/>
    <x v="0"/>
    <x v="21"/>
    <n v="1"/>
    <s v="Sigma 8"/>
    <s v="Muti"/>
    <s v="Fieschertal"/>
    <m/>
    <n v="43"/>
    <x v="118"/>
    <x v="2"/>
  </r>
  <r>
    <x v="0"/>
    <d v="2011-05-29T00:00:00"/>
    <x v="0"/>
    <x v="21"/>
    <n v="1"/>
    <s v="Sigma 8"/>
    <s v="Pizzorne"/>
    <s v="Matria / Lucca"/>
    <n v="1"/>
    <n v="26"/>
    <x v="64"/>
    <x v="15"/>
  </r>
  <r>
    <x v="0"/>
    <d v="2011-05-30T00:00:00"/>
    <x v="0"/>
    <x v="21"/>
    <n v="1"/>
    <s v="Sigma 8"/>
    <s v="Prato Fiori"/>
    <s v="Prato Fiori"/>
    <m/>
    <n v="30"/>
    <x v="8"/>
    <x v="15"/>
  </r>
  <r>
    <x v="0"/>
    <d v="2011-05-30T00:00:00"/>
    <x v="0"/>
    <x v="21"/>
    <n v="0"/>
    <s v="Sigma 8"/>
    <s v="Prato Fiori"/>
    <s v="Prato Fiori"/>
    <n v="1"/>
    <n v="9"/>
    <x v="116"/>
    <x v="15"/>
  </r>
  <r>
    <x v="0"/>
    <d v="2011-05-30T00:00:00"/>
    <x v="0"/>
    <x v="21"/>
    <n v="0"/>
    <s v="Sigma 8"/>
    <s v="Diezimo"/>
    <s v="Diezimo"/>
    <n v="1"/>
    <n v="37"/>
    <x v="143"/>
    <x v="15"/>
  </r>
  <r>
    <x v="4"/>
    <d v="2011-05-31T00:00:00"/>
    <x v="0"/>
    <x v="21"/>
    <n v="1"/>
    <s v="BiBeta 4"/>
    <s v="Pizzorne"/>
    <s v="Matria / Lucca"/>
    <m/>
    <n v="20"/>
    <x v="5"/>
    <x v="15"/>
  </r>
  <r>
    <x v="0"/>
    <d v="2011-06-12T00:00:00"/>
    <x v="1"/>
    <x v="21"/>
    <n v="1"/>
    <s v="Sigma 8"/>
    <s v="Heimat"/>
    <s v="Baschi"/>
    <n v="1"/>
    <n v="21"/>
    <x v="140"/>
    <x v="2"/>
  </r>
  <r>
    <x v="0"/>
    <d v="2011-06-26T00:00:00"/>
    <x v="1"/>
    <x v="21"/>
    <n v="1"/>
    <s v="Sigma 8"/>
    <s v="Galfera"/>
    <s v="Fieschertal"/>
    <n v="1"/>
    <n v="20"/>
    <x v="46"/>
    <x v="2"/>
  </r>
  <r>
    <x v="0"/>
    <d v="2011-06-27T00:00:00"/>
    <x v="1"/>
    <x v="21"/>
    <n v="1"/>
    <s v="Sigma 8"/>
    <s v="Jllhorn"/>
    <s v="Chalais"/>
    <n v="1"/>
    <n v="22"/>
    <x v="91"/>
    <x v="18"/>
  </r>
  <r>
    <x v="0"/>
    <d v="2011-06-27T00:00:00"/>
    <x v="1"/>
    <x v="21"/>
    <n v="0"/>
    <s v="Sigma 8"/>
    <s v="Sonchaux"/>
    <s v="Villneuve"/>
    <n v="1"/>
    <n v="4"/>
    <x v="38"/>
    <x v="18"/>
  </r>
  <r>
    <x v="4"/>
    <d v="2011-06-28T00:00:00"/>
    <x v="1"/>
    <x v="21"/>
    <n v="1"/>
    <s v="BiBeta 4"/>
    <s v="Scex Rouge"/>
    <s v="Les Diablerets"/>
    <m/>
    <n v="46"/>
    <x v="141"/>
    <x v="18"/>
  </r>
  <r>
    <x v="0"/>
    <d v="2011-06-28T00:00:00"/>
    <x v="1"/>
    <x v="21"/>
    <n v="0"/>
    <s v="Sigma 8"/>
    <s v="Scex Rouge"/>
    <s v="Gstaad"/>
    <n v="1"/>
    <n v="5"/>
    <x v="45"/>
    <x v="18"/>
  </r>
  <r>
    <x v="0"/>
    <d v="2011-07-01T00:00:00"/>
    <x v="2"/>
    <x v="21"/>
    <n v="1"/>
    <s v="Sigma 8"/>
    <s v="Mürren"/>
    <s v="Stechelberg"/>
    <m/>
    <n v="14"/>
    <x v="11"/>
    <x v="18"/>
  </r>
  <r>
    <x v="0"/>
    <d v="2011-07-02T00:00:00"/>
    <x v="2"/>
    <x v="21"/>
    <n v="1"/>
    <s v="Sigma 8"/>
    <s v="Heimat"/>
    <s v="Fieschertal"/>
    <m/>
    <n v="56"/>
    <x v="68"/>
    <x v="2"/>
  </r>
  <r>
    <x v="0"/>
    <d v="2011-07-03T00:00:00"/>
    <x v="2"/>
    <x v="21"/>
    <n v="1"/>
    <s v="Sigma 8"/>
    <s v="Heimat"/>
    <s v="Fieschertal"/>
    <n v="2"/>
    <n v="35"/>
    <x v="108"/>
    <x v="2"/>
  </r>
  <r>
    <x v="1"/>
    <d v="2011-07-09T00:00:00"/>
    <x v="2"/>
    <x v="21"/>
    <n v="1"/>
    <s v="Sigma 8"/>
    <s v="Axalp"/>
    <s v="Brienz"/>
    <m/>
    <n v="15"/>
    <x v="15"/>
    <x v="19"/>
  </r>
  <r>
    <x v="1"/>
    <d v="2011-07-09T00:00:00"/>
    <x v="2"/>
    <x v="21"/>
    <n v="0"/>
    <s v="Sigma 8"/>
    <s v="Axalp"/>
    <s v="Brienz"/>
    <m/>
    <n v="15"/>
    <x v="15"/>
    <x v="19"/>
  </r>
  <r>
    <x v="1"/>
    <d v="2011-07-09T00:00:00"/>
    <x v="2"/>
    <x v="21"/>
    <n v="0"/>
    <s v="Sigma 8"/>
    <s v="Axalp"/>
    <s v="Brienz"/>
    <m/>
    <n v="10"/>
    <x v="4"/>
    <x v="19"/>
  </r>
  <r>
    <x v="1"/>
    <d v="2011-07-10T00:00:00"/>
    <x v="2"/>
    <x v="21"/>
    <n v="1"/>
    <s v="Sigma 8"/>
    <s v="Axalp"/>
    <s v="Brienzersee"/>
    <m/>
    <n v="8"/>
    <x v="3"/>
    <x v="19"/>
  </r>
  <r>
    <x v="0"/>
    <d v="2011-07-22T00:00:00"/>
    <x v="2"/>
    <x v="21"/>
    <n v="1"/>
    <s v="Sigma 8"/>
    <s v="Heimat"/>
    <s v="Fieschertal"/>
    <m/>
    <n v="39"/>
    <x v="131"/>
    <x v="2"/>
  </r>
  <r>
    <x v="0"/>
    <d v="2011-07-25T00:00:00"/>
    <x v="2"/>
    <x v="21"/>
    <n v="1"/>
    <s v="Sigma 8"/>
    <s v="Heimat"/>
    <s v="Fieschertal"/>
    <m/>
    <n v="55"/>
    <x v="84"/>
    <x v="2"/>
  </r>
  <r>
    <x v="0"/>
    <d v="2011-07-29T00:00:00"/>
    <x v="2"/>
    <x v="21"/>
    <n v="1"/>
    <s v="Sigma 8"/>
    <s v="Heimat"/>
    <s v="Fiesch"/>
    <m/>
    <n v="35"/>
    <x v="119"/>
    <x v="2"/>
  </r>
  <r>
    <x v="0"/>
    <d v="2011-07-29T00:00:00"/>
    <x v="2"/>
    <x v="21"/>
    <n v="0"/>
    <s v="Sigma 8"/>
    <s v="Heimat"/>
    <s v="Fieschertal"/>
    <n v="1"/>
    <n v="28"/>
    <x v="80"/>
    <x v="2"/>
  </r>
  <r>
    <x v="0"/>
    <d v="2011-07-30T00:00:00"/>
    <x v="2"/>
    <x v="21"/>
    <n v="1"/>
    <s v="Sigma 8"/>
    <s v="Heimat"/>
    <s v="Baschi"/>
    <n v="1"/>
    <n v="17"/>
    <x v="73"/>
    <x v="2"/>
  </r>
  <r>
    <x v="0"/>
    <d v="2011-07-30T00:00:00"/>
    <x v="2"/>
    <x v="21"/>
    <n v="0"/>
    <s v="Sigma 8"/>
    <s v="Heimat"/>
    <s v="Fieschertal"/>
    <m/>
    <n v="15"/>
    <x v="15"/>
    <x v="2"/>
  </r>
  <r>
    <x v="0"/>
    <d v="2011-07-31T00:00:00"/>
    <x v="2"/>
    <x v="21"/>
    <n v="1"/>
    <s v="Sigma 8"/>
    <s v="Heimat"/>
    <s v="Baschi"/>
    <n v="1"/>
    <n v="27"/>
    <x v="129"/>
    <x v="2"/>
  </r>
  <r>
    <x v="0"/>
    <d v="2011-08-01T00:00:00"/>
    <x v="3"/>
    <x v="21"/>
    <n v="1"/>
    <s v="Sigma 8"/>
    <s v="Galfera"/>
    <s v="Fieschertal"/>
    <n v="2"/>
    <n v="3"/>
    <x v="144"/>
    <x v="2"/>
  </r>
  <r>
    <x v="0"/>
    <d v="2011-08-02T00:00:00"/>
    <x v="3"/>
    <x v="21"/>
    <n v="1"/>
    <s v="Sigma 8"/>
    <s v="Galfera"/>
    <s v="Fieschertal"/>
    <n v="2"/>
    <n v="30"/>
    <x v="77"/>
    <x v="2"/>
  </r>
  <r>
    <x v="0"/>
    <d v="2011-08-04T00:00:00"/>
    <x v="3"/>
    <x v="21"/>
    <n v="1"/>
    <s v="Sigma 8"/>
    <s v="Heimat"/>
    <s v="Fieschertal"/>
    <n v="1"/>
    <n v="27"/>
    <x v="129"/>
    <x v="2"/>
  </r>
  <r>
    <x v="0"/>
    <d v="2011-08-05T00:00:00"/>
    <x v="3"/>
    <x v="21"/>
    <n v="1"/>
    <s v="Sigma 8"/>
    <s v="Galfera"/>
    <s v="Fieschertal"/>
    <m/>
    <n v="37"/>
    <x v="51"/>
    <x v="2"/>
  </r>
  <r>
    <x v="0"/>
    <d v="2011-08-06T00:00:00"/>
    <x v="3"/>
    <x v="21"/>
    <n v="1"/>
    <s v="Sigma 8"/>
    <s v="Galfera"/>
    <s v="Fiesch"/>
    <m/>
    <n v="13"/>
    <x v="18"/>
    <x v="2"/>
  </r>
  <r>
    <x v="0"/>
    <d v="2011-08-12T00:00:00"/>
    <x v="3"/>
    <x v="21"/>
    <n v="1"/>
    <s v="Sigma 8"/>
    <s v="Heimat"/>
    <s v="Fieschertal"/>
    <n v="1"/>
    <n v="2"/>
    <x v="110"/>
    <x v="2"/>
  </r>
  <r>
    <x v="0"/>
    <d v="2011-08-13T00:00:00"/>
    <x v="3"/>
    <x v="21"/>
    <n v="1"/>
    <s v="Sigma 8"/>
    <s v="Galfera"/>
    <s v="Baschi"/>
    <n v="2"/>
    <n v="7"/>
    <x v="114"/>
    <x v="2"/>
  </r>
  <r>
    <x v="0"/>
    <d v="2011-08-22T00:00:00"/>
    <x v="3"/>
    <x v="21"/>
    <n v="1"/>
    <s v="Sigma 8"/>
    <s v="Galfera"/>
    <s v="Fieschertal"/>
    <n v="2"/>
    <n v="33"/>
    <x v="124"/>
    <x v="2"/>
  </r>
  <r>
    <x v="0"/>
    <d v="2011-10-15T00:00:00"/>
    <x v="5"/>
    <x v="21"/>
    <n v="1"/>
    <s v="Sigma 8"/>
    <s v="Heimat"/>
    <s v="Fieschertal"/>
    <m/>
    <n v="19"/>
    <x v="20"/>
    <x v="2"/>
  </r>
  <r>
    <x v="0"/>
    <d v="2011-10-15T00:00:00"/>
    <x v="5"/>
    <x v="21"/>
    <n v="0"/>
    <s v="Sigma 8"/>
    <s v="Heimat"/>
    <s v="Fieschertal"/>
    <m/>
    <n v="27"/>
    <x v="34"/>
    <x v="2"/>
  </r>
  <r>
    <x v="0"/>
    <d v="2011-10-16T00:00:00"/>
    <x v="5"/>
    <x v="21"/>
    <n v="1"/>
    <s v="Sigma 8"/>
    <s v="Heimat"/>
    <s v="Fieschertal"/>
    <m/>
    <n v="18"/>
    <x v="57"/>
    <x v="2"/>
  </r>
  <r>
    <x v="0"/>
    <d v="2011-10-16T00:00:00"/>
    <x v="5"/>
    <x v="21"/>
    <n v="0"/>
    <s v="Sigma 8"/>
    <s v="Heimat"/>
    <s v="Fieschertal"/>
    <m/>
    <n v="18"/>
    <x v="57"/>
    <x v="2"/>
  </r>
  <r>
    <x v="0"/>
    <d v="2011-10-22T00:00:00"/>
    <x v="5"/>
    <x v="21"/>
    <n v="1"/>
    <s v="Sigma 8"/>
    <s v="Heimat"/>
    <s v="Fieschertal"/>
    <m/>
    <n v="22"/>
    <x v="42"/>
    <x v="2"/>
  </r>
  <r>
    <x v="0"/>
    <d v="2011-10-23T00:00:00"/>
    <x v="5"/>
    <x v="21"/>
    <n v="1"/>
    <s v="Sigma 8"/>
    <s v="Heimat"/>
    <s v="Fieschertal"/>
    <m/>
    <n v="27"/>
    <x v="34"/>
    <x v="2"/>
  </r>
  <r>
    <x v="0"/>
    <d v="2011-10-29T00:00:00"/>
    <x v="5"/>
    <x v="21"/>
    <n v="1"/>
    <s v="Sigma 8"/>
    <s v="Heimat"/>
    <s v="Fieschertal"/>
    <m/>
    <n v="21"/>
    <x v="97"/>
    <x v="2"/>
  </r>
  <r>
    <x v="0"/>
    <d v="2011-10-29T00:00:00"/>
    <x v="5"/>
    <x v="21"/>
    <n v="0"/>
    <s v="Sigma 8"/>
    <s v="Heimat"/>
    <s v="Fieschertal"/>
    <m/>
    <n v="18"/>
    <x v="57"/>
    <x v="2"/>
  </r>
  <r>
    <x v="0"/>
    <d v="2011-10-30T00:00:00"/>
    <x v="5"/>
    <x v="21"/>
    <n v="1"/>
    <s v="Sigma 8"/>
    <s v="Heimat"/>
    <s v="Fieschertal"/>
    <m/>
    <n v="21"/>
    <x v="97"/>
    <x v="2"/>
  </r>
  <r>
    <x v="0"/>
    <d v="2011-12-27T00:00:00"/>
    <x v="10"/>
    <x v="21"/>
    <n v="1"/>
    <s v="Sigma 8"/>
    <s v="Heimat"/>
    <s v="Fieschertal"/>
    <m/>
    <n v="18"/>
    <x v="57"/>
    <x v="2"/>
  </r>
  <r>
    <x v="0"/>
    <d v="2011-12-28T00:00:00"/>
    <x v="10"/>
    <x v="21"/>
    <n v="1"/>
    <s v="Sigma 8"/>
    <s v="Heimat"/>
    <s v="Fieschertal"/>
    <m/>
    <n v="26"/>
    <x v="134"/>
    <x v="2"/>
  </r>
  <r>
    <x v="0"/>
    <d v="2012-02-24T00:00:00"/>
    <x v="7"/>
    <x v="22"/>
    <n v="1"/>
    <s v="Sigma 8"/>
    <s v="Crêt du Midi"/>
    <s v="Vercorin"/>
    <m/>
    <n v="17"/>
    <x v="26"/>
    <x v="2"/>
  </r>
  <r>
    <x v="0"/>
    <d v="2012-02-24T00:00:00"/>
    <x v="7"/>
    <x v="22"/>
    <n v="0"/>
    <s v="Sigma 8"/>
    <s v="Crêt du Midi"/>
    <s v="Vercorin"/>
    <m/>
    <n v="26"/>
    <x v="134"/>
    <x v="2"/>
  </r>
  <r>
    <x v="0"/>
    <d v="2012-02-25T00:00:00"/>
    <x v="7"/>
    <x v="22"/>
    <n v="1"/>
    <s v="Sigma 8"/>
    <s v="Crêt du Midi"/>
    <s v="Vissoie"/>
    <m/>
    <n v="13"/>
    <x v="18"/>
    <x v="2"/>
  </r>
  <r>
    <x v="0"/>
    <d v="2012-02-25T00:00:00"/>
    <x v="7"/>
    <x v="22"/>
    <n v="0"/>
    <s v="Sigma 8"/>
    <s v="Chandolin, le Rotsé"/>
    <s v="St. Jean"/>
    <m/>
    <n v="15"/>
    <x v="15"/>
    <x v="2"/>
  </r>
  <r>
    <x v="0"/>
    <d v="2012-02-26T00:00:00"/>
    <x v="7"/>
    <x v="22"/>
    <n v="1"/>
    <s v="Sigma 8"/>
    <s v="Crêt du Midi"/>
    <s v="Vercorin"/>
    <m/>
    <n v="15"/>
    <x v="15"/>
    <x v="2"/>
  </r>
  <r>
    <x v="0"/>
    <d v="2012-02-26T00:00:00"/>
    <x v="7"/>
    <x v="22"/>
    <n v="0"/>
    <s v="Sigma 8"/>
    <s v="Crêt du Midi"/>
    <s v="Vercorin"/>
    <n v="1"/>
    <n v="0"/>
    <x v="47"/>
    <x v="2"/>
  </r>
  <r>
    <x v="0"/>
    <d v="2012-02-28T00:00:00"/>
    <x v="7"/>
    <x v="22"/>
    <n v="1"/>
    <s v="Sigma 8"/>
    <s v="Heimat"/>
    <s v="Fiescheralp"/>
    <m/>
    <n v="11"/>
    <x v="14"/>
    <x v="2"/>
  </r>
  <r>
    <x v="0"/>
    <d v="2012-02-28T00:00:00"/>
    <x v="7"/>
    <x v="22"/>
    <n v="0"/>
    <s v="Sigma 8"/>
    <s v="Heimat"/>
    <s v="Fiesch"/>
    <m/>
    <n v="59"/>
    <x v="120"/>
    <x v="2"/>
  </r>
  <r>
    <x v="0"/>
    <d v="2012-02-29T00:00:00"/>
    <x v="7"/>
    <x v="22"/>
    <n v="1"/>
    <s v="Sigma 8"/>
    <s v="Heimat"/>
    <s v="Heimat"/>
    <m/>
    <n v="17"/>
    <x v="26"/>
    <x v="2"/>
  </r>
  <r>
    <x v="0"/>
    <d v="2012-02-29T00:00:00"/>
    <x v="7"/>
    <x v="22"/>
    <n v="0"/>
    <s v="Sigma 8"/>
    <s v="Heimat"/>
    <s v="Fiesch"/>
    <m/>
    <n v="48"/>
    <x v="135"/>
    <x v="2"/>
  </r>
  <r>
    <x v="0"/>
    <d v="2012-03-01T00:00:00"/>
    <x v="8"/>
    <x v="22"/>
    <n v="1"/>
    <s v="Sigma 8"/>
    <s v="Heimat"/>
    <s v="Fieschertal"/>
    <n v="1"/>
    <n v="42"/>
    <x v="145"/>
    <x v="2"/>
  </r>
  <r>
    <x v="0"/>
    <d v="2012-03-02T00:00:00"/>
    <x v="8"/>
    <x v="22"/>
    <n v="1"/>
    <s v="Sigma 8"/>
    <s v="Heimat"/>
    <s v="Baschi"/>
    <n v="1"/>
    <n v="12"/>
    <x v="88"/>
    <x v="2"/>
  </r>
  <r>
    <x v="0"/>
    <d v="2012-03-03T00:00:00"/>
    <x v="8"/>
    <x v="22"/>
    <n v="1"/>
    <s v="Sigma 8"/>
    <s v="Heimat"/>
    <s v="Baschi"/>
    <n v="1"/>
    <n v="11"/>
    <x v="60"/>
    <x v="2"/>
  </r>
  <r>
    <x v="0"/>
    <d v="2012-03-13T00:00:00"/>
    <x v="8"/>
    <x v="22"/>
    <n v="1"/>
    <s v="Sigma 8"/>
    <s v="Heimat"/>
    <s v="Fiesch"/>
    <m/>
    <n v="42"/>
    <x v="66"/>
    <x v="2"/>
  </r>
  <r>
    <x v="0"/>
    <d v="2012-03-14T00:00:00"/>
    <x v="8"/>
    <x v="22"/>
    <n v="1"/>
    <s v="Sigma 8"/>
    <s v="Heimat"/>
    <s v="Fiesch"/>
    <n v="2"/>
    <n v="14"/>
    <x v="146"/>
    <x v="2"/>
  </r>
  <r>
    <x v="0"/>
    <d v="2012-03-15T00:00:00"/>
    <x v="8"/>
    <x v="22"/>
    <n v="1"/>
    <s v="Sigma 8"/>
    <s v="Heimat"/>
    <s v="Baschi"/>
    <n v="1"/>
    <n v="28"/>
    <x v="80"/>
    <x v="2"/>
  </r>
  <r>
    <x v="0"/>
    <d v="2012-03-16T00:00:00"/>
    <x v="8"/>
    <x v="22"/>
    <n v="1"/>
    <s v="Sigma 8"/>
    <s v="Heimat"/>
    <s v="Fiesch"/>
    <n v="3"/>
    <n v="18"/>
    <x v="147"/>
    <x v="2"/>
  </r>
  <r>
    <x v="0"/>
    <d v="2012-03-23T00:00:00"/>
    <x v="8"/>
    <x v="22"/>
    <n v="1"/>
    <s v="Sigma 8"/>
    <s v="Heimat"/>
    <s v="Kapelle"/>
    <m/>
    <n v="52"/>
    <x v="37"/>
    <x v="2"/>
  </r>
  <r>
    <x v="0"/>
    <d v="2012-03-24T00:00:00"/>
    <x v="8"/>
    <x v="22"/>
    <n v="1"/>
    <s v="Sigma 8"/>
    <s v="Heimat"/>
    <s v="Baschi"/>
    <m/>
    <n v="58"/>
    <x v="95"/>
    <x v="2"/>
  </r>
  <r>
    <x v="0"/>
    <d v="2012-05-11T00:00:00"/>
    <x v="0"/>
    <x v="22"/>
    <n v="1"/>
    <s v="Sigma 8"/>
    <s v="Heimat"/>
    <s v="Fieschertal"/>
    <n v="2"/>
    <n v="7"/>
    <x v="114"/>
    <x v="2"/>
  </r>
  <r>
    <x v="0"/>
    <d v="2012-05-14T00:00:00"/>
    <x v="0"/>
    <x v="22"/>
    <n v="1"/>
    <s v="Sigma 8"/>
    <s v="Roncolla"/>
    <s v="Palazzago"/>
    <n v="1"/>
    <n v="7"/>
    <x v="136"/>
    <x v="15"/>
  </r>
  <r>
    <x v="0"/>
    <d v="2012-05-14T00:00:00"/>
    <x v="0"/>
    <x v="22"/>
    <n v="0"/>
    <s v="Sigma 8"/>
    <s v="Mte Cornizzolo"/>
    <s v="Suello"/>
    <n v="1"/>
    <n v="6"/>
    <x v="44"/>
    <x v="15"/>
  </r>
  <r>
    <x v="0"/>
    <d v="2012-05-15T00:00:00"/>
    <x v="0"/>
    <x v="22"/>
    <n v="1"/>
    <s v="Sigma 8"/>
    <s v="Roncolla"/>
    <s v="Palazzago"/>
    <m/>
    <n v="56"/>
    <x v="68"/>
    <x v="15"/>
  </r>
  <r>
    <x v="0"/>
    <d v="2012-05-16T00:00:00"/>
    <x v="0"/>
    <x v="22"/>
    <n v="1"/>
    <s v="Sigma 8"/>
    <s v="Pizzorne"/>
    <s v="Matria / Lucca"/>
    <m/>
    <n v="43"/>
    <x v="118"/>
    <x v="15"/>
  </r>
  <r>
    <x v="0"/>
    <d v="2012-05-17T00:00:00"/>
    <x v="0"/>
    <x v="22"/>
    <n v="1"/>
    <s v="Sigma 8"/>
    <s v="Prato Fiori"/>
    <s v="Cembroni"/>
    <m/>
    <n v="43"/>
    <x v="118"/>
    <x v="15"/>
  </r>
  <r>
    <x v="0"/>
    <d v="2012-05-17T00:00:00"/>
    <x v="0"/>
    <x v="22"/>
    <n v="0"/>
    <s v="Sigma 8"/>
    <s v="Diezimo"/>
    <s v="Diezimo"/>
    <m/>
    <n v="46"/>
    <x v="141"/>
    <x v="15"/>
  </r>
  <r>
    <x v="0"/>
    <d v="2012-05-18T00:00:00"/>
    <x v="0"/>
    <x v="22"/>
    <n v="1"/>
    <s v="Sigma 8"/>
    <s v="Pizzorne"/>
    <s v="Matria / Lucca"/>
    <m/>
    <n v="51"/>
    <x v="21"/>
    <x v="15"/>
  </r>
  <r>
    <x v="0"/>
    <d v="2012-05-18T00:00:00"/>
    <x v="0"/>
    <x v="22"/>
    <n v="0"/>
    <s v="Sigma 8"/>
    <s v="Diezimo"/>
    <s v="Diezimo"/>
    <m/>
    <n v="15"/>
    <x v="15"/>
    <x v="15"/>
  </r>
  <r>
    <x v="0"/>
    <d v="2012-05-26T00:00:00"/>
    <x v="0"/>
    <x v="22"/>
    <n v="1"/>
    <s v="Sigma 8"/>
    <s v="Muti"/>
    <s v="Baschi"/>
    <n v="1"/>
    <n v="6"/>
    <x v="44"/>
    <x v="2"/>
  </r>
  <r>
    <x v="0"/>
    <d v="2012-05-27T00:00:00"/>
    <x v="0"/>
    <x v="22"/>
    <n v="1"/>
    <s v="Sigma 8"/>
    <s v="Muti"/>
    <s v="Baschi"/>
    <m/>
    <n v="58"/>
    <x v="95"/>
    <x v="2"/>
  </r>
  <r>
    <x v="0"/>
    <d v="2012-05-28T00:00:00"/>
    <x v="0"/>
    <x v="22"/>
    <n v="1"/>
    <s v="Sigma 8"/>
    <s v="Muti"/>
    <s v="Baschi"/>
    <n v="1"/>
    <n v="0"/>
    <x v="47"/>
    <x v="2"/>
  </r>
  <r>
    <x v="1"/>
    <d v="2012-06-07T00:00:00"/>
    <x v="1"/>
    <x v="22"/>
    <n v="1"/>
    <s v="Sigma 7"/>
    <s v="Dune du Pily"/>
    <s v="Dune du Pila"/>
    <m/>
    <n v="0"/>
    <x v="30"/>
    <x v="20"/>
  </r>
  <r>
    <x v="0"/>
    <d v="2012-06-14T00:00:00"/>
    <x v="1"/>
    <x v="22"/>
    <n v="1"/>
    <s v="Sigma 8"/>
    <s v="Heimat"/>
    <s v="Baschi"/>
    <m/>
    <n v="45"/>
    <x v="27"/>
    <x v="2"/>
  </r>
  <r>
    <x v="0"/>
    <d v="2012-06-15T00:00:00"/>
    <x v="1"/>
    <x v="22"/>
    <n v="1"/>
    <s v="Sigma 8"/>
    <s v="Heimat"/>
    <s v="Fieschertal"/>
    <m/>
    <n v="25"/>
    <x v="52"/>
    <x v="2"/>
  </r>
  <r>
    <x v="0"/>
    <d v="2012-06-16T00:00:00"/>
    <x v="1"/>
    <x v="22"/>
    <n v="1"/>
    <s v="Sigma 8"/>
    <s v="Heimat"/>
    <s v="Fiesch"/>
    <m/>
    <n v="13"/>
    <x v="18"/>
    <x v="2"/>
  </r>
  <r>
    <x v="0"/>
    <d v="2012-06-17T00:00:00"/>
    <x v="1"/>
    <x v="22"/>
    <n v="1"/>
    <s v="Sigma 8"/>
    <s v="Heimat"/>
    <s v="Oberwald"/>
    <n v="1"/>
    <n v="55"/>
    <x v="148"/>
    <x v="2"/>
  </r>
  <r>
    <x v="0"/>
    <d v="2012-06-23T00:00:00"/>
    <x v="1"/>
    <x v="22"/>
    <n v="1"/>
    <s v="Sigma 8"/>
    <s v="Heimat"/>
    <s v="Niederwald"/>
    <m/>
    <n v="41"/>
    <x v="115"/>
    <x v="2"/>
  </r>
  <r>
    <x v="0"/>
    <d v="2012-06-24T00:00:00"/>
    <x v="1"/>
    <x v="22"/>
    <n v="1"/>
    <s v="Sigma 8"/>
    <s v="Heimat"/>
    <s v="Fiesch"/>
    <m/>
    <n v="36"/>
    <x v="39"/>
    <x v="2"/>
  </r>
  <r>
    <x v="0"/>
    <d v="2012-07-07T00:00:00"/>
    <x v="2"/>
    <x v="22"/>
    <n v="1"/>
    <s v="Sigma 8"/>
    <s v="Galfera"/>
    <s v="Fieschertal"/>
    <n v="1"/>
    <n v="7"/>
    <x v="136"/>
    <x v="2"/>
  </r>
  <r>
    <x v="0"/>
    <d v="2012-07-31T00:00:00"/>
    <x v="2"/>
    <x v="22"/>
    <n v="1"/>
    <s v="Sigma 8"/>
    <s v="Galfera"/>
    <s v="Fieschertal"/>
    <n v="1"/>
    <n v="14"/>
    <x v="149"/>
    <x v="2"/>
  </r>
  <r>
    <x v="0"/>
    <d v="2012-08-01T00:00:00"/>
    <x v="3"/>
    <x v="22"/>
    <n v="1"/>
    <s v="Sigma 8"/>
    <s v="Heimat"/>
    <s v="Fieschertal"/>
    <m/>
    <n v="36"/>
    <x v="39"/>
    <x v="2"/>
  </r>
  <r>
    <x v="4"/>
    <d v="2012-08-04T00:00:00"/>
    <x v="3"/>
    <x v="22"/>
    <n v="1"/>
    <s v="BiBeta 4"/>
    <s v="Chalet Ü50"/>
    <s v="Fieschertal"/>
    <m/>
    <n v="27"/>
    <x v="34"/>
    <x v="2"/>
  </r>
  <r>
    <x v="0"/>
    <d v="2012-08-10T00:00:00"/>
    <x v="3"/>
    <x v="22"/>
    <n v="1"/>
    <s v="Sigma 8"/>
    <s v="Heimat"/>
    <s v="Baschi"/>
    <n v="1"/>
    <n v="45"/>
    <x v="41"/>
    <x v="2"/>
  </r>
  <r>
    <x v="0"/>
    <d v="2012-08-10T00:00:00"/>
    <x v="3"/>
    <x v="22"/>
    <n v="0"/>
    <s v="Sigma 8"/>
    <s v="Muti"/>
    <s v="Fieschertal"/>
    <m/>
    <n v="10"/>
    <x v="4"/>
    <x v="2"/>
  </r>
  <r>
    <x v="0"/>
    <d v="2012-08-11T00:00:00"/>
    <x v="3"/>
    <x v="22"/>
    <n v="1"/>
    <s v="Sigma 8"/>
    <s v="Heimat"/>
    <s v="Baschi"/>
    <n v="1"/>
    <n v="20"/>
    <x v="46"/>
    <x v="2"/>
  </r>
  <r>
    <x v="0"/>
    <d v="2012-08-12T00:00:00"/>
    <x v="3"/>
    <x v="22"/>
    <n v="1"/>
    <s v="Sigma 8"/>
    <s v="Heimat"/>
    <s v="Fieschertal"/>
    <m/>
    <n v="50"/>
    <x v="40"/>
    <x v="2"/>
  </r>
  <r>
    <x v="0"/>
    <d v="2012-08-18T00:00:00"/>
    <x v="3"/>
    <x v="22"/>
    <n v="1"/>
    <s v="Sigma 8"/>
    <s v="Steibenkreuz"/>
    <s v="Andermatt"/>
    <n v="2"/>
    <n v="21"/>
    <x v="109"/>
    <x v="2"/>
  </r>
  <r>
    <x v="0"/>
    <d v="2012-08-19T00:00:00"/>
    <x v="3"/>
    <x v="22"/>
    <n v="1"/>
    <s v="Sigma 8"/>
    <s v="Steibenkreuz"/>
    <s v="Baschi"/>
    <n v="1"/>
    <n v="51"/>
    <x v="111"/>
    <x v="2"/>
  </r>
  <r>
    <x v="0"/>
    <d v="2012-08-27T00:00:00"/>
    <x v="3"/>
    <x v="22"/>
    <n v="1"/>
    <s v="Sigma 8"/>
    <s v="First"/>
    <s v="Grund"/>
    <n v="1"/>
    <n v="19"/>
    <x v="53"/>
    <x v="2"/>
  </r>
  <r>
    <x v="0"/>
    <d v="2012-08-28T00:00:00"/>
    <x v="3"/>
    <x v="22"/>
    <n v="1"/>
    <s v="Sigma 8"/>
    <s v="First"/>
    <s v="Grund"/>
    <m/>
    <n v="18"/>
    <x v="57"/>
    <x v="2"/>
  </r>
  <r>
    <x v="0"/>
    <d v="2012-08-29T00:00:00"/>
    <x v="3"/>
    <x v="22"/>
    <n v="1"/>
    <s v="Sigma 8"/>
    <s v="Heimat"/>
    <s v="Fiesch"/>
    <m/>
    <n v="36"/>
    <x v="39"/>
    <x v="2"/>
  </r>
  <r>
    <x v="0"/>
    <d v="2012-09-03T00:00:00"/>
    <x v="4"/>
    <x v="22"/>
    <n v="1"/>
    <s v="Sigma 8"/>
    <s v="Heimat"/>
    <s v="Fieschertal"/>
    <m/>
    <n v="19"/>
    <x v="20"/>
    <x v="2"/>
  </r>
  <r>
    <x v="0"/>
    <d v="2012-09-04T00:00:00"/>
    <x v="4"/>
    <x v="22"/>
    <n v="1"/>
    <s v="Sigma 8"/>
    <s v="Heimat"/>
    <s v="Fieschertal"/>
    <n v="1"/>
    <n v="0"/>
    <x v="47"/>
    <x v="2"/>
  </r>
  <r>
    <x v="0"/>
    <d v="2012-09-05T00:00:00"/>
    <x v="4"/>
    <x v="22"/>
    <n v="1"/>
    <s v="Sigma 8"/>
    <s v="Heimat"/>
    <s v="Fieschertal"/>
    <m/>
    <n v="20"/>
    <x v="5"/>
    <x v="2"/>
  </r>
  <r>
    <x v="0"/>
    <d v="2012-09-05T00:00:00"/>
    <x v="4"/>
    <x v="22"/>
    <n v="0"/>
    <s v="PI23"/>
    <s v="Heimat"/>
    <s v="Fieschertal"/>
    <m/>
    <n v="11"/>
    <x v="14"/>
    <x v="2"/>
  </r>
  <r>
    <x v="0"/>
    <d v="2012-09-06T00:00:00"/>
    <x v="4"/>
    <x v="22"/>
    <n v="1"/>
    <s v="Sigma 8"/>
    <s v="Heimat"/>
    <s v="Fiesch"/>
    <m/>
    <n v="35"/>
    <x v="119"/>
    <x v="2"/>
  </r>
  <r>
    <x v="0"/>
    <d v="2012-09-07T00:00:00"/>
    <x v="4"/>
    <x v="22"/>
    <n v="1"/>
    <s v="Sigma 8"/>
    <s v="Galfera"/>
    <s v="Fieschertal"/>
    <n v="1"/>
    <n v="0"/>
    <x v="47"/>
    <x v="2"/>
  </r>
  <r>
    <x v="0"/>
    <d v="2012-09-08T00:00:00"/>
    <x v="4"/>
    <x v="22"/>
    <n v="1"/>
    <s v="Sigma 8"/>
    <s v="Galfera"/>
    <s v="Fieschertal"/>
    <n v="4"/>
    <n v="8"/>
    <x v="150"/>
    <x v="2"/>
  </r>
  <r>
    <x v="0"/>
    <d v="2012-09-09T00:00:00"/>
    <x v="4"/>
    <x v="22"/>
    <n v="1"/>
    <s v="Sigma 8"/>
    <s v="Belvedere"/>
    <s v="Campitello"/>
    <n v="1"/>
    <n v="17"/>
    <x v="73"/>
    <x v="13"/>
  </r>
  <r>
    <x v="0"/>
    <d v="2012-09-10T00:00:00"/>
    <x v="4"/>
    <x v="22"/>
    <n v="1"/>
    <s v="Sigma 8"/>
    <s v="Rodella"/>
    <s v="Campitello"/>
    <n v="1"/>
    <n v="36"/>
    <x v="55"/>
    <x v="13"/>
  </r>
  <r>
    <x v="0"/>
    <d v="2012-09-10T00:00:00"/>
    <x v="4"/>
    <x v="22"/>
    <n v="0"/>
    <s v="Sigma 8"/>
    <s v="Rosengarten"/>
    <s v="Karrerpass"/>
    <m/>
    <n v="20"/>
    <x v="5"/>
    <x v="13"/>
  </r>
  <r>
    <x v="0"/>
    <d v="2012-09-11T00:00:00"/>
    <x v="4"/>
    <x v="22"/>
    <n v="1"/>
    <s v="Sigma 8"/>
    <s v="Rodella"/>
    <s v="Canazei"/>
    <m/>
    <n v="11"/>
    <x v="14"/>
    <x v="13"/>
  </r>
  <r>
    <x v="0"/>
    <d v="2012-09-11T00:00:00"/>
    <x v="4"/>
    <x v="22"/>
    <n v="0"/>
    <s v="Sigma 8"/>
    <s v="Rodella"/>
    <s v="Campitello"/>
    <m/>
    <n v="58"/>
    <x v="95"/>
    <x v="13"/>
  </r>
  <r>
    <x v="0"/>
    <d v="2012-09-13T00:00:00"/>
    <x v="4"/>
    <x v="22"/>
    <n v="1"/>
    <s v="Sigma 8"/>
    <s v="Bassano Casetta"/>
    <s v="Semonze del Grappa"/>
    <m/>
    <n v="18"/>
    <x v="57"/>
    <x v="13"/>
  </r>
  <r>
    <x v="0"/>
    <d v="2012-09-13T00:00:00"/>
    <x v="4"/>
    <x v="22"/>
    <n v="0"/>
    <s v="Sigma 8"/>
    <s v="Bassano Casetta"/>
    <s v="Semonze del Grappa"/>
    <m/>
    <n v="33"/>
    <x v="59"/>
    <x v="13"/>
  </r>
  <r>
    <x v="0"/>
    <d v="2012-09-14T00:00:00"/>
    <x v="4"/>
    <x v="22"/>
    <n v="1"/>
    <s v="Sigma 8"/>
    <s v="Bassano Casetta"/>
    <s v="Semonze del Grappa"/>
    <n v="1"/>
    <n v="14"/>
    <x v="149"/>
    <x v="13"/>
  </r>
  <r>
    <x v="0"/>
    <d v="2012-09-14T00:00:00"/>
    <x v="4"/>
    <x v="22"/>
    <n v="0"/>
    <s v="Sigma 8"/>
    <s v="Bassano Casetta"/>
    <s v="Semonze del Grappa"/>
    <m/>
    <n v="36"/>
    <x v="39"/>
    <x v="13"/>
  </r>
  <r>
    <x v="0"/>
    <d v="2012-09-14T00:00:00"/>
    <x v="4"/>
    <x v="22"/>
    <n v="0"/>
    <s v="Sigma 8"/>
    <s v="Bassano Casetta"/>
    <s v="Semonze del Grappa"/>
    <n v="1"/>
    <n v="34"/>
    <x v="13"/>
    <x v="13"/>
  </r>
  <r>
    <x v="0"/>
    <d v="2012-09-16T00:00:00"/>
    <x v="4"/>
    <x v="22"/>
    <n v="1"/>
    <s v="Sigma 8"/>
    <s v="Galfera"/>
    <s v="Fieschertal"/>
    <m/>
    <n v="34"/>
    <x v="50"/>
    <x v="2"/>
  </r>
  <r>
    <x v="0"/>
    <d v="2012-09-23T00:00:00"/>
    <x v="4"/>
    <x v="22"/>
    <n v="1"/>
    <s v="Sigma 8"/>
    <s v="Elfer"/>
    <s v="Neustift"/>
    <m/>
    <n v="11"/>
    <x v="14"/>
    <x v="2"/>
  </r>
  <r>
    <x v="0"/>
    <d v="2012-09-28T00:00:00"/>
    <x v="4"/>
    <x v="22"/>
    <n v="1"/>
    <s v="Sigma 8"/>
    <s v="Heimat"/>
    <s v="Fieschertal"/>
    <m/>
    <n v="38"/>
    <x v="17"/>
    <x v="2"/>
  </r>
  <r>
    <x v="0"/>
    <d v="2012-10-06T00:00:00"/>
    <x v="5"/>
    <x v="22"/>
    <n v="1"/>
    <s v="Sigma 8"/>
    <s v="Muti"/>
    <s v="Fieschertal"/>
    <m/>
    <n v="10"/>
    <x v="4"/>
    <x v="2"/>
  </r>
  <r>
    <x v="0"/>
    <d v="2013-02-09T00:00:00"/>
    <x v="7"/>
    <x v="23"/>
    <n v="1"/>
    <s v="Sigma 8"/>
    <s v="Crêt du Midi"/>
    <s v="Vercorin"/>
    <m/>
    <n v="31"/>
    <x v="103"/>
    <x v="2"/>
  </r>
  <r>
    <x v="0"/>
    <d v="2013-02-10T00:00:00"/>
    <x v="7"/>
    <x v="23"/>
    <n v="1"/>
    <s v="PI23"/>
    <s v="Corne de Sorebois"/>
    <s v="Grimenz"/>
    <m/>
    <n v="20"/>
    <x v="5"/>
    <x v="2"/>
  </r>
  <r>
    <x v="0"/>
    <d v="2013-02-10T00:00:00"/>
    <x v="7"/>
    <x v="23"/>
    <n v="0"/>
    <s v="PI23"/>
    <s v="Corne de Sorebois"/>
    <s v="Zinal"/>
    <m/>
    <n v="20"/>
    <x v="5"/>
    <x v="2"/>
  </r>
  <r>
    <x v="0"/>
    <d v="2013-02-26T00:00:00"/>
    <x v="7"/>
    <x v="23"/>
    <n v="1"/>
    <s v="PI23"/>
    <s v="Belalp"/>
    <s v="Belalp"/>
    <m/>
    <n v="10"/>
    <x v="4"/>
    <x v="2"/>
  </r>
  <r>
    <x v="0"/>
    <d v="2013-02-26T00:00:00"/>
    <x v="7"/>
    <x v="23"/>
    <n v="0"/>
    <s v="PI23"/>
    <s v="Belalp"/>
    <s v="Belalp"/>
    <m/>
    <n v="10"/>
    <x v="4"/>
    <x v="2"/>
  </r>
  <r>
    <x v="0"/>
    <d v="2013-02-26T00:00:00"/>
    <x v="7"/>
    <x v="23"/>
    <n v="0"/>
    <s v="PI23"/>
    <s v="Belalp"/>
    <s v="Belalp"/>
    <m/>
    <n v="10"/>
    <x v="4"/>
    <x v="2"/>
  </r>
  <r>
    <x v="0"/>
    <d v="2013-02-26T00:00:00"/>
    <x v="7"/>
    <x v="23"/>
    <n v="0"/>
    <s v="PI23"/>
    <s v="Belalp"/>
    <s v="Bitsch"/>
    <m/>
    <n v="30"/>
    <x v="8"/>
    <x v="2"/>
  </r>
  <r>
    <x v="0"/>
    <d v="2013-02-27T00:00:00"/>
    <x v="7"/>
    <x v="23"/>
    <n v="1"/>
    <s v="PI23"/>
    <s v="Heimat"/>
    <s v="Fieschertal"/>
    <m/>
    <n v="8"/>
    <x v="3"/>
    <x v="2"/>
  </r>
  <r>
    <x v="0"/>
    <d v="2013-02-27T00:00:00"/>
    <x v="7"/>
    <x v="23"/>
    <n v="0"/>
    <s v="PI23"/>
    <s v="Heimat"/>
    <s v="Fieschertal"/>
    <m/>
    <n v="8"/>
    <x v="3"/>
    <x v="2"/>
  </r>
  <r>
    <x v="0"/>
    <d v="2013-02-28T00:00:00"/>
    <x v="7"/>
    <x v="23"/>
    <n v="1"/>
    <s v="Sigma 8"/>
    <s v="Heimat"/>
    <s v="Fiesch"/>
    <m/>
    <n v="25"/>
    <x v="52"/>
    <x v="2"/>
  </r>
  <r>
    <x v="0"/>
    <d v="2013-03-01T00:00:00"/>
    <x v="8"/>
    <x v="23"/>
    <n v="1"/>
    <s v="Sigma 8"/>
    <s v="Heimat"/>
    <s v="Fieschertal"/>
    <n v="1"/>
    <n v="24"/>
    <x v="151"/>
    <x v="2"/>
  </r>
  <r>
    <x v="4"/>
    <d v="2013-03-02T00:00:00"/>
    <x v="8"/>
    <x v="23"/>
    <n v="1"/>
    <s v="BiBeta 4"/>
    <s v="Heimat"/>
    <s v="Fiesch"/>
    <m/>
    <n v="17"/>
    <x v="26"/>
    <x v="2"/>
  </r>
  <r>
    <x v="0"/>
    <d v="2013-03-11T00:00:00"/>
    <x v="8"/>
    <x v="23"/>
    <n v="1"/>
    <s v="Sigma 8"/>
    <s v="Castala"/>
    <s v="Castala"/>
    <m/>
    <n v="24"/>
    <x v="61"/>
    <x v="21"/>
  </r>
  <r>
    <x v="0"/>
    <d v="2013-03-14T00:00:00"/>
    <x v="8"/>
    <x v="23"/>
    <n v="1"/>
    <s v="Sigma 8"/>
    <s v="Valle de Abdalajis (nord)"/>
    <s v="Valle de Abdalajis (nord)"/>
    <m/>
    <n v="23"/>
    <x v="92"/>
    <x v="21"/>
  </r>
  <r>
    <x v="0"/>
    <d v="2013-03-14T00:00:00"/>
    <x v="8"/>
    <x v="23"/>
    <n v="0"/>
    <s v="Sigma 8"/>
    <s v="Teba"/>
    <s v="Teba"/>
    <m/>
    <n v="7"/>
    <x v="1"/>
    <x v="21"/>
  </r>
  <r>
    <x v="0"/>
    <d v="2013-03-14T00:00:00"/>
    <x v="8"/>
    <x v="23"/>
    <n v="0"/>
    <s v="Sigma 8"/>
    <s v="Teba"/>
    <s v="Teba"/>
    <m/>
    <n v="35"/>
    <x v="119"/>
    <x v="21"/>
  </r>
  <r>
    <x v="0"/>
    <d v="2013-03-15T00:00:00"/>
    <x v="8"/>
    <x v="23"/>
    <n v="1"/>
    <s v="Sigma 8"/>
    <s v="Sierra de Lijar SW"/>
    <s v="Montecorto"/>
    <n v="2"/>
    <n v="2"/>
    <x v="152"/>
    <x v="21"/>
  </r>
  <r>
    <x v="0"/>
    <d v="2013-03-15T00:00:00"/>
    <x v="8"/>
    <x v="23"/>
    <n v="0"/>
    <s v="Sigma 8"/>
    <s v="Sierra de Lijar W"/>
    <s v="Landeplatz West"/>
    <m/>
    <n v="33"/>
    <x v="59"/>
    <x v="21"/>
  </r>
  <r>
    <x v="0"/>
    <d v="2013-04-01T00:00:00"/>
    <x v="9"/>
    <x v="23"/>
    <n v="1"/>
    <s v="Sigma 8"/>
    <s v="Heimat"/>
    <s v="Baschi"/>
    <n v="1"/>
    <n v="7"/>
    <x v="136"/>
    <x v="2"/>
  </r>
  <r>
    <x v="0"/>
    <d v="2013-04-13T00:00:00"/>
    <x v="9"/>
    <x v="23"/>
    <n v="1"/>
    <s v="Sigma 8"/>
    <s v="Heimat"/>
    <s v="Fieschertal"/>
    <m/>
    <n v="20"/>
    <x v="5"/>
    <x v="2"/>
  </r>
  <r>
    <x v="0"/>
    <d v="2013-04-14T00:00:00"/>
    <x v="9"/>
    <x v="23"/>
    <n v="1"/>
    <s v="Sigma 8"/>
    <s v="Heimat"/>
    <s v="Fieschertal"/>
    <n v="1"/>
    <n v="36"/>
    <x v="55"/>
    <x v="2"/>
  </r>
  <r>
    <x v="0"/>
    <d v="2013-05-08T00:00:00"/>
    <x v="0"/>
    <x v="23"/>
    <n v="1"/>
    <s v="Sigma 8"/>
    <s v="San Fermo"/>
    <s v="San Fermo"/>
    <m/>
    <n v="13"/>
    <x v="18"/>
    <x v="22"/>
  </r>
  <r>
    <x v="0"/>
    <d v="2013-05-09T00:00:00"/>
    <x v="0"/>
    <x v="23"/>
    <n v="1"/>
    <s v="Sigma 8"/>
    <s v="Bassano da Bepi"/>
    <s v="Semonze del Grappa"/>
    <n v="1"/>
    <n v="49"/>
    <x v="126"/>
    <x v="22"/>
  </r>
  <r>
    <x v="0"/>
    <d v="2013-05-09T00:00:00"/>
    <x v="0"/>
    <x v="23"/>
    <n v="0"/>
    <s v="Sigma 8"/>
    <s v="Bassano da Bepi"/>
    <s v="Semonze del Grappa"/>
    <m/>
    <n v="10"/>
    <x v="4"/>
    <x v="22"/>
  </r>
  <r>
    <x v="0"/>
    <d v="2013-05-10T00:00:00"/>
    <x v="0"/>
    <x v="23"/>
    <n v="1"/>
    <s v="Sigma 8"/>
    <s v="Bassano Panettone"/>
    <s v="Semonze del Grappa"/>
    <m/>
    <n v="21"/>
    <x v="97"/>
    <x v="22"/>
  </r>
  <r>
    <x v="0"/>
    <d v="2013-05-12T00:00:00"/>
    <x v="0"/>
    <x v="23"/>
    <n v="1"/>
    <s v="Sigma 8"/>
    <s v="Bassano Panettone"/>
    <s v="Semonze del Grappa"/>
    <n v="1"/>
    <n v="38"/>
    <x v="128"/>
    <x v="22"/>
  </r>
  <r>
    <x v="0"/>
    <d v="2013-05-27T00:00:00"/>
    <x v="0"/>
    <x v="23"/>
    <n v="1"/>
    <s v="Sigma 8"/>
    <s v="Roncolla"/>
    <s v="Broccione"/>
    <m/>
    <n v="9"/>
    <x v="22"/>
    <x v="15"/>
  </r>
  <r>
    <x v="0"/>
    <d v="2013-05-27T00:00:00"/>
    <x v="0"/>
    <x v="23"/>
    <n v="0"/>
    <s v="Sigma 8"/>
    <s v="Cornizolo"/>
    <s v="Suello"/>
    <m/>
    <n v="47"/>
    <x v="132"/>
    <x v="15"/>
  </r>
  <r>
    <x v="0"/>
    <d v="2013-05-27T00:00:00"/>
    <x v="0"/>
    <x v="23"/>
    <n v="0"/>
    <s v="Sigma 8"/>
    <s v="Valcava"/>
    <s v="Broccione"/>
    <m/>
    <n v="39"/>
    <x v="131"/>
    <x v="15"/>
  </r>
  <r>
    <x v="0"/>
    <d v="2013-05-28T00:00:00"/>
    <x v="0"/>
    <x v="23"/>
    <n v="1"/>
    <s v="Sigma 8"/>
    <s v="San Fermo"/>
    <s v="Casazza"/>
    <m/>
    <n v="12"/>
    <x v="6"/>
    <x v="15"/>
  </r>
  <r>
    <x v="0"/>
    <d v="2013-05-28T00:00:00"/>
    <x v="0"/>
    <x v="23"/>
    <n v="0"/>
    <s v="Sigma 8"/>
    <s v="Pizzorne"/>
    <s v="Matria / Lucca"/>
    <m/>
    <n v="12"/>
    <x v="6"/>
    <x v="15"/>
  </r>
  <r>
    <x v="0"/>
    <d v="2013-06-08T00:00:00"/>
    <x v="1"/>
    <x v="23"/>
    <n v="1"/>
    <s v="Sigma 8"/>
    <s v="Heimat"/>
    <s v="Baschi"/>
    <n v="1"/>
    <n v="14"/>
    <x v="149"/>
    <x v="2"/>
  </r>
  <r>
    <x v="0"/>
    <d v="2013-06-13T00:00:00"/>
    <x v="1"/>
    <x v="23"/>
    <n v="1"/>
    <s v="Sigma 8"/>
    <s v="Heimat"/>
    <s v="Baschi"/>
    <n v="1"/>
    <n v="5"/>
    <x v="45"/>
    <x v="2"/>
  </r>
  <r>
    <x v="0"/>
    <d v="2013-06-14T00:00:00"/>
    <x v="1"/>
    <x v="23"/>
    <n v="1"/>
    <s v="Sigma 8"/>
    <s v="Chalet Ü50"/>
    <s v="Fieschertal"/>
    <m/>
    <n v="30"/>
    <x v="8"/>
    <x v="2"/>
  </r>
  <r>
    <x v="0"/>
    <d v="2013-06-15T00:00:00"/>
    <x v="1"/>
    <x v="23"/>
    <n v="1"/>
    <s v="Sigma 8"/>
    <s v="Muti"/>
    <s v="Fieschertal"/>
    <m/>
    <n v="15"/>
    <x v="15"/>
    <x v="2"/>
  </r>
  <r>
    <x v="0"/>
    <d v="2013-06-15T00:00:00"/>
    <x v="1"/>
    <x v="23"/>
    <n v="0"/>
    <s v="PI23"/>
    <s v="Muti"/>
    <s v="Fieschertal"/>
    <m/>
    <n v="10"/>
    <x v="4"/>
    <x v="2"/>
  </r>
  <r>
    <x v="0"/>
    <d v="2013-06-16T00:00:00"/>
    <x v="1"/>
    <x v="23"/>
    <n v="1"/>
    <s v="Sigma 8"/>
    <s v="Heimat"/>
    <s v="Fieschertal"/>
    <n v="1"/>
    <n v="2"/>
    <x v="110"/>
    <x v="2"/>
  </r>
  <r>
    <x v="0"/>
    <d v="2013-06-30T00:00:00"/>
    <x v="1"/>
    <x v="23"/>
    <n v="1"/>
    <s v="Sigma 8"/>
    <s v="Heimat"/>
    <s v="Fieschertal"/>
    <m/>
    <n v="37"/>
    <x v="51"/>
    <x v="2"/>
  </r>
  <r>
    <x v="0"/>
    <d v="2013-07-05T00:00:00"/>
    <x v="2"/>
    <x v="23"/>
    <n v="1"/>
    <s v="Sigma 8"/>
    <s v="First"/>
    <s v="Grund"/>
    <m/>
    <n v="27"/>
    <x v="34"/>
    <x v="2"/>
  </r>
  <r>
    <x v="0"/>
    <d v="2013-07-06T00:00:00"/>
    <x v="2"/>
    <x v="23"/>
    <n v="1"/>
    <s v="Sigma 8"/>
    <s v="Jungfraujoch"/>
    <s v="Bodmi"/>
    <m/>
    <n v="31"/>
    <x v="103"/>
    <x v="2"/>
  </r>
  <r>
    <x v="0"/>
    <d v="2013-07-06T00:00:00"/>
    <x v="2"/>
    <x v="23"/>
    <n v="0"/>
    <s v="Sigma 8"/>
    <s v="First"/>
    <s v="Grund"/>
    <m/>
    <n v="44"/>
    <x v="99"/>
    <x v="2"/>
  </r>
  <r>
    <x v="0"/>
    <d v="2013-07-07T00:00:00"/>
    <x v="2"/>
    <x v="23"/>
    <n v="1"/>
    <s v="Sigma 8"/>
    <s v="First"/>
    <s v="Grund"/>
    <m/>
    <n v="33"/>
    <x v="59"/>
    <x v="2"/>
  </r>
  <r>
    <x v="0"/>
    <d v="2013-07-13T00:00:00"/>
    <x v="2"/>
    <x v="23"/>
    <n v="1"/>
    <s v="Sigma 8"/>
    <s v="Galfera"/>
    <s v="Baschi"/>
    <n v="1"/>
    <n v="37"/>
    <x v="143"/>
    <x v="2"/>
  </r>
  <r>
    <x v="0"/>
    <d v="2013-07-14T00:00:00"/>
    <x v="2"/>
    <x v="23"/>
    <n v="1"/>
    <s v="Sigma 8"/>
    <s v="Galfera"/>
    <s v="Fieschertal"/>
    <n v="1"/>
    <n v="40"/>
    <x v="48"/>
    <x v="2"/>
  </r>
  <r>
    <x v="0"/>
    <d v="2013-07-19T00:00:00"/>
    <x v="2"/>
    <x v="23"/>
    <n v="1"/>
    <s v="Sigma 8"/>
    <s v="Heimat"/>
    <s v="Fieschertal"/>
    <m/>
    <n v="23"/>
    <x v="92"/>
    <x v="2"/>
  </r>
  <r>
    <x v="4"/>
    <d v="2013-07-20T00:00:00"/>
    <x v="2"/>
    <x v="23"/>
    <n v="1"/>
    <s v="BiBeta 4"/>
    <s v="Chalet Ü50"/>
    <s v="Baschi"/>
    <n v="1"/>
    <n v="40"/>
    <x v="48"/>
    <x v="2"/>
  </r>
  <r>
    <x v="0"/>
    <d v="2013-07-21T00:00:00"/>
    <x v="2"/>
    <x v="23"/>
    <n v="1"/>
    <s v="Sigma 8"/>
    <s v="Chalet Ü50"/>
    <s v="Oberwald"/>
    <n v="1"/>
    <n v="15"/>
    <x v="56"/>
    <x v="2"/>
  </r>
  <r>
    <x v="0"/>
    <d v="2013-07-26T00:00:00"/>
    <x v="2"/>
    <x v="23"/>
    <n v="1"/>
    <s v="Sigma 8"/>
    <s v="Galfera"/>
    <s v="Baschi"/>
    <n v="1"/>
    <n v="36"/>
    <x v="55"/>
    <x v="2"/>
  </r>
  <r>
    <x v="0"/>
    <d v="2013-07-27T00:00:00"/>
    <x v="2"/>
    <x v="23"/>
    <n v="1"/>
    <s v="Sigma 8"/>
    <s v="Galfera"/>
    <s v="Kapelle"/>
    <n v="1"/>
    <n v="6"/>
    <x v="44"/>
    <x v="2"/>
  </r>
  <r>
    <x v="0"/>
    <d v="2013-07-31T00:00:00"/>
    <x v="2"/>
    <x v="23"/>
    <n v="1"/>
    <s v="Sigma 8"/>
    <s v="Heimat"/>
    <s v="Baschi"/>
    <n v="1"/>
    <n v="43"/>
    <x v="106"/>
    <x v="2"/>
  </r>
  <r>
    <x v="0"/>
    <d v="2013-08-01T00:00:00"/>
    <x v="3"/>
    <x v="23"/>
    <n v="1"/>
    <s v="Sigma 8"/>
    <s v="Galfera"/>
    <s v="Fieschertal"/>
    <n v="3"/>
    <n v="39"/>
    <x v="153"/>
    <x v="2"/>
  </r>
  <r>
    <x v="0"/>
    <d v="2013-08-10T00:00:00"/>
    <x v="3"/>
    <x v="23"/>
    <n v="1"/>
    <s v="Sigma 8"/>
    <s v="Bassano da Bepi"/>
    <s v="Semonze del Grappa"/>
    <m/>
    <n v="40"/>
    <x v="33"/>
    <x v="2"/>
  </r>
  <r>
    <x v="0"/>
    <d v="2013-08-11T00:00:00"/>
    <x v="3"/>
    <x v="23"/>
    <n v="1"/>
    <s v="Sigma 8"/>
    <s v="Galfera"/>
    <s v="Fiesch"/>
    <n v="2"/>
    <n v="19"/>
    <x v="154"/>
    <x v="2"/>
  </r>
  <r>
    <x v="0"/>
    <d v="2013-08-12T00:00:00"/>
    <x v="3"/>
    <x v="23"/>
    <n v="1"/>
    <s v="Sigma 8"/>
    <s v="Galfera"/>
    <s v="Kapelle"/>
    <n v="1"/>
    <n v="3"/>
    <x v="25"/>
    <x v="2"/>
  </r>
  <r>
    <x v="0"/>
    <d v="2013-08-14T00:00:00"/>
    <x v="3"/>
    <x v="23"/>
    <n v="1"/>
    <s v="Sigma 8"/>
    <s v="Heimat"/>
    <s v="Fieschertal"/>
    <n v="1"/>
    <n v="16"/>
    <x v="100"/>
    <x v="2"/>
  </r>
  <r>
    <x v="0"/>
    <d v="2013-08-15T00:00:00"/>
    <x v="3"/>
    <x v="23"/>
    <n v="1"/>
    <s v="Sigma 8"/>
    <s v="Galfera"/>
    <s v="Fieschertal"/>
    <n v="2"/>
    <n v="29"/>
    <x v="93"/>
    <x v="2"/>
  </r>
  <r>
    <x v="0"/>
    <d v="2013-08-16T00:00:00"/>
    <x v="3"/>
    <x v="23"/>
    <n v="1"/>
    <s v="Sigma 8"/>
    <s v="Galfera"/>
    <s v="Baschi"/>
    <n v="1"/>
    <n v="29"/>
    <x v="155"/>
    <x v="2"/>
  </r>
  <r>
    <x v="0"/>
    <d v="2013-08-17T00:00:00"/>
    <x v="3"/>
    <x v="23"/>
    <n v="1"/>
    <s v="Sigma 8"/>
    <s v="Galfera"/>
    <s v="Kapelle"/>
    <m/>
    <n v="46"/>
    <x v="141"/>
    <x v="2"/>
  </r>
  <r>
    <x v="0"/>
    <d v="2013-08-23T00:00:00"/>
    <x v="3"/>
    <x v="23"/>
    <n v="1"/>
    <s v="Sigma 8"/>
    <s v="Heimat"/>
    <s v="Niederwald"/>
    <m/>
    <n v="31"/>
    <x v="103"/>
    <x v="2"/>
  </r>
  <r>
    <x v="0"/>
    <d v="2013-08-30T00:00:00"/>
    <x v="3"/>
    <x v="23"/>
    <n v="1"/>
    <s v="Sigma 8"/>
    <s v="Heimat"/>
    <s v="Baschi"/>
    <n v="1"/>
    <n v="25"/>
    <x v="113"/>
    <x v="2"/>
  </r>
  <r>
    <x v="4"/>
    <d v="2013-08-31T00:00:00"/>
    <x v="3"/>
    <x v="23"/>
    <n v="1"/>
    <s v="BiBeta 4"/>
    <s v="Chalet Ü50"/>
    <s v="Fieschertal"/>
    <m/>
    <n v="25"/>
    <x v="52"/>
    <x v="2"/>
  </r>
  <r>
    <x v="0"/>
    <d v="2013-08-31T00:00:00"/>
    <x v="3"/>
    <x v="23"/>
    <n v="0"/>
    <s v="Sigma 8"/>
    <s v="Breithorn"/>
    <s v="Fieschertal"/>
    <n v="1"/>
    <n v="17"/>
    <x v="73"/>
    <x v="2"/>
  </r>
  <r>
    <x v="0"/>
    <d v="2013-09-08T00:00:00"/>
    <x v="4"/>
    <x v="23"/>
    <n v="1"/>
    <s v="Sigma 8"/>
    <s v="Bassano da Bepi"/>
    <s v="Semonze del Grappa"/>
    <m/>
    <n v="21"/>
    <x v="97"/>
    <x v="13"/>
  </r>
  <r>
    <x v="0"/>
    <d v="2013-09-09T00:00:00"/>
    <x v="4"/>
    <x v="23"/>
    <n v="1"/>
    <s v="Sigma 8"/>
    <s v="Bassano Antenna"/>
    <s v="Semonze del Grappa"/>
    <n v="1"/>
    <n v="0"/>
    <x v="47"/>
    <x v="13"/>
  </r>
  <r>
    <x v="0"/>
    <d v="2013-09-09T00:00:00"/>
    <x v="4"/>
    <x v="23"/>
    <n v="0"/>
    <s v="Sigma 8"/>
    <s v="Bassano Casetta"/>
    <s v="Semonze del Grappa"/>
    <m/>
    <n v="48"/>
    <x v="135"/>
    <x v="13"/>
  </r>
  <r>
    <x v="0"/>
    <d v="2013-09-10T00:00:00"/>
    <x v="4"/>
    <x v="23"/>
    <n v="1"/>
    <s v="Sigma 8"/>
    <s v="Bassano Antenna"/>
    <s v="Semonze del Grappa"/>
    <m/>
    <n v="38"/>
    <x v="17"/>
    <x v="13"/>
  </r>
  <r>
    <x v="0"/>
    <d v="2013-09-11T00:00:00"/>
    <x v="4"/>
    <x v="23"/>
    <n v="1"/>
    <s v="Sigma 8"/>
    <s v="Rodella"/>
    <s v="Campitello"/>
    <n v="1"/>
    <n v="15"/>
    <x v="56"/>
    <x v="13"/>
  </r>
  <r>
    <x v="0"/>
    <d v="2013-09-11T00:00:00"/>
    <x v="4"/>
    <x v="23"/>
    <n v="0"/>
    <s v="Sigma 8"/>
    <s v="Rodella"/>
    <s v="Campitello"/>
    <n v="1"/>
    <n v="2"/>
    <x v="110"/>
    <x v="13"/>
  </r>
  <r>
    <x v="0"/>
    <d v="2013-09-12T00:00:00"/>
    <x v="4"/>
    <x v="23"/>
    <n v="1"/>
    <s v="Sigma 8"/>
    <s v="Rodella"/>
    <s v="Campitello"/>
    <n v="1"/>
    <n v="4"/>
    <x v="38"/>
    <x v="13"/>
  </r>
  <r>
    <x v="0"/>
    <d v="2013-09-13T00:00:00"/>
    <x v="4"/>
    <x v="23"/>
    <n v="1"/>
    <s v="Sigma 8"/>
    <s v="Bassano da Bepi"/>
    <s v="Semonze del Grappa"/>
    <n v="1"/>
    <n v="10"/>
    <x v="142"/>
    <x v="13"/>
  </r>
  <r>
    <x v="0"/>
    <d v="2013-09-14T00:00:00"/>
    <x v="4"/>
    <x v="23"/>
    <n v="1"/>
    <s v="Sigma 8"/>
    <s v="Mte Generoso West"/>
    <s v="Camping Paradiso"/>
    <n v="1"/>
    <n v="6"/>
    <x v="44"/>
    <x v="13"/>
  </r>
  <r>
    <x v="0"/>
    <d v="2013-10-18T00:00:00"/>
    <x v="5"/>
    <x v="23"/>
    <n v="1"/>
    <s v="Sigma 8"/>
    <s v="Heimat"/>
    <s v="Heimat"/>
    <m/>
    <n v="6"/>
    <x v="0"/>
    <x v="2"/>
  </r>
  <r>
    <x v="0"/>
    <d v="2013-10-18T00:00:00"/>
    <x v="5"/>
    <x v="23"/>
    <n v="0"/>
    <s v="Sigma 8"/>
    <s v="Heimat"/>
    <s v="Fiesch"/>
    <m/>
    <n v="35"/>
    <x v="119"/>
    <x v="2"/>
  </r>
  <r>
    <x v="0"/>
    <d v="2013-10-19T00:00:00"/>
    <x v="5"/>
    <x v="23"/>
    <n v="1"/>
    <s v="Sigma 8"/>
    <s v="Galfera"/>
    <s v="Fieschertal"/>
    <m/>
    <n v="27"/>
    <x v="34"/>
    <x v="2"/>
  </r>
  <r>
    <x v="0"/>
    <d v="2013-10-19T00:00:00"/>
    <x v="5"/>
    <x v="23"/>
    <n v="0"/>
    <s v="Sigma 8"/>
    <s v="Galfera"/>
    <s v="Fieschertal"/>
    <m/>
    <n v="44"/>
    <x v="99"/>
    <x v="2"/>
  </r>
  <r>
    <x v="0"/>
    <d v="2013-10-19T00:00:00"/>
    <x v="5"/>
    <x v="23"/>
    <n v="0"/>
    <s v="Sigma 8"/>
    <s v="Heimat"/>
    <s v="Fieschertal"/>
    <m/>
    <n v="30"/>
    <x v="8"/>
    <x v="2"/>
  </r>
  <r>
    <x v="0"/>
    <d v="2013-10-25T00:00:00"/>
    <x v="5"/>
    <x v="23"/>
    <n v="1"/>
    <s v="PI23"/>
    <s v="Steibenkreuz"/>
    <s v="Fiesch"/>
    <m/>
    <n v="15"/>
    <x v="15"/>
    <x v="2"/>
  </r>
  <r>
    <x v="0"/>
    <d v="2013-12-21T00:00:00"/>
    <x v="10"/>
    <x v="23"/>
    <n v="1"/>
    <s v="Sigma 8"/>
    <s v="Heimat"/>
    <s v="Fieschertal"/>
    <m/>
    <n v="12"/>
    <x v="6"/>
    <x v="2"/>
  </r>
  <r>
    <x v="0"/>
    <d v="2013-12-21T00:00:00"/>
    <x v="10"/>
    <x v="23"/>
    <n v="0"/>
    <s v="Sigma 8"/>
    <s v="Heimat"/>
    <s v="Fieschertal"/>
    <m/>
    <n v="44"/>
    <x v="99"/>
    <x v="2"/>
  </r>
  <r>
    <x v="0"/>
    <d v="2014-03-12T00:00:00"/>
    <x v="8"/>
    <x v="24"/>
    <n v="1"/>
    <s v="Sigma 8"/>
    <s v="Steibenkreuz"/>
    <s v="Baschi"/>
    <m/>
    <n v="43"/>
    <x v="118"/>
    <x v="2"/>
  </r>
  <r>
    <x v="0"/>
    <d v="2014-03-13T00:00:00"/>
    <x v="8"/>
    <x v="24"/>
    <n v="1"/>
    <s v="Sigma 8"/>
    <s v="Steibenkreuz"/>
    <s v="Fiesch"/>
    <n v="1"/>
    <n v="2"/>
    <x v="110"/>
    <x v="2"/>
  </r>
  <r>
    <x v="0"/>
    <d v="2014-03-14T00:00:00"/>
    <x v="8"/>
    <x v="24"/>
    <n v="1"/>
    <s v="Sigma 8"/>
    <s v="Heimat"/>
    <s v="Baschi"/>
    <n v="1"/>
    <n v="22"/>
    <x v="91"/>
    <x v="2"/>
  </r>
  <r>
    <x v="0"/>
    <d v="2014-03-17T00:00:00"/>
    <x v="8"/>
    <x v="24"/>
    <n v="1"/>
    <s v="Sigma 8"/>
    <s v="Heimat"/>
    <s v="Baschi"/>
    <n v="1"/>
    <n v="43"/>
    <x v="106"/>
    <x v="2"/>
  </r>
  <r>
    <x v="0"/>
    <d v="2014-03-30T00:00:00"/>
    <x v="8"/>
    <x v="24"/>
    <n v="1"/>
    <s v="Sigma 8"/>
    <s v="Heimat"/>
    <s v="Fiesch"/>
    <n v="1"/>
    <n v="8"/>
    <x v="54"/>
    <x v="2"/>
  </r>
  <r>
    <x v="0"/>
    <d v="2014-05-18T00:00:00"/>
    <x v="0"/>
    <x v="24"/>
    <n v="1"/>
    <s v="Sigma 8"/>
    <s v="Heimat"/>
    <s v="Fieschertal"/>
    <m/>
    <n v="17"/>
    <x v="26"/>
    <x v="2"/>
  </r>
  <r>
    <x v="0"/>
    <d v="2014-05-30T00:00:00"/>
    <x v="0"/>
    <x v="24"/>
    <n v="1"/>
    <s v="Sigma 8"/>
    <s v="Linhares"/>
    <s v="Linhares"/>
    <m/>
    <n v="53"/>
    <x v="137"/>
    <x v="23"/>
  </r>
  <r>
    <x v="0"/>
    <d v="2014-05-30T00:00:00"/>
    <x v="0"/>
    <x v="24"/>
    <n v="0"/>
    <s v="Sigma 8"/>
    <s v="Linhares"/>
    <s v="Linhares"/>
    <m/>
    <n v="30"/>
    <x v="8"/>
    <x v="23"/>
  </r>
  <r>
    <x v="0"/>
    <d v="2014-05-30T00:00:00"/>
    <x v="0"/>
    <x v="24"/>
    <n v="0"/>
    <s v="Sigma 8"/>
    <s v="Linhares"/>
    <s v="Wiese bei Kreuzung"/>
    <m/>
    <n v="37"/>
    <x v="51"/>
    <x v="23"/>
  </r>
  <r>
    <x v="0"/>
    <d v="2014-05-31T00:00:00"/>
    <x v="0"/>
    <x v="24"/>
    <n v="1"/>
    <s v="Sigma 8"/>
    <s v="Mte Alegra N"/>
    <s v="Mte Alegra Esp"/>
    <n v="1"/>
    <n v="2"/>
    <x v="110"/>
    <x v="23"/>
  </r>
  <r>
    <x v="0"/>
    <d v="2014-05-31T00:00:00"/>
    <x v="0"/>
    <x v="24"/>
    <n v="0"/>
    <s v="Sigma 8"/>
    <s v="Mte Alegra N"/>
    <s v="Mte Alegra Esp"/>
    <m/>
    <n v="52"/>
    <x v="37"/>
    <x v="23"/>
  </r>
  <r>
    <x v="0"/>
    <d v="2014-06-01T00:00:00"/>
    <x v="1"/>
    <x v="24"/>
    <n v="1"/>
    <s v="Sigma 8"/>
    <s v="Mte Alegra E"/>
    <s v="Mte Alegra E"/>
    <m/>
    <n v="50"/>
    <x v="40"/>
    <x v="23"/>
  </r>
  <r>
    <x v="0"/>
    <d v="2014-06-01T00:00:00"/>
    <x v="1"/>
    <x v="24"/>
    <n v="0"/>
    <s v="Sigma 8"/>
    <s v="Mte Alegra N"/>
    <s v="Chaves"/>
    <n v="1"/>
    <n v="26"/>
    <x v="64"/>
    <x v="23"/>
  </r>
  <r>
    <x v="0"/>
    <d v="2014-06-02T00:00:00"/>
    <x v="1"/>
    <x v="24"/>
    <n v="1"/>
    <s v="Sigma 8"/>
    <s v="Mte Alegra E"/>
    <s v="Mte Alegra E"/>
    <m/>
    <n v="20"/>
    <x v="5"/>
    <x v="23"/>
  </r>
  <r>
    <x v="0"/>
    <d v="2014-06-02T00:00:00"/>
    <x v="1"/>
    <x v="24"/>
    <n v="0"/>
    <s v="Sigma 8"/>
    <s v="Mte Alegra N"/>
    <s v="Mte Alegra Esp"/>
    <m/>
    <n v="28"/>
    <x v="63"/>
    <x v="23"/>
  </r>
  <r>
    <x v="0"/>
    <d v="2014-06-02T00:00:00"/>
    <x v="1"/>
    <x v="24"/>
    <n v="0"/>
    <s v="Sigma 8"/>
    <s v="Mte Alegra N"/>
    <s v="Mte Alegra Esp"/>
    <m/>
    <n v="14"/>
    <x v="11"/>
    <x v="23"/>
  </r>
  <r>
    <x v="0"/>
    <d v="2014-06-03T00:00:00"/>
    <x v="1"/>
    <x v="24"/>
    <n v="1"/>
    <s v="Sigma 8"/>
    <s v="Linhares"/>
    <s v="Linhares"/>
    <m/>
    <n v="56"/>
    <x v="68"/>
    <x v="23"/>
  </r>
  <r>
    <x v="0"/>
    <d v="2014-06-03T00:00:00"/>
    <x v="1"/>
    <x v="24"/>
    <n v="0"/>
    <s v="Sigma 8"/>
    <s v="Linhares"/>
    <s v="Linhares"/>
    <n v="1"/>
    <n v="57"/>
    <x v="71"/>
    <x v="23"/>
  </r>
  <r>
    <x v="0"/>
    <d v="2014-06-04T00:00:00"/>
    <x v="1"/>
    <x v="24"/>
    <n v="1"/>
    <s v="Sigma 8"/>
    <s v="Linhares"/>
    <s v="Linhares"/>
    <m/>
    <n v="34"/>
    <x v="50"/>
    <x v="23"/>
  </r>
  <r>
    <x v="0"/>
    <d v="2014-06-04T00:00:00"/>
    <x v="1"/>
    <x v="24"/>
    <n v="0"/>
    <s v="Sigma 8"/>
    <s v="Linhares"/>
    <s v="Linhares"/>
    <n v="1"/>
    <n v="9"/>
    <x v="116"/>
    <x v="23"/>
  </r>
  <r>
    <x v="0"/>
    <d v="2014-06-05T00:00:00"/>
    <x v="1"/>
    <x v="24"/>
    <n v="1"/>
    <s v="Sigma 8"/>
    <s v="Porte Espada"/>
    <s v="Sesimbra"/>
    <m/>
    <n v="28"/>
    <x v="63"/>
    <x v="23"/>
  </r>
  <r>
    <x v="0"/>
    <d v="2014-06-08T00:00:00"/>
    <x v="1"/>
    <x v="24"/>
    <n v="1"/>
    <s v="Sigma 9"/>
    <s v="Galfera"/>
    <s v="Baschi"/>
    <n v="1"/>
    <n v="25"/>
    <x v="113"/>
    <x v="2"/>
  </r>
  <r>
    <x v="0"/>
    <d v="2014-06-09T00:00:00"/>
    <x v="1"/>
    <x v="24"/>
    <n v="1"/>
    <s v="Sigma 9"/>
    <s v="Heimat"/>
    <s v="Baschi"/>
    <n v="1"/>
    <n v="37"/>
    <x v="143"/>
    <x v="2"/>
  </r>
  <r>
    <x v="0"/>
    <d v="2014-06-21T00:00:00"/>
    <x v="1"/>
    <x v="24"/>
    <n v="1"/>
    <s v="Sigma 9"/>
    <s v="Heimat"/>
    <s v="Fieschertal"/>
    <m/>
    <n v="52"/>
    <x v="37"/>
    <x v="2"/>
  </r>
  <r>
    <x v="0"/>
    <d v="2014-06-22T00:00:00"/>
    <x v="1"/>
    <x v="24"/>
    <n v="1"/>
    <s v="Sigma 9"/>
    <s v="Heimat"/>
    <s v="Fiesch"/>
    <m/>
    <n v="46"/>
    <x v="141"/>
    <x v="2"/>
  </r>
  <r>
    <x v="0"/>
    <d v="2014-07-16T00:00:00"/>
    <x v="2"/>
    <x v="24"/>
    <n v="1"/>
    <s v="Sigma 9"/>
    <s v="Galfera"/>
    <s v="Fieschertal"/>
    <n v="1"/>
    <n v="20"/>
    <x v="46"/>
    <x v="2"/>
  </r>
  <r>
    <x v="0"/>
    <d v="2014-07-18T00:00:00"/>
    <x v="2"/>
    <x v="24"/>
    <n v="1"/>
    <s v="Sigma 9"/>
    <s v="Heimat"/>
    <s v="Fieschertal"/>
    <n v="1"/>
    <n v="6"/>
    <x v="44"/>
    <x v="2"/>
  </r>
  <r>
    <x v="0"/>
    <d v="2014-07-19T00:00:00"/>
    <x v="2"/>
    <x v="24"/>
    <n v="1"/>
    <s v="Sigma 9"/>
    <s v="Galfera"/>
    <s v="Fieschertal"/>
    <m/>
    <n v="44"/>
    <x v="99"/>
    <x v="2"/>
  </r>
  <r>
    <x v="0"/>
    <d v="2014-08-01T00:00:00"/>
    <x v="3"/>
    <x v="24"/>
    <n v="1"/>
    <s v="Sigma 9"/>
    <s v="Chalet Ü50"/>
    <s v="Fieschertal"/>
    <m/>
    <n v="30"/>
    <x v="8"/>
    <x v="2"/>
  </r>
  <r>
    <x v="0"/>
    <d v="2014-08-08T00:00:00"/>
    <x v="3"/>
    <x v="24"/>
    <n v="1"/>
    <s v="Sigma 9"/>
    <s v="Heimat"/>
    <s v="Fieschertal"/>
    <m/>
    <n v="43"/>
    <x v="118"/>
    <x v="2"/>
  </r>
  <r>
    <x v="0"/>
    <d v="2014-08-09T00:00:00"/>
    <x v="3"/>
    <x v="24"/>
    <n v="1"/>
    <s v="PI23"/>
    <s v="Muti"/>
    <s v="Fieschertal"/>
    <m/>
    <n v="15"/>
    <x v="15"/>
    <x v="2"/>
  </r>
  <r>
    <x v="0"/>
    <d v="2014-08-21T00:00:00"/>
    <x v="3"/>
    <x v="24"/>
    <n v="1"/>
    <s v="Sigma 9"/>
    <s v="Heimat"/>
    <s v="Fiesch"/>
    <m/>
    <n v="29"/>
    <x v="85"/>
    <x v="2"/>
  </r>
  <r>
    <x v="0"/>
    <d v="2014-08-30T00:00:00"/>
    <x v="3"/>
    <x v="24"/>
    <n v="1"/>
    <s v="Sigma 9"/>
    <s v="Muti"/>
    <s v="Fieschertal"/>
    <m/>
    <n v="24"/>
    <x v="61"/>
    <x v="2"/>
  </r>
  <r>
    <x v="0"/>
    <d v="2014-09-06T00:00:00"/>
    <x v="4"/>
    <x v="24"/>
    <n v="1"/>
    <s v="Sigma 9"/>
    <s v="Motta Naluns"/>
    <s v="Scuol"/>
    <m/>
    <n v="19"/>
    <x v="20"/>
    <x v="13"/>
  </r>
  <r>
    <x v="0"/>
    <d v="2014-09-07T00:00:00"/>
    <x v="4"/>
    <x v="24"/>
    <n v="1"/>
    <s v="Sigma 9"/>
    <s v="Watles Prämajur"/>
    <s v="Clusio"/>
    <m/>
    <n v="33"/>
    <x v="59"/>
    <x v="13"/>
  </r>
  <r>
    <x v="0"/>
    <d v="2014-09-07T00:00:00"/>
    <x v="4"/>
    <x v="24"/>
    <n v="0"/>
    <s v="Sigma 9"/>
    <s v="Watles Hotel"/>
    <s v="Clusio"/>
    <m/>
    <n v="23"/>
    <x v="92"/>
    <x v="13"/>
  </r>
  <r>
    <x v="0"/>
    <d v="2014-09-07T00:00:00"/>
    <x v="4"/>
    <x v="24"/>
    <n v="0"/>
    <s v="Sigma 9"/>
    <s v="Watles Hotel"/>
    <s v="Clusio"/>
    <m/>
    <n v="16"/>
    <x v="19"/>
    <x v="13"/>
  </r>
  <r>
    <x v="0"/>
    <d v="2014-09-08T00:00:00"/>
    <x v="4"/>
    <x v="24"/>
    <n v="1"/>
    <s v="Sigma 9"/>
    <s v="Rodella"/>
    <s v="Campitello"/>
    <n v="1"/>
    <n v="37"/>
    <x v="143"/>
    <x v="13"/>
  </r>
  <r>
    <x v="0"/>
    <d v="2014-09-08T00:00:00"/>
    <x v="4"/>
    <x v="24"/>
    <n v="0"/>
    <s v="Sigma 9"/>
    <s v="Rosengarten"/>
    <s v="Fontanazzo"/>
    <m/>
    <n v="24"/>
    <x v="61"/>
    <x v="13"/>
  </r>
  <r>
    <x v="0"/>
    <d v="2014-09-09T00:00:00"/>
    <x v="4"/>
    <x v="24"/>
    <n v="1"/>
    <s v="Sigma 9"/>
    <s v="Rodella"/>
    <s v="Campitello"/>
    <m/>
    <n v="48"/>
    <x v="135"/>
    <x v="13"/>
  </r>
  <r>
    <x v="0"/>
    <d v="2014-09-10T00:00:00"/>
    <x v="4"/>
    <x v="24"/>
    <n v="1"/>
    <s v="Sigma 9"/>
    <s v="Rodella"/>
    <s v="Campitello"/>
    <n v="1"/>
    <n v="8"/>
    <x v="54"/>
    <x v="13"/>
  </r>
  <r>
    <x v="0"/>
    <d v="2014-09-11T00:00:00"/>
    <x v="4"/>
    <x v="24"/>
    <n v="1"/>
    <s v="Sigma 9"/>
    <s v="Rodella"/>
    <s v="Campitello"/>
    <m/>
    <n v="20"/>
    <x v="5"/>
    <x v="13"/>
  </r>
  <r>
    <x v="0"/>
    <d v="2014-09-14T00:00:00"/>
    <x v="4"/>
    <x v="24"/>
    <n v="1"/>
    <s v="Sigma 9"/>
    <s v="Heimat"/>
    <s v="Fieschertal"/>
    <n v="1"/>
    <m/>
    <x v="47"/>
    <x v="2"/>
  </r>
  <r>
    <x v="0"/>
    <d v="2014-09-26T00:00:00"/>
    <x v="4"/>
    <x v="24"/>
    <n v="1"/>
    <s v="Sigma 9"/>
    <s v="Heimat"/>
    <s v="Fiesch"/>
    <m/>
    <n v="20"/>
    <x v="5"/>
    <x v="2"/>
  </r>
  <r>
    <x v="0"/>
    <d v="2014-09-27T00:00:00"/>
    <x v="4"/>
    <x v="24"/>
    <n v="1"/>
    <s v="Sigma 9"/>
    <s v="Galfera"/>
    <s v="Fieschertal"/>
    <n v="3"/>
    <m/>
    <x v="156"/>
    <x v="2"/>
  </r>
  <r>
    <x v="0"/>
    <d v="2014-10-03T00:00:00"/>
    <x v="5"/>
    <x v="24"/>
    <n v="1"/>
    <s v="Sigma 9"/>
    <s v="Heimat"/>
    <s v="Baschi"/>
    <n v="1"/>
    <n v="26"/>
    <x v="64"/>
    <x v="2"/>
  </r>
  <r>
    <x v="0"/>
    <d v="2014-10-04T00:00:00"/>
    <x v="5"/>
    <x v="24"/>
    <n v="1"/>
    <s v="Sigma 9"/>
    <s v="Heimat"/>
    <s v="Baschi"/>
    <n v="1"/>
    <n v="8"/>
    <x v="54"/>
    <x v="2"/>
  </r>
  <r>
    <x v="1"/>
    <d v="2014-10-18T00:00:00"/>
    <x v="5"/>
    <x v="24"/>
    <n v="1"/>
    <s v="Sigma 9"/>
    <s v="Galfera"/>
    <s v="Fieschertal"/>
    <m/>
    <n v="32"/>
    <x v="23"/>
    <x v="17"/>
  </r>
  <r>
    <x v="1"/>
    <d v="2014-10-18T00:00:00"/>
    <x v="5"/>
    <x v="24"/>
    <n v="0"/>
    <s v="Sigma 9"/>
    <s v="Salzgäb"/>
    <s v="Heixunalp"/>
    <m/>
    <n v="17"/>
    <x v="26"/>
    <x v="17"/>
  </r>
  <r>
    <x v="1"/>
    <d v="2014-10-18T00:00:00"/>
    <x v="5"/>
    <x v="24"/>
    <n v="0"/>
    <s v="Sigma 9"/>
    <s v="Ernergale"/>
    <s v="Fieschertal"/>
    <m/>
    <n v="36"/>
    <x v="39"/>
    <x v="17"/>
  </r>
  <r>
    <x v="1"/>
    <d v="2014-10-19T00:00:00"/>
    <x v="5"/>
    <x v="24"/>
    <n v="1"/>
    <s v="Sigma 9"/>
    <s v="Salzgäb"/>
    <s v="Fieschertal"/>
    <m/>
    <n v="38"/>
    <x v="17"/>
    <x v="17"/>
  </r>
  <r>
    <x v="0"/>
    <d v="2014-10-26T00:00:00"/>
    <x v="5"/>
    <x v="24"/>
    <n v="1"/>
    <s v="Sigma 8"/>
    <s v="Babadag"/>
    <s v="Ölüdeniz"/>
    <m/>
    <n v="50"/>
    <x v="40"/>
    <x v="24"/>
  </r>
  <r>
    <x v="0"/>
    <d v="2014-10-27T00:00:00"/>
    <x v="5"/>
    <x v="24"/>
    <n v="1"/>
    <s v="Sigma 8"/>
    <s v="Babadag"/>
    <s v="Ölüdeniz"/>
    <m/>
    <n v="23"/>
    <x v="92"/>
    <x v="24"/>
  </r>
  <r>
    <x v="0"/>
    <d v="2014-10-27T00:00:00"/>
    <x v="5"/>
    <x v="24"/>
    <n v="0"/>
    <s v="Sigma 8"/>
    <s v="Babadag"/>
    <s v="Ölüdeniz"/>
    <n v="1"/>
    <n v="43"/>
    <x v="106"/>
    <x v="24"/>
  </r>
  <r>
    <x v="0"/>
    <d v="2014-10-28T00:00:00"/>
    <x v="5"/>
    <x v="24"/>
    <n v="1"/>
    <s v="Sigma 8"/>
    <s v="Babadag"/>
    <s v="Ölüdeniz"/>
    <m/>
    <n v="35"/>
    <x v="119"/>
    <x v="24"/>
  </r>
  <r>
    <x v="0"/>
    <d v="2014-10-28T00:00:00"/>
    <x v="5"/>
    <x v="24"/>
    <n v="0"/>
    <s v="Sigma 8"/>
    <s v="Babadag"/>
    <s v="Ölüdeniz"/>
    <m/>
    <n v="24"/>
    <x v="61"/>
    <x v="24"/>
  </r>
  <r>
    <x v="0"/>
    <d v="2014-10-29T00:00:00"/>
    <x v="5"/>
    <x v="24"/>
    <n v="1"/>
    <s v="Sigma 8"/>
    <s v="Babadag"/>
    <s v="Ölüdeniz"/>
    <m/>
    <n v="24"/>
    <x v="61"/>
    <x v="24"/>
  </r>
  <r>
    <x v="0"/>
    <d v="2014-10-29T00:00:00"/>
    <x v="5"/>
    <x v="24"/>
    <n v="0"/>
    <s v="Sigma 8"/>
    <s v="Babadag"/>
    <s v="Ölüdeniz"/>
    <m/>
    <n v="14"/>
    <x v="11"/>
    <x v="24"/>
  </r>
  <r>
    <x v="0"/>
    <d v="2014-10-30T00:00:00"/>
    <x v="5"/>
    <x v="24"/>
    <n v="1"/>
    <s v="Sigma 8"/>
    <s v="Babadag"/>
    <s v="Ölüdeniz"/>
    <m/>
    <n v="22"/>
    <x v="42"/>
    <x v="24"/>
  </r>
  <r>
    <x v="0"/>
    <d v="2014-10-30T00:00:00"/>
    <x v="5"/>
    <x v="24"/>
    <n v="0"/>
    <s v="Sigma 8"/>
    <s v="Babadag"/>
    <s v="Ölüdeniz"/>
    <m/>
    <n v="35"/>
    <x v="119"/>
    <x v="24"/>
  </r>
  <r>
    <x v="0"/>
    <d v="2014-10-30T00:00:00"/>
    <x v="5"/>
    <x v="24"/>
    <n v="0"/>
    <s v="Sigma 8"/>
    <s v="Babadag"/>
    <s v="Ölüdeniz"/>
    <m/>
    <n v="45"/>
    <x v="27"/>
    <x v="24"/>
  </r>
  <r>
    <x v="0"/>
    <d v="2014-10-31T00:00:00"/>
    <x v="5"/>
    <x v="24"/>
    <n v="1"/>
    <s v="Sigma 8"/>
    <s v="Babadag"/>
    <s v="Butterfly-Bucht"/>
    <m/>
    <n v="51"/>
    <x v="21"/>
    <x v="24"/>
  </r>
  <r>
    <x v="0"/>
    <d v="2014-11-01T00:00:00"/>
    <x v="6"/>
    <x v="24"/>
    <n v="1"/>
    <s v="Sigma 8"/>
    <s v="Babadag"/>
    <s v="Ölüdeniz"/>
    <n v="1"/>
    <n v="17"/>
    <x v="73"/>
    <x v="24"/>
  </r>
  <r>
    <x v="0"/>
    <d v="2014-11-01T00:00:00"/>
    <x v="6"/>
    <x v="24"/>
    <n v="0"/>
    <s v="Sigma 8"/>
    <s v="Babadag"/>
    <s v="Ölüdeniz"/>
    <n v="2"/>
    <n v="14"/>
    <x v="146"/>
    <x v="24"/>
  </r>
  <r>
    <x v="0"/>
    <d v="2014-11-02T00:00:00"/>
    <x v="6"/>
    <x v="24"/>
    <n v="1"/>
    <s v="Sigma 8"/>
    <s v="Babadag"/>
    <s v="Ölüdeniz"/>
    <n v="1"/>
    <n v="15"/>
    <x v="56"/>
    <x v="24"/>
  </r>
  <r>
    <x v="0"/>
    <d v="2014-11-02T00:00:00"/>
    <x v="6"/>
    <x v="24"/>
    <n v="0"/>
    <s v="Sigma 8"/>
    <s v="Babadag"/>
    <s v="Ölüdeniz"/>
    <n v="1"/>
    <n v="20"/>
    <x v="46"/>
    <x v="24"/>
  </r>
  <r>
    <x v="0"/>
    <d v="2014-11-08T00:00:00"/>
    <x v="6"/>
    <x v="24"/>
    <n v="1"/>
    <s v="Sigma 9"/>
    <s v="Engersch/Jeizinen"/>
    <s v="Turtmann"/>
    <m/>
    <n v="18"/>
    <x v="57"/>
    <x v="2"/>
  </r>
  <r>
    <x v="0"/>
    <d v="2014-11-08T00:00:00"/>
    <x v="6"/>
    <x v="24"/>
    <n v="0"/>
    <s v="Sigma 9"/>
    <s v="Vercorin"/>
    <s v="Chalet"/>
    <m/>
    <n v="11"/>
    <x v="14"/>
    <x v="2"/>
  </r>
  <r>
    <x v="0"/>
    <d v="2014-11-21T00:00:00"/>
    <x v="6"/>
    <x v="24"/>
    <n v="1"/>
    <s v="Sigma 9"/>
    <s v="Heimat"/>
    <s v="Fiesch"/>
    <m/>
    <n v="17"/>
    <x v="26"/>
    <x v="25"/>
  </r>
  <r>
    <x v="0"/>
    <d v="2015-03-10T00:00:00"/>
    <x v="8"/>
    <x v="25"/>
    <n v="1"/>
    <s v="Sigma 9"/>
    <s v="Steibenkreuz"/>
    <s v="Fiesch"/>
    <m/>
    <n v="32"/>
    <x v="23"/>
    <x v="2"/>
  </r>
  <r>
    <x v="0"/>
    <d v="2015-03-13T00:00:00"/>
    <x v="8"/>
    <x v="25"/>
    <n v="1"/>
    <s v="Sigma 9"/>
    <s v="Steibenkreuz"/>
    <s v="Geschinen"/>
    <m/>
    <n v="43"/>
    <x v="118"/>
    <x v="2"/>
  </r>
  <r>
    <x v="0"/>
    <d v="2015-04-10T00:00:00"/>
    <x v="9"/>
    <x v="25"/>
    <n v="1"/>
    <s v="Sigma 9"/>
    <s v="Heimat"/>
    <s v="Heimat"/>
    <m/>
    <n v="9"/>
    <x v="22"/>
    <x v="2"/>
  </r>
  <r>
    <x v="0"/>
    <d v="2015-04-12T00:00:00"/>
    <x v="9"/>
    <x v="25"/>
    <n v="1"/>
    <s v="Sigma 9"/>
    <s v="Heimat"/>
    <s v="Fieschertal"/>
    <n v="1"/>
    <n v="18"/>
    <x v="87"/>
    <x v="2"/>
  </r>
  <r>
    <x v="0"/>
    <d v="2015-04-24T00:00:00"/>
    <x v="9"/>
    <x v="25"/>
    <n v="1"/>
    <s v="Sigma 9"/>
    <s v="Heimat"/>
    <s v="Fiesch"/>
    <m/>
    <n v="36"/>
    <x v="39"/>
    <x v="2"/>
  </r>
  <r>
    <x v="0"/>
    <d v="2015-05-16T00:00:00"/>
    <x v="0"/>
    <x v="25"/>
    <n v="1"/>
    <s v="Sigma 9"/>
    <s v="Heimat"/>
    <s v="Fieschertal"/>
    <m/>
    <n v="11"/>
    <x v="14"/>
    <x v="2"/>
  </r>
  <r>
    <x v="0"/>
    <d v="2015-05-16T00:00:00"/>
    <x v="0"/>
    <x v="25"/>
    <n v="0"/>
    <s v="Sigma 9"/>
    <s v="Mutti"/>
    <s v="Fieschertal"/>
    <m/>
    <n v="26"/>
    <x v="134"/>
    <x v="2"/>
  </r>
  <r>
    <x v="0"/>
    <d v="2015-05-17T00:00:00"/>
    <x v="0"/>
    <x v="25"/>
    <n v="1"/>
    <s v="Sigma 9"/>
    <s v="Mutti"/>
    <s v="Fieschertal"/>
    <m/>
    <n v="55"/>
    <x v="84"/>
    <x v="2"/>
  </r>
  <r>
    <x v="0"/>
    <d v="2015-05-23T00:00:00"/>
    <x v="0"/>
    <x v="25"/>
    <n v="1"/>
    <s v="Sigma 9"/>
    <s v="Mte Alegra E"/>
    <s v="Mte Alegra E"/>
    <m/>
    <n v="21"/>
    <x v="97"/>
    <x v="23"/>
  </r>
  <r>
    <x v="0"/>
    <d v="2015-05-23T00:00:00"/>
    <x v="0"/>
    <x v="25"/>
    <n v="0"/>
    <s v="Sigma 9"/>
    <s v="Mte Alegra N"/>
    <s v="Antiga de Serraquinhos"/>
    <m/>
    <n v="53"/>
    <x v="137"/>
    <x v="23"/>
  </r>
  <r>
    <x v="0"/>
    <d v="2015-05-24T00:00:00"/>
    <x v="0"/>
    <x v="25"/>
    <n v="1"/>
    <s v="Sigma 9"/>
    <s v="Mte Alegra N"/>
    <s v="Mte Alegra Esp"/>
    <m/>
    <n v="28"/>
    <x v="63"/>
    <x v="23"/>
  </r>
  <r>
    <x v="0"/>
    <d v="2015-05-25T00:00:00"/>
    <x v="0"/>
    <x v="25"/>
    <n v="1"/>
    <s v="Sigma 9"/>
    <s v="Mte Alegra E"/>
    <s v="Chaves"/>
    <n v="1"/>
    <n v="58"/>
    <x v="104"/>
    <x v="23"/>
  </r>
  <r>
    <x v="0"/>
    <d v="2015-05-26T00:00:00"/>
    <x v="0"/>
    <x v="25"/>
    <n v="1"/>
    <s v="Sigma 9"/>
    <s v="Mte Alegra E"/>
    <s v="Mte Alegra E"/>
    <m/>
    <n v="11"/>
    <x v="14"/>
    <x v="23"/>
  </r>
  <r>
    <x v="0"/>
    <d v="2015-05-26T00:00:00"/>
    <x v="0"/>
    <x v="25"/>
    <n v="0"/>
    <s v="Sigma 9"/>
    <s v="Mte Alegra N"/>
    <s v="Baltar Esp"/>
    <m/>
    <n v="42"/>
    <x v="66"/>
    <x v="23"/>
  </r>
  <r>
    <x v="0"/>
    <d v="2015-05-28T00:00:00"/>
    <x v="0"/>
    <x v="25"/>
    <n v="1"/>
    <s v="Sigma 9"/>
    <s v="Vale Amoreira"/>
    <s v="Mesquitela"/>
    <n v="3"/>
    <n v="12"/>
    <x v="157"/>
    <x v="23"/>
  </r>
  <r>
    <x v="0"/>
    <d v="2015-05-29T00:00:00"/>
    <x v="0"/>
    <x v="25"/>
    <n v="1"/>
    <s v="Sigma 9"/>
    <s v="Vale Amoreira"/>
    <s v="Mesquitela"/>
    <n v="2"/>
    <n v="10"/>
    <x v="158"/>
    <x v="23"/>
  </r>
  <r>
    <x v="0"/>
    <d v="2015-05-30T00:00:00"/>
    <x v="0"/>
    <x v="25"/>
    <n v="1"/>
    <s v="Sigma 9"/>
    <s v="Linhares"/>
    <s v="Linhares"/>
    <n v="1"/>
    <n v="25"/>
    <x v="113"/>
    <x v="23"/>
  </r>
  <r>
    <x v="0"/>
    <d v="2015-05-30T00:00:00"/>
    <x v="0"/>
    <x v="25"/>
    <n v="0"/>
    <s v="Sigma 9"/>
    <s v="Linhares"/>
    <s v="Linhares"/>
    <m/>
    <n v="38"/>
    <x v="17"/>
    <x v="23"/>
  </r>
  <r>
    <x v="0"/>
    <d v="2015-05-31T00:00:00"/>
    <x v="0"/>
    <x v="25"/>
    <n v="1"/>
    <s v="Sigma 9"/>
    <s v="Linhares"/>
    <s v="Linhares"/>
    <m/>
    <n v="15"/>
    <x v="15"/>
    <x v="26"/>
  </r>
  <r>
    <x v="0"/>
    <d v="2015-05-31T00:00:00"/>
    <x v="0"/>
    <x v="25"/>
    <n v="0"/>
    <s v="Sigma 9"/>
    <s v="Linhares"/>
    <s v="Linhares"/>
    <n v="1"/>
    <n v="1"/>
    <x v="31"/>
    <x v="26"/>
  </r>
  <r>
    <x v="0"/>
    <d v="2015-05-31T00:00:00"/>
    <x v="0"/>
    <x v="25"/>
    <n v="0"/>
    <s v="Sigma 9"/>
    <s v="Linhares"/>
    <s v="Linhares"/>
    <n v="1"/>
    <n v="10"/>
    <x v="142"/>
    <x v="26"/>
  </r>
  <r>
    <x v="0"/>
    <d v="2015-06-01T00:00:00"/>
    <x v="1"/>
    <x v="25"/>
    <n v="1"/>
    <s v="Sigma 9"/>
    <s v="Linhares"/>
    <s v="Linhares"/>
    <n v="1"/>
    <n v="14"/>
    <x v="149"/>
    <x v="26"/>
  </r>
  <r>
    <x v="0"/>
    <d v="2015-06-01T00:00:00"/>
    <x v="1"/>
    <x v="25"/>
    <n v="0"/>
    <s v="Sigma 9"/>
    <s v="Linhares"/>
    <s v="Linhares"/>
    <m/>
    <n v="49"/>
    <x v="79"/>
    <x v="26"/>
  </r>
  <r>
    <x v="0"/>
    <d v="2015-06-02T00:00:00"/>
    <x v="1"/>
    <x v="25"/>
    <n v="1"/>
    <s v="Sigma 9"/>
    <s v="Azinha"/>
    <s v="Azinha"/>
    <m/>
    <n v="41"/>
    <x v="115"/>
    <x v="26"/>
  </r>
  <r>
    <x v="0"/>
    <d v="2015-06-02T00:00:00"/>
    <x v="1"/>
    <x v="25"/>
    <n v="0"/>
    <s v="Sigma 9"/>
    <s v="Linhares"/>
    <s v="Wiese bei Kreuzung"/>
    <m/>
    <n v="54"/>
    <x v="28"/>
    <x v="26"/>
  </r>
  <r>
    <x v="0"/>
    <d v="2015-06-11T00:00:00"/>
    <x v="1"/>
    <x v="25"/>
    <n v="1"/>
    <s v="Sigma 9"/>
    <s v="Heimat"/>
    <s v="Fiesch"/>
    <m/>
    <n v="12"/>
    <x v="6"/>
    <x v="2"/>
  </r>
  <r>
    <x v="0"/>
    <d v="2015-06-24T00:00:00"/>
    <x v="1"/>
    <x v="25"/>
    <n v="1"/>
    <s v="Sigma 9"/>
    <s v="Heimat"/>
    <s v="Baschi"/>
    <n v="1"/>
    <n v="21"/>
    <x v="140"/>
    <x v="2"/>
  </r>
  <r>
    <x v="0"/>
    <d v="2015-06-26T00:00:00"/>
    <x v="1"/>
    <x v="25"/>
    <n v="1"/>
    <s v="Sigma 9"/>
    <s v="Heimat"/>
    <s v="Baschi"/>
    <n v="1"/>
    <n v="23"/>
    <x v="102"/>
    <x v="2"/>
  </r>
  <r>
    <x v="0"/>
    <d v="2015-06-28T00:00:00"/>
    <x v="1"/>
    <x v="25"/>
    <n v="1"/>
    <s v="Sigma 9"/>
    <s v="Heimat"/>
    <s v="Fieschertal"/>
    <n v="1"/>
    <n v="56"/>
    <x v="58"/>
    <x v="2"/>
  </r>
  <r>
    <x v="0"/>
    <d v="2015-06-29T00:00:00"/>
    <x v="1"/>
    <x v="25"/>
    <n v="1"/>
    <s v="Sigma 9"/>
    <s v="Heimat"/>
    <s v="Fiesch"/>
    <m/>
    <n v="51"/>
    <x v="21"/>
    <x v="2"/>
  </r>
  <r>
    <x v="0"/>
    <d v="2015-06-30T00:00:00"/>
    <x v="1"/>
    <x v="25"/>
    <n v="1"/>
    <s v="Sigma 9"/>
    <s v="Heimat"/>
    <s v="Fiesch"/>
    <n v="2"/>
    <n v="25"/>
    <x v="83"/>
    <x v="2"/>
  </r>
  <r>
    <x v="0"/>
    <d v="2015-07-03T00:00:00"/>
    <x v="2"/>
    <x v="25"/>
    <n v="1"/>
    <s v="Sigma 9"/>
    <s v="Grand Bornand"/>
    <s v="Grand Bornand"/>
    <n v="1"/>
    <n v="33"/>
    <x v="159"/>
    <x v="2"/>
  </r>
  <r>
    <x v="0"/>
    <d v="2015-07-04T00:00:00"/>
    <x v="2"/>
    <x v="25"/>
    <n v="1"/>
    <s v="Sigma 9"/>
    <s v="Grand Bornand"/>
    <s v="Grand Bornand"/>
    <m/>
    <n v="33"/>
    <x v="59"/>
    <x v="2"/>
  </r>
  <r>
    <x v="0"/>
    <d v="2015-07-04T00:00:00"/>
    <x v="2"/>
    <x v="25"/>
    <n v="0"/>
    <s v="Sigma 9"/>
    <s v="Grand Bornand"/>
    <s v="Grand Bornand"/>
    <m/>
    <n v="28"/>
    <x v="63"/>
    <x v="2"/>
  </r>
  <r>
    <x v="0"/>
    <d v="2015-07-05T00:00:00"/>
    <x v="2"/>
    <x v="25"/>
    <n v="1"/>
    <s v="Sigma 9"/>
    <s v="Grand Bornand"/>
    <s v="Grand Bornand"/>
    <m/>
    <n v="29"/>
    <x v="85"/>
    <x v="2"/>
  </r>
  <r>
    <x v="0"/>
    <d v="2015-07-11T00:00:00"/>
    <x v="2"/>
    <x v="25"/>
    <n v="1"/>
    <s v="Sigma 9"/>
    <s v="Heimat"/>
    <s v="Baschi"/>
    <m/>
    <n v="57"/>
    <x v="49"/>
    <x v="2"/>
  </r>
  <r>
    <x v="0"/>
    <d v="2015-07-18T00:00:00"/>
    <x v="2"/>
    <x v="25"/>
    <n v="1"/>
    <s v="Sigma 9"/>
    <s v="Heimat"/>
    <s v="Fieschertal"/>
    <m/>
    <n v="12"/>
    <x v="6"/>
    <x v="2"/>
  </r>
  <r>
    <x v="0"/>
    <d v="2015-07-20T00:00:00"/>
    <x v="2"/>
    <x v="25"/>
    <n v="1"/>
    <s v="Sigma 9"/>
    <s v="Heimat"/>
    <s v="Baschi"/>
    <n v="1"/>
    <n v="22"/>
    <x v="91"/>
    <x v="2"/>
  </r>
  <r>
    <x v="0"/>
    <d v="2015-07-21T00:00:00"/>
    <x v="2"/>
    <x v="25"/>
    <n v="1"/>
    <s v="Sigma 9"/>
    <s v="Galfera"/>
    <s v="Fiesch"/>
    <n v="2"/>
    <n v="20"/>
    <x v="130"/>
    <x v="2"/>
  </r>
  <r>
    <x v="0"/>
    <d v="2015-07-31T00:00:00"/>
    <x v="2"/>
    <x v="25"/>
    <n v="1"/>
    <s v="Sigma 9"/>
    <s v="Heimat"/>
    <s v="Baschi"/>
    <m/>
    <n v="54"/>
    <x v="28"/>
    <x v="2"/>
  </r>
  <r>
    <x v="0"/>
    <d v="2015-08-03T00:00:00"/>
    <x v="3"/>
    <x v="25"/>
    <n v="1"/>
    <s v="Sigma 9"/>
    <s v="Rufi"/>
    <s v="Rufi"/>
    <m/>
    <n v="34"/>
    <x v="50"/>
    <x v="2"/>
  </r>
  <r>
    <x v="0"/>
    <d v="2015-08-08T00:00:00"/>
    <x v="3"/>
    <x v="25"/>
    <n v="1"/>
    <s v="Sigma 9"/>
    <s v="First"/>
    <s v="Grund"/>
    <n v="1"/>
    <n v="1"/>
    <x v="31"/>
    <x v="2"/>
  </r>
  <r>
    <x v="0"/>
    <d v="2015-08-21T00:00:00"/>
    <x v="3"/>
    <x v="25"/>
    <n v="1"/>
    <s v="Sigma 9"/>
    <s v="Galfera"/>
    <s v="Baschi"/>
    <n v="1"/>
    <n v="32"/>
    <x v="32"/>
    <x v="2"/>
  </r>
  <r>
    <x v="0"/>
    <d v="2015-08-22T00:00:00"/>
    <x v="3"/>
    <x v="25"/>
    <n v="1"/>
    <s v="Sigma 9"/>
    <s v="Galfera"/>
    <s v="Fieschertal"/>
    <n v="1"/>
    <n v="59"/>
    <x v="160"/>
    <x v="2"/>
  </r>
  <r>
    <x v="0"/>
    <d v="2015-08-28T00:00:00"/>
    <x v="3"/>
    <x v="25"/>
    <n v="1"/>
    <s v="Sigma 9"/>
    <s v="Kühboden"/>
    <s v="Fieschertal"/>
    <m/>
    <n v="41"/>
    <x v="115"/>
    <x v="2"/>
  </r>
  <r>
    <x v="0"/>
    <d v="2015-08-29T00:00:00"/>
    <x v="3"/>
    <x v="25"/>
    <n v="1"/>
    <s v="Sigma 9"/>
    <s v="Galfera"/>
    <s v="Fieschertal"/>
    <n v="2"/>
    <n v="22"/>
    <x v="161"/>
    <x v="2"/>
  </r>
  <r>
    <x v="0"/>
    <d v="2015-08-30T00:00:00"/>
    <x v="3"/>
    <x v="25"/>
    <n v="1"/>
    <s v="Sigma 9"/>
    <s v="Meduno"/>
    <s v="meduno"/>
    <n v="1"/>
    <n v="30"/>
    <x v="9"/>
    <x v="27"/>
  </r>
  <r>
    <x v="0"/>
    <d v="2015-08-31T00:00:00"/>
    <x v="3"/>
    <x v="25"/>
    <n v="1"/>
    <s v="Sigma 9"/>
    <s v="Kobala"/>
    <s v="Tolmin"/>
    <n v="1"/>
    <n v="29"/>
    <x v="155"/>
    <x v="27"/>
  </r>
  <r>
    <x v="0"/>
    <d v="2015-08-31T00:00:00"/>
    <x v="3"/>
    <x v="25"/>
    <n v="0"/>
    <s v="Sigma 9"/>
    <s v="Kobala"/>
    <s v="Tolmin"/>
    <n v="1"/>
    <n v="48"/>
    <x v="35"/>
    <x v="27"/>
  </r>
  <r>
    <x v="0"/>
    <d v="2015-09-01T00:00:00"/>
    <x v="4"/>
    <x v="25"/>
    <n v="1"/>
    <s v="Sigma 9"/>
    <s v="Lijak"/>
    <s v="Lijak"/>
    <n v="1"/>
    <n v="10"/>
    <x v="142"/>
    <x v="27"/>
  </r>
  <r>
    <x v="0"/>
    <d v="2015-09-01T00:00:00"/>
    <x v="4"/>
    <x v="25"/>
    <n v="0"/>
    <s v="Sigma 9"/>
    <s v="Lijak"/>
    <s v="Lijak"/>
    <n v="1"/>
    <n v="17"/>
    <x v="73"/>
    <x v="27"/>
  </r>
  <r>
    <x v="0"/>
    <d v="2015-09-02T00:00:00"/>
    <x v="4"/>
    <x v="25"/>
    <n v="1"/>
    <s v="Sigma 9"/>
    <s v="Stol"/>
    <s v="Kobarid"/>
    <m/>
    <n v="38"/>
    <x v="17"/>
    <x v="27"/>
  </r>
  <r>
    <x v="0"/>
    <d v="2015-09-02T00:00:00"/>
    <x v="4"/>
    <x v="25"/>
    <n v="0"/>
    <s v="Sigma 9"/>
    <s v="Kobala"/>
    <s v="Tolmin"/>
    <m/>
    <n v="12"/>
    <x v="6"/>
    <x v="27"/>
  </r>
  <r>
    <x v="0"/>
    <d v="2015-09-03T00:00:00"/>
    <x v="4"/>
    <x v="25"/>
    <n v="1"/>
    <s v="Sigma 9"/>
    <s v="Lijak"/>
    <s v="Lijak"/>
    <m/>
    <n v="50"/>
    <x v="40"/>
    <x v="27"/>
  </r>
  <r>
    <x v="0"/>
    <d v="2015-09-03T00:00:00"/>
    <x v="4"/>
    <x v="25"/>
    <n v="0"/>
    <s v="Sigma 9"/>
    <s v="Lijak"/>
    <s v="Lijak"/>
    <n v="1"/>
    <n v="25"/>
    <x v="113"/>
    <x v="27"/>
  </r>
  <r>
    <x v="0"/>
    <d v="2015-09-04T00:00:00"/>
    <x v="4"/>
    <x v="25"/>
    <n v="1"/>
    <s v="Sigma 9"/>
    <s v="Kobala"/>
    <s v="Tolmin"/>
    <m/>
    <n v="12"/>
    <x v="6"/>
    <x v="27"/>
  </r>
  <r>
    <x v="0"/>
    <d v="2015-10-04T00:00:00"/>
    <x v="5"/>
    <x v="25"/>
    <n v="1"/>
    <s v="Sigma 9"/>
    <s v="Aspres sur Buech"/>
    <s v="Aspres sur Buech"/>
    <n v="1"/>
    <n v="28"/>
    <x v="80"/>
    <x v="28"/>
  </r>
  <r>
    <x v="0"/>
    <d v="2015-10-05T00:00:00"/>
    <x v="5"/>
    <x v="25"/>
    <n v="1"/>
    <s v="Sigma 9"/>
    <s v="Chalves W"/>
    <s v="St. André"/>
    <m/>
    <n v="12"/>
    <x v="6"/>
    <x v="28"/>
  </r>
  <r>
    <x v="0"/>
    <d v="2015-10-05T00:00:00"/>
    <x v="5"/>
    <x v="25"/>
    <n v="0"/>
    <s v="Sigma 9"/>
    <s v="Chalves W"/>
    <s v="St. André"/>
    <m/>
    <n v="14"/>
    <x v="11"/>
    <x v="28"/>
  </r>
  <r>
    <x v="0"/>
    <d v="2015-10-05T00:00:00"/>
    <x v="5"/>
    <x v="25"/>
    <n v="0"/>
    <s v="Sigma 9"/>
    <s v="Chalves S"/>
    <s v="St. André"/>
    <m/>
    <n v="9"/>
    <x v="22"/>
    <x v="28"/>
  </r>
  <r>
    <x v="0"/>
    <d v="2015-10-06T00:00:00"/>
    <x v="5"/>
    <x v="25"/>
    <n v="1"/>
    <s v="Sigma 9"/>
    <s v="Chalves S"/>
    <s v="St. André"/>
    <m/>
    <n v="14"/>
    <x v="11"/>
    <x v="28"/>
  </r>
  <r>
    <x v="0"/>
    <d v="2015-10-06T00:00:00"/>
    <x v="5"/>
    <x v="25"/>
    <n v="0"/>
    <s v="Sigma 9"/>
    <s v="Chalves S"/>
    <s v="St. André"/>
    <m/>
    <n v="16"/>
    <x v="19"/>
    <x v="28"/>
  </r>
  <r>
    <x v="0"/>
    <d v="2015-10-06T00:00:00"/>
    <x v="5"/>
    <x v="25"/>
    <n v="0"/>
    <s v="Sigma 9"/>
    <s v="Chalves S"/>
    <s v="St. André"/>
    <m/>
    <n v="11"/>
    <x v="14"/>
    <x v="28"/>
  </r>
  <r>
    <x v="0"/>
    <d v="2015-10-07T00:00:00"/>
    <x v="5"/>
    <x v="25"/>
    <n v="1"/>
    <s v="Sigma 9"/>
    <s v="St Vincent Les Forts"/>
    <s v="St Vincent Les Forts"/>
    <m/>
    <n v="54"/>
    <x v="28"/>
    <x v="28"/>
  </r>
  <r>
    <x v="0"/>
    <d v="2015-10-07T00:00:00"/>
    <x v="5"/>
    <x v="25"/>
    <n v="0"/>
    <s v="Sigma 9"/>
    <s v="St Vincent Les Forts"/>
    <s v="St Vincent Les Forts"/>
    <n v="1"/>
    <n v="35"/>
    <x v="43"/>
    <x v="28"/>
  </r>
  <r>
    <x v="0"/>
    <d v="2015-10-07T00:00:00"/>
    <x v="5"/>
    <x v="25"/>
    <n v="0"/>
    <s v="Sigma 9"/>
    <s v="St Vincent Les Forts"/>
    <s v="St Vincent Les Forts"/>
    <m/>
    <n v="53"/>
    <x v="137"/>
    <x v="28"/>
  </r>
  <r>
    <x v="0"/>
    <d v="2015-10-08T00:00:00"/>
    <x v="5"/>
    <x v="25"/>
    <n v="1"/>
    <s v="Sigma 9"/>
    <s v="Chalves W"/>
    <s v="Digne de Bain - Mouiroués"/>
    <n v="1"/>
    <n v="43"/>
    <x v="106"/>
    <x v="28"/>
  </r>
  <r>
    <x v="0"/>
    <d v="2015-10-09T00:00:00"/>
    <x v="5"/>
    <x v="25"/>
    <n v="1"/>
    <s v="Sigma 9"/>
    <s v="Chalves S"/>
    <s v="St. André"/>
    <m/>
    <n v="50"/>
    <x v="40"/>
    <x v="28"/>
  </r>
  <r>
    <x v="0"/>
    <d v="2015-10-09T00:00:00"/>
    <x v="5"/>
    <x v="25"/>
    <n v="0"/>
    <s v="Sigma 9"/>
    <s v="Chalves S"/>
    <s v="St. André"/>
    <n v="1"/>
    <n v="11"/>
    <x v="60"/>
    <x v="28"/>
  </r>
  <r>
    <x v="0"/>
    <d v="2015-10-10T00:00:00"/>
    <x v="5"/>
    <x v="25"/>
    <n v="1"/>
    <s v="Sigma 9"/>
    <s v="Montdenir - Moustiers-Sainte-Marie"/>
    <s v="Lac du Sainte-Croix NO"/>
    <n v="2"/>
    <n v="18"/>
    <x v="139"/>
    <x v="28"/>
  </r>
  <r>
    <x v="0"/>
    <d v="2015-10-10T00:00:00"/>
    <x v="5"/>
    <x v="25"/>
    <n v="0"/>
    <s v="Sigma 9"/>
    <s v="Montdenir - Moustiers-Sainte-Marie"/>
    <s v="Montdenir - Moustiers-Sainte-Marie"/>
    <m/>
    <n v="10"/>
    <x v="4"/>
    <x v="28"/>
  </r>
  <r>
    <x v="0"/>
    <d v="2015-10-10T00:00:00"/>
    <x v="5"/>
    <x v="25"/>
    <n v="0"/>
    <s v="Sigma 9"/>
    <s v="Montdenir - unten/Kante"/>
    <s v="Moustiers-Sainte-Marie"/>
    <m/>
    <n v="7"/>
    <x v="1"/>
    <x v="28"/>
  </r>
  <r>
    <x v="0"/>
    <d v="2015-10-11T00:00:00"/>
    <x v="5"/>
    <x v="25"/>
    <n v="1"/>
    <s v="Sigma 9"/>
    <s v="Montmin- Annecy"/>
    <s v="Lac d'Annecy S"/>
    <n v="1"/>
    <n v="11"/>
    <x v="60"/>
    <x v="28"/>
  </r>
  <r>
    <x v="0"/>
    <d v="2015-10-25T00:00:00"/>
    <x v="5"/>
    <x v="25"/>
    <n v="1"/>
    <s v="Sigma 9"/>
    <s v="Babadag"/>
    <s v="Ölüdeniz"/>
    <m/>
    <n v="28"/>
    <x v="63"/>
    <x v="24"/>
  </r>
  <r>
    <x v="0"/>
    <d v="2015-10-25T00:00:00"/>
    <x v="5"/>
    <x v="25"/>
    <n v="0"/>
    <s v="Sigma 9"/>
    <s v="Babadag"/>
    <s v="Ölüdeniz"/>
    <n v="1"/>
    <n v="12"/>
    <x v="88"/>
    <x v="24"/>
  </r>
  <r>
    <x v="0"/>
    <d v="2015-10-26T00:00:00"/>
    <x v="5"/>
    <x v="25"/>
    <n v="1"/>
    <s v="Sigma 9"/>
    <s v="Babadag"/>
    <s v="Ölüdeniz"/>
    <n v="1"/>
    <n v="54"/>
    <x v="96"/>
    <x v="24"/>
  </r>
  <r>
    <x v="0"/>
    <d v="2015-10-26T00:00:00"/>
    <x v="5"/>
    <x v="25"/>
    <n v="0"/>
    <s v="Sigma 9"/>
    <s v="Babadag"/>
    <s v="Ölüdeniz"/>
    <n v="1"/>
    <n v="11"/>
    <x v="60"/>
    <x v="24"/>
  </r>
  <r>
    <x v="0"/>
    <d v="2015-10-27T00:00:00"/>
    <x v="5"/>
    <x v="25"/>
    <n v="1"/>
    <s v="Sigma 9"/>
    <s v="Babadag"/>
    <s v="Ölüdeniz"/>
    <n v="1"/>
    <n v="24"/>
    <x v="151"/>
    <x v="24"/>
  </r>
  <r>
    <x v="0"/>
    <d v="2015-10-27T00:00:00"/>
    <x v="5"/>
    <x v="25"/>
    <n v="0"/>
    <s v="Sigma 9"/>
    <s v="Babadag"/>
    <s v="Ölüdeniz"/>
    <n v="1"/>
    <n v="26"/>
    <x v="64"/>
    <x v="24"/>
  </r>
  <r>
    <x v="0"/>
    <d v="2015-10-28T00:00:00"/>
    <x v="5"/>
    <x v="25"/>
    <n v="1"/>
    <s v="Sigma 9"/>
    <s v="Babadag"/>
    <s v="Ölüdeniz"/>
    <n v="1"/>
    <n v="9"/>
    <x v="116"/>
    <x v="24"/>
  </r>
  <r>
    <x v="0"/>
    <d v="2015-10-28T00:00:00"/>
    <x v="5"/>
    <x v="25"/>
    <n v="0"/>
    <s v="Sigma 9"/>
    <s v="Babadag"/>
    <s v="Ölüdeniz"/>
    <n v="1"/>
    <n v="7"/>
    <x v="136"/>
    <x v="24"/>
  </r>
  <r>
    <x v="0"/>
    <d v="2015-10-29T00:00:00"/>
    <x v="5"/>
    <x v="25"/>
    <n v="1"/>
    <s v="Sigma 9"/>
    <s v="Babadag"/>
    <s v="Ölüdeniz"/>
    <n v="1"/>
    <n v="42"/>
    <x v="145"/>
    <x v="24"/>
  </r>
  <r>
    <x v="0"/>
    <d v="2015-10-29T00:00:00"/>
    <x v="5"/>
    <x v="25"/>
    <n v="0"/>
    <s v="Sigma 9"/>
    <s v="Babadag"/>
    <s v="Ölüdeniz"/>
    <n v="1"/>
    <n v="43"/>
    <x v="106"/>
    <x v="24"/>
  </r>
  <r>
    <x v="0"/>
    <d v="2015-10-30T00:00:00"/>
    <x v="5"/>
    <x v="25"/>
    <n v="1"/>
    <s v="Sigma 9"/>
    <s v="Babadag"/>
    <s v="Butterfly-Bucht"/>
    <n v="1"/>
    <n v="54"/>
    <x v="96"/>
    <x v="24"/>
  </r>
  <r>
    <x v="0"/>
    <d v="2015-10-31T00:00:00"/>
    <x v="5"/>
    <x v="25"/>
    <n v="1"/>
    <s v="Sigma 9"/>
    <s v="Babadag"/>
    <s v="Ölüdeniz"/>
    <n v="1"/>
    <n v="12"/>
    <x v="88"/>
    <x v="24"/>
  </r>
  <r>
    <x v="0"/>
    <d v="2015-10-31T00:00:00"/>
    <x v="5"/>
    <x v="25"/>
    <n v="0"/>
    <s v="Sigma 9"/>
    <s v="Babadag"/>
    <s v="Ölüdeniz"/>
    <m/>
    <n v="54"/>
    <x v="28"/>
    <x v="24"/>
  </r>
  <r>
    <x v="0"/>
    <d v="2015-11-01T00:00:00"/>
    <x v="6"/>
    <x v="25"/>
    <n v="1"/>
    <s v="Sigma 9"/>
    <s v="Babadag"/>
    <s v="Ölüdeniz"/>
    <n v="1"/>
    <n v="50"/>
    <x v="36"/>
    <x v="24"/>
  </r>
  <r>
    <x v="0"/>
    <d v="2015-11-01T00:00:00"/>
    <x v="6"/>
    <x v="25"/>
    <n v="0"/>
    <s v="Sigma 9"/>
    <s v="Babadag"/>
    <s v="Ölüdeniz"/>
    <n v="2"/>
    <n v="3"/>
    <x v="144"/>
    <x v="24"/>
  </r>
  <r>
    <x v="0"/>
    <d v="2015-11-07T00:00:00"/>
    <x v="6"/>
    <x v="25"/>
    <n v="1"/>
    <s v="Sigma 9"/>
    <s v="Heimat"/>
    <s v="Fiesch"/>
    <m/>
    <n v="46"/>
    <x v="141"/>
    <x v="2"/>
  </r>
  <r>
    <x v="0"/>
    <d v="2015-11-08T00:00:00"/>
    <x v="6"/>
    <x v="25"/>
    <n v="1"/>
    <s v="Sigma 9"/>
    <s v="Heimat"/>
    <s v="Fiesch"/>
    <n v="1"/>
    <n v="32"/>
    <x v="32"/>
    <x v="2"/>
  </r>
  <r>
    <x v="0"/>
    <d v="2015-11-13T00:00:00"/>
    <x v="6"/>
    <x v="25"/>
    <n v="1"/>
    <s v="Sigma 9"/>
    <s v="Heimat"/>
    <s v="Fiesch"/>
    <m/>
    <n v="34"/>
    <x v="50"/>
    <x v="2"/>
  </r>
  <r>
    <x v="0"/>
    <d v="2015-12-04T00:00:00"/>
    <x v="10"/>
    <x v="25"/>
    <n v="1"/>
    <s v="PI23"/>
    <s v="Mutti"/>
    <s v="Fiesch"/>
    <m/>
    <n v="10"/>
    <x v="4"/>
    <x v="2"/>
  </r>
  <r>
    <x v="0"/>
    <d v="2015-12-05T00:00:00"/>
    <x v="10"/>
    <x v="25"/>
    <n v="1"/>
    <s v="Sigma 9"/>
    <s v="Heimat"/>
    <s v="Fiesch"/>
    <m/>
    <n v="39"/>
    <x v="131"/>
    <x v="2"/>
  </r>
  <r>
    <x v="0"/>
    <d v="2015-12-06T00:00:00"/>
    <x v="10"/>
    <x v="25"/>
    <n v="1"/>
    <s v="Sigma 9"/>
    <s v="Heimat"/>
    <s v="Mühle"/>
    <n v="1"/>
    <n v="30"/>
    <x v="9"/>
    <x v="2"/>
  </r>
  <r>
    <x v="0"/>
    <d v="2015-12-18T00:00:00"/>
    <x v="10"/>
    <x v="25"/>
    <n v="1"/>
    <s v="PI23"/>
    <s v="Mutti"/>
    <s v="Fiesch"/>
    <m/>
    <n v="10"/>
    <x v="4"/>
    <x v="2"/>
  </r>
  <r>
    <x v="0"/>
    <d v="2015-12-19T00:00:00"/>
    <x v="10"/>
    <x v="25"/>
    <n v="1"/>
    <s v="Sigma 9"/>
    <s v="Heimat"/>
    <s v="Baschi"/>
    <n v="1"/>
    <n v="55"/>
    <x v="148"/>
    <x v="2"/>
  </r>
  <r>
    <x v="0"/>
    <d v="2015-12-20T00:00:00"/>
    <x v="10"/>
    <x v="25"/>
    <n v="1"/>
    <s v="Sigma 9"/>
    <s v="Heimat"/>
    <s v="Baschi"/>
    <n v="1"/>
    <n v="20"/>
    <x v="46"/>
    <x v="2"/>
  </r>
  <r>
    <x v="0"/>
    <d v="2015-12-22T00:00:00"/>
    <x v="10"/>
    <x v="25"/>
    <n v="1"/>
    <s v="Sigma 9"/>
    <s v="Heimat"/>
    <s v="Fiesch"/>
    <m/>
    <n v="56"/>
    <x v="68"/>
    <x v="2"/>
  </r>
  <r>
    <x v="0"/>
    <d v="2015-12-22T00:00:00"/>
    <x v="10"/>
    <x v="25"/>
    <n v="0"/>
    <s v="PI23"/>
    <s v="Steibenkreuz"/>
    <s v="Käfer"/>
    <m/>
    <n v="10"/>
    <x v="4"/>
    <x v="2"/>
  </r>
  <r>
    <x v="0"/>
    <d v="2015-12-23T00:00:00"/>
    <x v="10"/>
    <x v="25"/>
    <n v="1"/>
    <s v="Sigma 9"/>
    <s v="Heimat"/>
    <s v="Baschi"/>
    <n v="1"/>
    <n v="43"/>
    <x v="106"/>
    <x v="2"/>
  </r>
  <r>
    <x v="0"/>
    <d v="2015-12-24T00:00:00"/>
    <x v="10"/>
    <x v="25"/>
    <n v="1"/>
    <s v="Sigma 9"/>
    <s v="Heimat"/>
    <s v="Baschi"/>
    <n v="1"/>
    <n v="6"/>
    <x v="44"/>
    <x v="2"/>
  </r>
  <r>
    <x v="0"/>
    <d v="2015-12-25T00:00:00"/>
    <x v="10"/>
    <x v="25"/>
    <n v="1"/>
    <s v="Sigma 9"/>
    <s v="Heimat"/>
    <s v="Baschi"/>
    <n v="1"/>
    <n v="57"/>
    <x v="71"/>
    <x v="2"/>
  </r>
  <r>
    <x v="0"/>
    <d v="2015-12-26T00:00:00"/>
    <x v="10"/>
    <x v="25"/>
    <n v="1"/>
    <s v="Sigma 9"/>
    <s v="Heimat"/>
    <s v="Baschi"/>
    <n v="1"/>
    <n v="13"/>
    <x v="94"/>
    <x v="2"/>
  </r>
  <r>
    <x v="0"/>
    <d v="2015-12-27T00:00:00"/>
    <x v="10"/>
    <x v="25"/>
    <n v="1"/>
    <s v="Sigma 9"/>
    <s v="Richinen"/>
    <s v="Baschi"/>
    <n v="1"/>
    <n v="17"/>
    <x v="73"/>
    <x v="2"/>
  </r>
  <r>
    <x v="0"/>
    <d v="2015-12-28T00:00:00"/>
    <x v="10"/>
    <x v="25"/>
    <n v="1"/>
    <s v="Sigma 9"/>
    <s v="Richinen"/>
    <s v="Baschi"/>
    <n v="1"/>
    <n v="4"/>
    <x v="38"/>
    <x v="2"/>
  </r>
  <r>
    <x v="0"/>
    <d v="2015-12-29T00:00:00"/>
    <x v="10"/>
    <x v="25"/>
    <n v="1"/>
    <s v="Sigma 9"/>
    <s v="Chalet Ü50"/>
    <s v="Fieschertal"/>
    <m/>
    <n v="20"/>
    <x v="5"/>
    <x v="2"/>
  </r>
  <r>
    <x v="0"/>
    <d v="2015-12-30T00:00:00"/>
    <x v="10"/>
    <x v="25"/>
    <n v="1"/>
    <s v="Sigma 9"/>
    <s v="Richinen"/>
    <s v="Baschi"/>
    <m/>
    <n v="41"/>
    <x v="115"/>
    <x v="2"/>
  </r>
  <r>
    <x v="0"/>
    <d v="2016-01-24T00:00:00"/>
    <x v="11"/>
    <x v="26"/>
    <n v="1"/>
    <s v="Sigma 9"/>
    <s v="Piedechinche"/>
    <s v="La Tortuga"/>
    <n v="1"/>
    <n v="51"/>
    <x v="111"/>
    <x v="29"/>
  </r>
  <r>
    <x v="0"/>
    <d v="2016-01-25T00:00:00"/>
    <x v="11"/>
    <x v="26"/>
    <n v="1"/>
    <s v="Sigma 9"/>
    <s v="Piedechinche"/>
    <s v="Piedechinche"/>
    <n v="2"/>
    <n v="8"/>
    <x v="78"/>
    <x v="29"/>
  </r>
  <r>
    <x v="0"/>
    <d v="2016-01-26T00:00:00"/>
    <x v="11"/>
    <x v="26"/>
    <n v="1"/>
    <s v="Sigma 9"/>
    <s v="Piedechinche"/>
    <s v="Buga"/>
    <n v="1"/>
    <n v="49"/>
    <x v="126"/>
    <x v="29"/>
  </r>
  <r>
    <x v="0"/>
    <d v="2016-01-27T00:00:00"/>
    <x v="11"/>
    <x v="26"/>
    <n v="1"/>
    <s v="Sigma 9"/>
    <s v="Roldanillo"/>
    <s v="La Victoria"/>
    <n v="1"/>
    <n v="10"/>
    <x v="142"/>
    <x v="29"/>
  </r>
  <r>
    <x v="0"/>
    <d v="2016-01-28T00:00:00"/>
    <x v="11"/>
    <x v="26"/>
    <n v="1"/>
    <s v="Sigma 9"/>
    <s v="Roldanillo"/>
    <s v="Obando"/>
    <n v="4"/>
    <n v="26"/>
    <x v="162"/>
    <x v="29"/>
  </r>
  <r>
    <x v="0"/>
    <d v="2016-01-29T00:00:00"/>
    <x v="11"/>
    <x v="26"/>
    <n v="1"/>
    <s v="Sigma 9"/>
    <s v="Roldanillo"/>
    <s v="Ansermanuevo"/>
    <n v="4"/>
    <n v="12"/>
    <x v="163"/>
    <x v="29"/>
  </r>
  <r>
    <x v="0"/>
    <d v="2016-01-30T00:00:00"/>
    <x v="11"/>
    <x v="26"/>
    <n v="1"/>
    <s v="Sigma 9"/>
    <s v="Ansermanuevo"/>
    <s v="Ansermanuevo"/>
    <n v="1"/>
    <n v="15"/>
    <x v="56"/>
    <x v="29"/>
  </r>
  <r>
    <x v="0"/>
    <d v="2016-01-31T00:00:00"/>
    <x v="11"/>
    <x v="26"/>
    <n v="1"/>
    <s v="Sigma 9"/>
    <s v="Ansermanuevo"/>
    <s v="Zarzal"/>
    <n v="2"/>
    <n v="20"/>
    <x v="130"/>
    <x v="29"/>
  </r>
  <r>
    <x v="0"/>
    <d v="2016-02-01T00:00:00"/>
    <x v="7"/>
    <x v="26"/>
    <n v="1"/>
    <s v="Sigma 9"/>
    <s v="Ansermanuevo"/>
    <s v="Ansermanuevo"/>
    <m/>
    <n v="30"/>
    <x v="8"/>
    <x v="29"/>
  </r>
  <r>
    <x v="0"/>
    <d v="2016-02-02T00:00:00"/>
    <x v="7"/>
    <x v="26"/>
    <n v="1"/>
    <s v="Sigma 9"/>
    <s v="Ansermanuevo"/>
    <s v="Viterbo"/>
    <n v="2"/>
    <n v="30"/>
    <x v="77"/>
    <x v="29"/>
  </r>
  <r>
    <x v="0"/>
    <d v="2016-02-03T00:00:00"/>
    <x v="7"/>
    <x v="26"/>
    <n v="1"/>
    <s v="Sigma 9"/>
    <s v="Jerico"/>
    <s v="Rio Cauca"/>
    <n v="1"/>
    <n v="9"/>
    <x v="116"/>
    <x v="29"/>
  </r>
  <r>
    <x v="0"/>
    <d v="2016-02-04T00:00:00"/>
    <x v="7"/>
    <x v="26"/>
    <n v="1"/>
    <s v="Sigma 9"/>
    <s v="Jerico"/>
    <s v="La Pintada"/>
    <n v="1"/>
    <n v="24"/>
    <x v="151"/>
    <x v="29"/>
  </r>
  <r>
    <x v="0"/>
    <d v="2016-02-05T00:00:00"/>
    <x v="7"/>
    <x v="26"/>
    <n v="1"/>
    <s v="Sigma 9"/>
    <s v="Jerico"/>
    <s v="Rio Cauca"/>
    <m/>
    <n v="51"/>
    <x v="21"/>
    <x v="29"/>
  </r>
  <r>
    <x v="0"/>
    <d v="2016-03-14T00:00:00"/>
    <x v="8"/>
    <x v="26"/>
    <n v="1"/>
    <s v="Sigma 9"/>
    <s v="Steibenkreuz"/>
    <s v="Baschi"/>
    <m/>
    <n v="36"/>
    <x v="39"/>
    <x v="2"/>
  </r>
  <r>
    <x v="0"/>
    <d v="2016-03-17T00:00:00"/>
    <x v="8"/>
    <x v="26"/>
    <n v="1"/>
    <s v="Sigma 9"/>
    <s v="Steibenkreuz"/>
    <s v="Baschi"/>
    <m/>
    <n v="33"/>
    <x v="59"/>
    <x v="2"/>
  </r>
  <r>
    <x v="0"/>
    <d v="2016-03-18T00:00:00"/>
    <x v="8"/>
    <x v="26"/>
    <n v="1"/>
    <s v="Sigma 9"/>
    <s v="Heimat"/>
    <s v="Fiesch"/>
    <n v="1"/>
    <n v="35"/>
    <x v="43"/>
    <x v="2"/>
  </r>
  <r>
    <x v="0"/>
    <d v="2016-03-19T00:00:00"/>
    <x v="8"/>
    <x v="26"/>
    <n v="1"/>
    <s v="Sigma 9"/>
    <s v="Heimat"/>
    <s v="Fiesch"/>
    <m/>
    <n v="43"/>
    <x v="118"/>
    <x v="2"/>
  </r>
  <r>
    <x v="0"/>
    <d v="2016-03-20T00:00:00"/>
    <x v="8"/>
    <x v="26"/>
    <n v="1"/>
    <s v="Sigma 9"/>
    <s v="Heimat"/>
    <s v="Baschi"/>
    <m/>
    <n v="47"/>
    <x v="132"/>
    <x v="2"/>
  </r>
  <r>
    <x v="0"/>
    <d v="2016-03-22T00:00:00"/>
    <x v="8"/>
    <x v="26"/>
    <n v="1"/>
    <s v="Sigma 9"/>
    <s v="Steibenkreuz"/>
    <s v="Fieschertal"/>
    <n v="1"/>
    <n v="5"/>
    <x v="45"/>
    <x v="2"/>
  </r>
  <r>
    <x v="0"/>
    <d v="2016-03-26T00:00:00"/>
    <x v="8"/>
    <x v="26"/>
    <n v="1"/>
    <s v="Pi2 27"/>
    <s v="Rossboden"/>
    <s v="Fieschertal"/>
    <m/>
    <n v="15"/>
    <x v="15"/>
    <x v="2"/>
  </r>
  <r>
    <x v="0"/>
    <d v="2016-04-20T00:00:00"/>
    <x v="9"/>
    <x v="26"/>
    <n v="1"/>
    <s v="Sigma 9"/>
    <s v="Heimat"/>
    <s v="Fiesch"/>
    <n v="1"/>
    <n v="30"/>
    <x v="9"/>
    <x v="2"/>
  </r>
  <r>
    <x v="1"/>
    <d v="2016-04-28T00:00:00"/>
    <x v="9"/>
    <x v="26"/>
    <n v="1"/>
    <s v="Sigma 9"/>
    <s v="San Fermo"/>
    <s v="San Fermo"/>
    <m/>
    <n v="44"/>
    <x v="99"/>
    <x v="30"/>
  </r>
  <r>
    <x v="1"/>
    <d v="2016-04-28T00:00:00"/>
    <x v="9"/>
    <x v="26"/>
    <n v="0"/>
    <s v="Sigma 9"/>
    <s v="San Fermo"/>
    <s v="Casazza"/>
    <m/>
    <n v="24"/>
    <x v="61"/>
    <x v="30"/>
  </r>
  <r>
    <x v="1"/>
    <d v="2016-04-29T00:00:00"/>
    <x v="9"/>
    <x v="26"/>
    <n v="1"/>
    <s v="Sigma 9"/>
    <s v="San Fermo"/>
    <s v="San Fermo"/>
    <m/>
    <n v="7"/>
    <x v="1"/>
    <x v="30"/>
  </r>
  <r>
    <x v="1"/>
    <d v="2016-04-29T00:00:00"/>
    <x v="9"/>
    <x v="26"/>
    <n v="0"/>
    <s v="Sigma 9"/>
    <s v="San Fermo"/>
    <s v="Bauernhof"/>
    <m/>
    <n v="11"/>
    <x v="14"/>
    <x v="30"/>
  </r>
  <r>
    <x v="1"/>
    <d v="2016-04-29T00:00:00"/>
    <x v="9"/>
    <x v="26"/>
    <n v="0"/>
    <s v="Sigma 9"/>
    <s v="San Fermo"/>
    <s v="San Fermo"/>
    <m/>
    <n v="26"/>
    <x v="134"/>
    <x v="30"/>
  </r>
  <r>
    <x v="1"/>
    <d v="2016-04-29T00:00:00"/>
    <x v="9"/>
    <x v="26"/>
    <n v="0"/>
    <s v="Sigma 9"/>
    <s v="San Fermo"/>
    <s v="Casazza"/>
    <m/>
    <n v="22"/>
    <x v="42"/>
    <x v="30"/>
  </r>
  <r>
    <x v="1"/>
    <d v="2016-04-30T00:00:00"/>
    <x v="9"/>
    <x v="26"/>
    <n v="1"/>
    <s v="Sigma 9"/>
    <s v="San Fermo"/>
    <s v="San Fermo"/>
    <n v="1"/>
    <n v="9"/>
    <x v="116"/>
    <x v="30"/>
  </r>
  <r>
    <x v="0"/>
    <d v="2016-05-17T00:00:00"/>
    <x v="0"/>
    <x v="26"/>
    <n v="1"/>
    <s v="Sigma 9"/>
    <s v="Heimat"/>
    <s v="Fiesch"/>
    <m/>
    <n v="59"/>
    <x v="120"/>
    <x v="2"/>
  </r>
  <r>
    <x v="0"/>
    <d v="2016-05-21T00:00:00"/>
    <x v="0"/>
    <x v="26"/>
    <n v="1"/>
    <s v="Sigma 9"/>
    <s v="Bellwald"/>
    <s v="Fieschertal"/>
    <m/>
    <n v="57"/>
    <x v="49"/>
    <x v="2"/>
  </r>
  <r>
    <x v="0"/>
    <d v="2016-05-29T00:00:00"/>
    <x v="0"/>
    <x v="26"/>
    <n v="1"/>
    <s v="Sigma 9"/>
    <s v="Polvoeira"/>
    <s v="Polvoeira"/>
    <n v="1"/>
    <n v="37"/>
    <x v="143"/>
    <x v="23"/>
  </r>
  <r>
    <x v="0"/>
    <d v="2016-05-29T00:00:00"/>
    <x v="0"/>
    <x v="26"/>
    <n v="0"/>
    <s v="Sigma 9"/>
    <s v="Polvoeira"/>
    <s v="Polvoeira"/>
    <n v="1"/>
    <n v="21"/>
    <x v="140"/>
    <x v="23"/>
  </r>
  <r>
    <x v="0"/>
    <d v="2016-05-30T00:00:00"/>
    <x v="0"/>
    <x v="26"/>
    <n v="1"/>
    <s v="Sigma 9"/>
    <s v="Linhares"/>
    <s v="Linhares"/>
    <m/>
    <n v="36"/>
    <x v="39"/>
    <x v="23"/>
  </r>
  <r>
    <x v="0"/>
    <d v="2016-05-30T00:00:00"/>
    <x v="0"/>
    <x v="26"/>
    <n v="0"/>
    <s v="Sigma 9"/>
    <s v="Linhares"/>
    <s v="Linhares"/>
    <m/>
    <n v="23"/>
    <x v="92"/>
    <x v="23"/>
  </r>
  <r>
    <x v="0"/>
    <d v="2016-05-30T00:00:00"/>
    <x v="0"/>
    <x v="26"/>
    <n v="0"/>
    <s v="Sigma 9"/>
    <s v="Linhares"/>
    <s v="Linhares"/>
    <n v="1"/>
    <n v="13"/>
    <x v="94"/>
    <x v="23"/>
  </r>
  <r>
    <x v="0"/>
    <d v="2016-05-30T00:00:00"/>
    <x v="0"/>
    <x v="26"/>
    <n v="0"/>
    <s v="Sigma 9"/>
    <s v="Linhares"/>
    <s v="Linhares"/>
    <m/>
    <n v="46"/>
    <x v="141"/>
    <x v="23"/>
  </r>
  <r>
    <x v="0"/>
    <d v="2016-05-31T00:00:00"/>
    <x v="0"/>
    <x v="26"/>
    <n v="1"/>
    <s v="Sigma 9"/>
    <s v="Vale Amoreira"/>
    <s v="Vela"/>
    <n v="2"/>
    <n v="17"/>
    <x v="70"/>
    <x v="23"/>
  </r>
  <r>
    <x v="0"/>
    <d v="2016-05-31T00:00:00"/>
    <x v="0"/>
    <x v="26"/>
    <n v="0"/>
    <s v="Sigma 9"/>
    <s v="Linhares"/>
    <s v="Linhares"/>
    <m/>
    <n v="13"/>
    <x v="18"/>
    <x v="23"/>
  </r>
  <r>
    <x v="0"/>
    <d v="2016-06-01T00:00:00"/>
    <x v="1"/>
    <x v="26"/>
    <n v="1"/>
    <s v="Sigma 9"/>
    <s v="Mte Alegra E"/>
    <s v="Larouco"/>
    <n v="1"/>
    <n v="6"/>
    <x v="44"/>
    <x v="23"/>
  </r>
  <r>
    <x v="0"/>
    <d v="2016-06-01T00:00:00"/>
    <x v="1"/>
    <x v="26"/>
    <n v="0"/>
    <s v="Sigma 9"/>
    <s v="Mte Alegra N"/>
    <s v="Baltar Espania"/>
    <m/>
    <n v="52"/>
    <x v="37"/>
    <x v="23"/>
  </r>
  <r>
    <x v="0"/>
    <d v="2016-06-02T00:00:00"/>
    <x v="1"/>
    <x v="26"/>
    <n v="1"/>
    <s v="Sigma 9"/>
    <s v="Mte Alegra W"/>
    <s v="Vilar de Perdizes"/>
    <m/>
    <n v="29"/>
    <x v="85"/>
    <x v="23"/>
  </r>
  <r>
    <x v="0"/>
    <d v="2016-06-03T00:00:00"/>
    <x v="1"/>
    <x v="26"/>
    <n v="1"/>
    <s v="Sigma 9"/>
    <s v="Salgado"/>
    <s v="Salgado"/>
    <n v="3"/>
    <n v="6"/>
    <x v="123"/>
    <x v="23"/>
  </r>
  <r>
    <x v="0"/>
    <d v="2016-06-10T00:00:00"/>
    <x v="1"/>
    <x v="26"/>
    <n v="1"/>
    <s v="Sigma 9"/>
    <s v="Mutti"/>
    <s v="Baschi"/>
    <m/>
    <n v="54"/>
    <x v="28"/>
    <x v="2"/>
  </r>
  <r>
    <x v="0"/>
    <d v="2016-07-01T00:00:00"/>
    <x v="2"/>
    <x v="26"/>
    <n v="1"/>
    <s v="Sigma 9"/>
    <s v="Heimat"/>
    <s v="Baschi"/>
    <n v="1"/>
    <n v="12"/>
    <x v="88"/>
    <x v="2"/>
  </r>
  <r>
    <x v="0"/>
    <d v="2016-07-07T00:00:00"/>
    <x v="2"/>
    <x v="26"/>
    <n v="1"/>
    <s v="Sigma 9"/>
    <s v="Mutti"/>
    <s v="Baschi"/>
    <m/>
    <n v="55"/>
    <x v="84"/>
    <x v="2"/>
  </r>
  <r>
    <x v="0"/>
    <d v="2016-07-08T00:00:00"/>
    <x v="2"/>
    <x v="26"/>
    <n v="1"/>
    <s v="Sigma 9"/>
    <s v="Heimat"/>
    <s v="Fiesch"/>
    <m/>
    <n v="18"/>
    <x v="57"/>
    <x v="2"/>
  </r>
  <r>
    <x v="0"/>
    <d v="2016-07-09T00:00:00"/>
    <x v="2"/>
    <x v="26"/>
    <n v="1"/>
    <s v="Sigma 9"/>
    <s v="Heimat"/>
    <s v="Fiesch"/>
    <m/>
    <n v="55"/>
    <x v="84"/>
    <x v="2"/>
  </r>
  <r>
    <x v="0"/>
    <d v="2016-07-10T00:00:00"/>
    <x v="2"/>
    <x v="26"/>
    <n v="1"/>
    <s v="Sigma 9"/>
    <s v="Galfera"/>
    <s v="Fieschertal"/>
    <n v="1"/>
    <n v="12"/>
    <x v="88"/>
    <x v="2"/>
  </r>
  <r>
    <x v="0"/>
    <d v="2016-07-17T00:00:00"/>
    <x v="2"/>
    <x v="26"/>
    <n v="1"/>
    <s v="Sigma 9"/>
    <s v="Mölkerblatte/Lenk"/>
    <s v="Les Diablerets"/>
    <n v="1"/>
    <n v="54"/>
    <x v="96"/>
    <x v="2"/>
  </r>
  <r>
    <x v="0"/>
    <d v="2016-07-19T00:00:00"/>
    <x v="2"/>
    <x v="26"/>
    <n v="1"/>
    <s v="Sigma 9"/>
    <s v="Richinen"/>
    <s v="Realp"/>
    <n v="1"/>
    <n v="40"/>
    <x v="48"/>
    <x v="2"/>
  </r>
  <r>
    <x v="0"/>
    <d v="2016-07-20T00:00:00"/>
    <x v="2"/>
    <x v="26"/>
    <n v="1"/>
    <s v="Sigma 9"/>
    <s v="Richinen"/>
    <s v="Fiesch"/>
    <n v="2"/>
    <n v="28"/>
    <x v="164"/>
    <x v="2"/>
  </r>
  <r>
    <x v="0"/>
    <d v="2016-07-24T00:00:00"/>
    <x v="2"/>
    <x v="26"/>
    <n v="1"/>
    <s v="Sigma 9"/>
    <s v="Richinen"/>
    <s v="Geschinen"/>
    <n v="1"/>
    <n v="50"/>
    <x v="36"/>
    <x v="2"/>
  </r>
  <r>
    <x v="0"/>
    <d v="2016-07-27T00:00:00"/>
    <x v="2"/>
    <x v="26"/>
    <n v="1"/>
    <s v="Sigma 9"/>
    <s v="Richinen"/>
    <s v="Fiesch"/>
    <m/>
    <n v="18"/>
    <x v="57"/>
    <x v="2"/>
  </r>
  <r>
    <x v="0"/>
    <d v="2016-07-28T00:00:00"/>
    <x v="2"/>
    <x v="26"/>
    <n v="1"/>
    <s v="Sigma 9"/>
    <s v="Richinen"/>
    <s v="Baschi"/>
    <m/>
    <n v="42"/>
    <x v="66"/>
    <x v="2"/>
  </r>
  <r>
    <x v="0"/>
    <d v="2016-07-29T00:00:00"/>
    <x v="2"/>
    <x v="26"/>
    <n v="1"/>
    <s v="Sigma 9"/>
    <s v="Galfera"/>
    <s v="Baschi"/>
    <n v="1"/>
    <n v="10"/>
    <x v="142"/>
    <x v="2"/>
  </r>
  <r>
    <x v="0"/>
    <d v="2016-07-30T00:00:00"/>
    <x v="2"/>
    <x v="26"/>
    <n v="1"/>
    <s v="Pi2 27"/>
    <s v="Chäserstatt"/>
    <s v="Fiesch"/>
    <m/>
    <n v="10"/>
    <x v="4"/>
    <x v="2"/>
  </r>
  <r>
    <x v="0"/>
    <d v="2016-08-03T00:00:00"/>
    <x v="3"/>
    <x v="26"/>
    <n v="1"/>
    <s v="Sigma 9"/>
    <s v="Richinen"/>
    <s v="Münster"/>
    <m/>
    <n v="27"/>
    <x v="34"/>
    <x v="2"/>
  </r>
  <r>
    <x v="0"/>
    <d v="2016-08-04T00:00:00"/>
    <x v="3"/>
    <x v="26"/>
    <n v="1"/>
    <s v="Sigma 9"/>
    <s v="Steibenkreuz"/>
    <s v="Baschi"/>
    <m/>
    <n v="54"/>
    <x v="28"/>
    <x v="2"/>
  </r>
  <r>
    <x v="0"/>
    <d v="2016-08-07T00:00:00"/>
    <x v="3"/>
    <x v="26"/>
    <n v="1"/>
    <s v="Sigma 9"/>
    <s v="First"/>
    <s v="Grund"/>
    <n v="1"/>
    <n v="1"/>
    <x v="31"/>
    <x v="2"/>
  </r>
  <r>
    <x v="0"/>
    <d v="2016-08-08T00:00:00"/>
    <x v="3"/>
    <x v="26"/>
    <n v="1"/>
    <s v="Sigma 9"/>
    <s v="Steibenkreuz"/>
    <s v="Fiesch"/>
    <n v="2"/>
    <n v="15"/>
    <x v="81"/>
    <x v="2"/>
  </r>
  <r>
    <x v="0"/>
    <d v="2016-08-11T00:00:00"/>
    <x v="3"/>
    <x v="26"/>
    <n v="1"/>
    <s v="Sigma 9"/>
    <s v="Steibenkreuz"/>
    <s v="Baschi"/>
    <m/>
    <n v="32"/>
    <x v="23"/>
    <x v="2"/>
  </r>
  <r>
    <x v="0"/>
    <d v="2016-08-12T00:00:00"/>
    <x v="3"/>
    <x v="26"/>
    <n v="1"/>
    <s v="Sigma 9"/>
    <s v="Steibenkreuz"/>
    <s v="Baschi"/>
    <m/>
    <n v="43"/>
    <x v="118"/>
    <x v="2"/>
  </r>
  <r>
    <x v="0"/>
    <d v="2016-08-13T00:00:00"/>
    <x v="3"/>
    <x v="26"/>
    <n v="1"/>
    <s v="Sigma 9"/>
    <s v="Galfera"/>
    <s v="Baschi"/>
    <n v="2"/>
    <n v="33"/>
    <x v="124"/>
    <x v="2"/>
  </r>
  <r>
    <x v="0"/>
    <d v="2016-08-14T00:00:00"/>
    <x v="3"/>
    <x v="26"/>
    <n v="1"/>
    <s v="Sigma 9"/>
    <s v="Galfera"/>
    <s v="Falera"/>
    <n v="5"/>
    <n v="10"/>
    <x v="165"/>
    <x v="2"/>
  </r>
  <r>
    <x v="0"/>
    <d v="2016-08-15T00:00:00"/>
    <x v="3"/>
    <x v="26"/>
    <n v="1"/>
    <s v="Sigma 9"/>
    <s v="Galfera"/>
    <s v="Fieschertal"/>
    <m/>
    <n v="55"/>
    <x v="84"/>
    <x v="2"/>
  </r>
  <r>
    <x v="0"/>
    <d v="2016-08-16T00:00:00"/>
    <x v="3"/>
    <x v="26"/>
    <n v="1"/>
    <s v="Sigma 9"/>
    <s v="Heimat"/>
    <s v="Fiesch"/>
    <n v="1"/>
    <n v="39"/>
    <x v="166"/>
    <x v="2"/>
  </r>
  <r>
    <x v="0"/>
    <d v="2016-08-19T00:00:00"/>
    <x v="3"/>
    <x v="26"/>
    <n v="1"/>
    <s v="Sigma 9"/>
    <s v="Heimat"/>
    <s v="Fieschertal"/>
    <m/>
    <n v="51"/>
    <x v="21"/>
    <x v="2"/>
  </r>
  <r>
    <x v="0"/>
    <d v="2016-08-25T00:00:00"/>
    <x v="3"/>
    <x v="26"/>
    <n v="1"/>
    <s v="Sigma 9"/>
    <s v="Steibenkreuz"/>
    <s v="Fiesch"/>
    <n v="1"/>
    <n v="40"/>
    <x v="48"/>
    <x v="2"/>
  </r>
  <r>
    <x v="0"/>
    <d v="2016-08-26T00:00:00"/>
    <x v="3"/>
    <x v="26"/>
    <n v="1"/>
    <s v="Sigma 9"/>
    <s v="Galfera"/>
    <s v="Baschi"/>
    <n v="1"/>
    <n v="29"/>
    <x v="155"/>
    <x v="2"/>
  </r>
  <r>
    <x v="0"/>
    <d v="2016-08-27T00:00:00"/>
    <x v="3"/>
    <x v="26"/>
    <n v="1"/>
    <s v="Sigma 9"/>
    <s v="Heimat"/>
    <s v="Fieschertal"/>
    <n v="3"/>
    <n v="28"/>
    <x v="167"/>
    <x v="2"/>
  </r>
  <r>
    <x v="0"/>
    <d v="2016-08-28T00:00:00"/>
    <x v="3"/>
    <x v="26"/>
    <n v="1"/>
    <s v="Sigma 9"/>
    <s v="Galfera"/>
    <s v="Fiesch"/>
    <n v="1"/>
    <n v="23"/>
    <x v="102"/>
    <x v="2"/>
  </r>
  <r>
    <x v="0"/>
    <d v="2016-09-02T00:00:00"/>
    <x v="4"/>
    <x v="26"/>
    <n v="1"/>
    <s v="Sigma 9"/>
    <s v="Richinen"/>
    <s v="Fiesch"/>
    <m/>
    <n v="38"/>
    <x v="17"/>
    <x v="2"/>
  </r>
  <r>
    <x v="0"/>
    <d v="2016-09-03T00:00:00"/>
    <x v="4"/>
    <x v="26"/>
    <n v="1"/>
    <s v="Sigma 9"/>
    <s v="Heimat"/>
    <s v="Fieschertal"/>
    <n v="1"/>
    <n v="28"/>
    <x v="80"/>
    <x v="2"/>
  </r>
  <r>
    <x v="0"/>
    <d v="2016-09-10T00:00:00"/>
    <x v="4"/>
    <x v="26"/>
    <n v="1"/>
    <s v="Sigma 9"/>
    <s v="Heimat"/>
    <s v="Fiesch"/>
    <n v="2"/>
    <n v="4"/>
    <x v="117"/>
    <x v="2"/>
  </r>
  <r>
    <x v="0"/>
    <d v="2016-09-11T00:00:00"/>
    <x v="4"/>
    <x v="26"/>
    <n v="1"/>
    <s v="Sigma 9"/>
    <s v="Galfera"/>
    <s v="Fieschertal"/>
    <n v="1"/>
    <n v="33"/>
    <x v="159"/>
    <x v="2"/>
  </r>
  <r>
    <x v="0"/>
    <d v="2016-09-12T00:00:00"/>
    <x v="4"/>
    <x v="26"/>
    <n v="1"/>
    <s v="Sigma 9"/>
    <s v="Heimat"/>
    <s v="Gluringen"/>
    <m/>
    <n v="30"/>
    <x v="8"/>
    <x v="2"/>
  </r>
  <r>
    <x v="0"/>
    <d v="2016-09-24T00:00:00"/>
    <x v="4"/>
    <x v="26"/>
    <n v="1"/>
    <s v="Sigma 9"/>
    <s v="Galfera"/>
    <s v="Reckingen"/>
    <n v="1"/>
    <n v="30"/>
    <x v="9"/>
    <x v="2"/>
  </r>
  <r>
    <x v="0"/>
    <d v="2016-09-25T00:00:00"/>
    <x v="4"/>
    <x v="26"/>
    <n v="1"/>
    <s v="Sigma 9"/>
    <s v="Motta Naluns"/>
    <s v="Scuol"/>
    <m/>
    <n v="59"/>
    <x v="120"/>
    <x v="13"/>
  </r>
  <r>
    <x v="0"/>
    <d v="2016-09-25T00:00:00"/>
    <x v="4"/>
    <x v="26"/>
    <n v="0"/>
    <s v="Sigma 9"/>
    <s v="Watles Prämajur"/>
    <s v="Watles Hotel"/>
    <m/>
    <n v="21"/>
    <x v="97"/>
    <x v="13"/>
  </r>
  <r>
    <x v="0"/>
    <d v="2016-09-26T00:00:00"/>
    <x v="4"/>
    <x v="26"/>
    <n v="1"/>
    <s v="Sigma 9"/>
    <s v="Watles Prämajur"/>
    <s v="Clusio"/>
    <n v="2"/>
    <n v="4"/>
    <x v="117"/>
    <x v="13"/>
  </r>
  <r>
    <x v="0"/>
    <d v="2016-09-26T00:00:00"/>
    <x v="4"/>
    <x v="26"/>
    <n v="0"/>
    <s v="Sigma 9"/>
    <s v="Watles Hotel"/>
    <s v="Clusio"/>
    <m/>
    <n v="37"/>
    <x v="51"/>
    <x v="13"/>
  </r>
  <r>
    <x v="0"/>
    <d v="2016-09-27T00:00:00"/>
    <x v="4"/>
    <x v="26"/>
    <n v="1"/>
    <s v="Sigma 9"/>
    <s v="Col Rodella"/>
    <s v="Campitello"/>
    <m/>
    <n v="43"/>
    <x v="118"/>
    <x v="13"/>
  </r>
  <r>
    <x v="0"/>
    <d v="2016-09-28T00:00:00"/>
    <x v="4"/>
    <x v="26"/>
    <n v="1"/>
    <s v="Sigma 9"/>
    <s v="Col Rodella"/>
    <s v="Campitello"/>
    <n v="2"/>
    <n v="11"/>
    <x v="168"/>
    <x v="13"/>
  </r>
  <r>
    <x v="0"/>
    <d v="2016-09-28T00:00:00"/>
    <x v="4"/>
    <x v="26"/>
    <n v="0"/>
    <s v="Sigma 9"/>
    <s v="Col Rodella"/>
    <s v="Campitello"/>
    <n v="1"/>
    <n v="30"/>
    <x v="9"/>
    <x v="13"/>
  </r>
  <r>
    <x v="0"/>
    <d v="2016-09-29T00:00:00"/>
    <x v="4"/>
    <x v="26"/>
    <n v="1"/>
    <s v="Sigma 9"/>
    <s v="Col Rodella"/>
    <s v="Campitello"/>
    <m/>
    <n v="14"/>
    <x v="11"/>
    <x v="13"/>
  </r>
  <r>
    <x v="0"/>
    <d v="2016-09-29T00:00:00"/>
    <x v="4"/>
    <x v="26"/>
    <n v="0"/>
    <s v="Sigma 9"/>
    <s v="Rosengarten"/>
    <s v="Campitello"/>
    <n v="1"/>
    <n v="8"/>
    <x v="54"/>
    <x v="13"/>
  </r>
  <r>
    <x v="0"/>
    <d v="2016-09-30T00:00:00"/>
    <x v="4"/>
    <x v="26"/>
    <n v="1"/>
    <s v="Sigma 9"/>
    <s v="Col Rodella"/>
    <s v="Campitello"/>
    <n v="2"/>
    <n v="50"/>
    <x v="169"/>
    <x v="13"/>
  </r>
  <r>
    <x v="0"/>
    <d v="2016-10-03T00:00:00"/>
    <x v="5"/>
    <x v="26"/>
    <n v="1"/>
    <s v="Sigma 9"/>
    <s v="Chalves S"/>
    <s v="St. André"/>
    <n v="1"/>
    <m/>
    <x v="47"/>
    <x v="28"/>
  </r>
  <r>
    <x v="0"/>
    <d v="2016-10-03T00:00:00"/>
    <x v="5"/>
    <x v="26"/>
    <n v="0"/>
    <s v="Sigma 9"/>
    <s v="Chalves S"/>
    <s v="St. André"/>
    <n v="1"/>
    <n v="6"/>
    <x v="44"/>
    <x v="28"/>
  </r>
  <r>
    <x v="0"/>
    <d v="2016-10-03T00:00:00"/>
    <x v="5"/>
    <x v="26"/>
    <n v="0"/>
    <s v="Sigma 9"/>
    <s v="Chalves W"/>
    <s v="St. André"/>
    <n v="1"/>
    <n v="15"/>
    <x v="56"/>
    <x v="28"/>
  </r>
  <r>
    <x v="0"/>
    <d v="2016-10-04T00:00:00"/>
    <x v="5"/>
    <x v="26"/>
    <n v="1"/>
    <s v="Sigma 9"/>
    <s v="Chalves W"/>
    <s v="Digne de Bain"/>
    <n v="1"/>
    <n v="46"/>
    <x v="170"/>
    <x v="28"/>
  </r>
  <r>
    <x v="0"/>
    <d v="2016-10-05T00:00:00"/>
    <x v="5"/>
    <x v="26"/>
    <n v="1"/>
    <s v="Sigma 9"/>
    <s v="St Vincent Les Forts"/>
    <s v="St Vincent Les Forts"/>
    <m/>
    <n v="10"/>
    <x v="4"/>
    <x v="28"/>
  </r>
  <r>
    <x v="0"/>
    <d v="2016-10-05T00:00:00"/>
    <x v="5"/>
    <x v="26"/>
    <n v="0"/>
    <s v="Sigma 9"/>
    <s v="St Vincent Les Forts"/>
    <s v="St Vincent Les Forts"/>
    <m/>
    <n v="16"/>
    <x v="19"/>
    <x v="28"/>
  </r>
  <r>
    <x v="0"/>
    <d v="2016-10-05T00:00:00"/>
    <x v="5"/>
    <x v="26"/>
    <n v="0"/>
    <s v="Sigma 9"/>
    <s v="St Vincent Les Forts"/>
    <s v="St Vincent Les Forts"/>
    <m/>
    <n v="19"/>
    <x v="20"/>
    <x v="28"/>
  </r>
  <r>
    <x v="0"/>
    <d v="2016-10-06T00:00:00"/>
    <x v="5"/>
    <x v="26"/>
    <n v="1"/>
    <s v="Sigma 9"/>
    <s v="Aspres sur Buech"/>
    <s v="Aspres sur Buech"/>
    <n v="1"/>
    <n v="2"/>
    <x v="110"/>
    <x v="28"/>
  </r>
  <r>
    <x v="0"/>
    <d v="2016-10-07T00:00:00"/>
    <x v="5"/>
    <x v="26"/>
    <n v="1"/>
    <s v="Sigma 9"/>
    <s v="Chalves W"/>
    <s v="St. André"/>
    <m/>
    <n v="8"/>
    <x v="3"/>
    <x v="28"/>
  </r>
  <r>
    <x v="0"/>
    <d v="2016-10-07T00:00:00"/>
    <x v="5"/>
    <x v="26"/>
    <n v="0"/>
    <s v="Sigma 9"/>
    <s v="Chalves W"/>
    <s v="St. André"/>
    <m/>
    <n v="24"/>
    <x v="61"/>
    <x v="28"/>
  </r>
  <r>
    <x v="0"/>
    <d v="2016-10-08T00:00:00"/>
    <x v="5"/>
    <x v="26"/>
    <n v="1"/>
    <s v="Sigma 9"/>
    <s v="Chalves W"/>
    <s v="Moriez"/>
    <n v="1"/>
    <n v="11"/>
    <x v="60"/>
    <x v="28"/>
  </r>
  <r>
    <x v="0"/>
    <d v="2016-10-08T00:00:00"/>
    <x v="5"/>
    <x v="26"/>
    <n v="0"/>
    <s v="Sigma 9"/>
    <s v="Chalves W"/>
    <s v="St. André"/>
    <m/>
    <n v="39"/>
    <x v="131"/>
    <x v="28"/>
  </r>
  <r>
    <x v="0"/>
    <d v="2016-10-09T00:00:00"/>
    <x v="5"/>
    <x v="26"/>
    <n v="1"/>
    <s v="Sigma 9"/>
    <s v="Montmin- Annecy"/>
    <s v="Lac d'Annecy S"/>
    <m/>
    <n v="40"/>
    <x v="33"/>
    <x v="28"/>
  </r>
  <r>
    <x v="0"/>
    <d v="2016-10-15T00:00:00"/>
    <x v="5"/>
    <x v="26"/>
    <n v="1"/>
    <s v="Sigma 9"/>
    <s v="Heimat"/>
    <s v="Fieschertal"/>
    <n v="1"/>
    <n v="21"/>
    <x v="140"/>
    <x v="31"/>
  </r>
  <r>
    <x v="0"/>
    <d v="2016-10-16T00:00:00"/>
    <x v="5"/>
    <x v="26"/>
    <n v="1"/>
    <s v="Nova Phantom L"/>
    <s v="Heimat"/>
    <s v="Fieschertal"/>
    <n v="1"/>
    <n v="31"/>
    <x v="24"/>
    <x v="31"/>
  </r>
  <r>
    <x v="0"/>
    <d v="2016-10-16T00:00:00"/>
    <x v="5"/>
    <x v="26"/>
    <n v="0"/>
    <s v="Omega x-Alps 24"/>
    <s v="Heimat"/>
    <s v="Fieschertal"/>
    <m/>
    <n v="35"/>
    <x v="119"/>
    <x v="31"/>
  </r>
  <r>
    <x v="0"/>
    <d v="2016-10-22T00:00:00"/>
    <x v="5"/>
    <x v="26"/>
    <n v="1"/>
    <s v="Sigma 9"/>
    <s v="Heimat"/>
    <s v="Baschi"/>
    <m/>
    <n v="51"/>
    <x v="21"/>
    <x v="2"/>
  </r>
  <r>
    <x v="0"/>
    <d v="2016-12-03T00:00:00"/>
    <x v="10"/>
    <x v="26"/>
    <n v="1"/>
    <s v="Sigma 9"/>
    <s v="Heimat"/>
    <s v="Fiesch"/>
    <m/>
    <n v="22"/>
    <x v="42"/>
    <x v="2"/>
  </r>
  <r>
    <x v="0"/>
    <d v="2016-12-04T00:00:00"/>
    <x v="10"/>
    <x v="26"/>
    <n v="1"/>
    <s v="Sigma 9"/>
    <s v="Heimat"/>
    <s v="Fieschertal"/>
    <m/>
    <n v="42"/>
    <x v="66"/>
    <x v="2"/>
  </r>
  <r>
    <x v="0"/>
    <d v="2016-12-10T00:00:00"/>
    <x v="10"/>
    <x v="26"/>
    <n v="1"/>
    <s v="Sigma 9"/>
    <s v="Heimat"/>
    <s v="Fiesch"/>
    <m/>
    <n v="34"/>
    <x v="50"/>
    <x v="2"/>
  </r>
  <r>
    <x v="0"/>
    <d v="2016-12-14T00:00:00"/>
    <x v="10"/>
    <x v="26"/>
    <n v="1"/>
    <s v="Sigma 9"/>
    <s v="Heimat"/>
    <s v="Fiesch"/>
    <m/>
    <n v="46"/>
    <x v="141"/>
    <x v="2"/>
  </r>
  <r>
    <x v="0"/>
    <d v="2016-12-15T00:00:00"/>
    <x v="10"/>
    <x v="26"/>
    <n v="1"/>
    <s v="Sigma 9"/>
    <s v="Heimat"/>
    <s v="Mühle"/>
    <n v="1"/>
    <n v="8"/>
    <x v="54"/>
    <x v="2"/>
  </r>
  <r>
    <x v="0"/>
    <d v="2016-12-17T00:00:00"/>
    <x v="10"/>
    <x v="26"/>
    <n v="1"/>
    <s v="Sigma 9"/>
    <s v="Heimat"/>
    <s v="Fiesch"/>
    <m/>
    <n v="50"/>
    <x v="40"/>
    <x v="2"/>
  </r>
  <r>
    <x v="0"/>
    <d v="2016-12-18T00:00:00"/>
    <x v="10"/>
    <x v="26"/>
    <n v="1"/>
    <s v="Sigma 9"/>
    <s v="Heimat"/>
    <s v="Fieschertal"/>
    <n v="1"/>
    <n v="19"/>
    <x v="53"/>
    <x v="2"/>
  </r>
  <r>
    <x v="0"/>
    <d v="2016-12-22T00:00:00"/>
    <x v="10"/>
    <x v="26"/>
    <n v="1"/>
    <s v="Sigma 9"/>
    <s v="Heimat"/>
    <s v="Mühle"/>
    <n v="1"/>
    <n v="5"/>
    <x v="45"/>
    <x v="2"/>
  </r>
  <r>
    <x v="0"/>
    <d v="2016-12-23T00:00:00"/>
    <x v="10"/>
    <x v="26"/>
    <n v="1"/>
    <s v="Sigma 9"/>
    <s v="Steibenkreuz"/>
    <s v="Kapelle"/>
    <m/>
    <n v="18"/>
    <x v="57"/>
    <x v="2"/>
  </r>
  <r>
    <x v="0"/>
    <d v="2016-12-30T00:00:00"/>
    <x v="10"/>
    <x v="26"/>
    <n v="1"/>
    <s v="Sigma 9"/>
    <s v="Steibenkreuz"/>
    <s v="Kapelle"/>
    <m/>
    <n v="19"/>
    <x v="20"/>
    <x v="2"/>
  </r>
  <r>
    <x v="0"/>
    <d v="2017-01-01T00:00:00"/>
    <x v="11"/>
    <x v="27"/>
    <n v="1"/>
    <s v="Sigma 9"/>
    <s v="Steibenkreuz"/>
    <s v="Käfer"/>
    <n v="1"/>
    <n v="38"/>
    <x v="128"/>
    <x v="2"/>
  </r>
  <r>
    <x v="0"/>
    <d v="2017-02-19T00:00:00"/>
    <x v="7"/>
    <x v="27"/>
    <n v="1"/>
    <s v="Sigma 9"/>
    <s v="Steibenkreuz"/>
    <s v="Fiesch"/>
    <n v="1"/>
    <n v="31"/>
    <x v="24"/>
    <x v="2"/>
  </r>
  <r>
    <x v="0"/>
    <d v="2017-02-25T00:00:00"/>
    <x v="7"/>
    <x v="27"/>
    <n v="1"/>
    <s v="Sigma 9"/>
    <s v="Steibenkreuz"/>
    <s v="Baschi"/>
    <m/>
    <n v="36"/>
    <x v="39"/>
    <x v="2"/>
  </r>
  <r>
    <x v="0"/>
    <d v="2017-03-11T00:00:00"/>
    <x v="8"/>
    <x v="27"/>
    <n v="1"/>
    <s v="Sigma 9"/>
    <s v="Sierra de Lijar W"/>
    <s v="Landeplatz West"/>
    <n v="1"/>
    <n v="3"/>
    <x v="25"/>
    <x v="21"/>
  </r>
  <r>
    <x v="0"/>
    <d v="2017-03-12T00:00:00"/>
    <x v="8"/>
    <x v="27"/>
    <n v="1"/>
    <s v="Sigma 9"/>
    <s v="El Bosque"/>
    <s v="Las Hazuelas"/>
    <m/>
    <n v="48"/>
    <x v="135"/>
    <x v="21"/>
  </r>
  <r>
    <x v="0"/>
    <d v="2017-03-15T00:00:00"/>
    <x v="8"/>
    <x v="27"/>
    <n v="1"/>
    <s v="Sigma 9"/>
    <s v="Otivar"/>
    <s v="Otivar"/>
    <n v="1"/>
    <n v="18"/>
    <x v="87"/>
    <x v="21"/>
  </r>
  <r>
    <x v="0"/>
    <d v="2017-03-17T00:00:00"/>
    <x v="8"/>
    <x v="27"/>
    <n v="1"/>
    <s v="Sigma 9"/>
    <s v="Loma del Gato"/>
    <s v="Velilla Taramay"/>
    <m/>
    <n v="8"/>
    <x v="3"/>
    <x v="21"/>
  </r>
  <r>
    <x v="0"/>
    <d v="2017-03-17T00:00:00"/>
    <x v="8"/>
    <x v="27"/>
    <n v="0"/>
    <s v="Sigma 9"/>
    <s v="Loma del Gato"/>
    <s v="Velilla Taramay"/>
    <m/>
    <n v="8"/>
    <x v="3"/>
    <x v="21"/>
  </r>
  <r>
    <x v="0"/>
    <d v="2017-03-17T00:00:00"/>
    <x v="8"/>
    <x v="27"/>
    <n v="0"/>
    <s v="Sigma 9"/>
    <s v="Itrabo Ost"/>
    <s v="Velilla Taramay"/>
    <m/>
    <n v="24"/>
    <x v="61"/>
    <x v="21"/>
  </r>
  <r>
    <x v="0"/>
    <d v="2017-03-18T00:00:00"/>
    <x v="8"/>
    <x v="27"/>
    <n v="1"/>
    <s v="Sigma 9"/>
    <s v="Loma del Gato"/>
    <s v="Velilla Taramay"/>
    <n v="1"/>
    <n v="1"/>
    <x v="31"/>
    <x v="21"/>
  </r>
  <r>
    <x v="0"/>
    <d v="2017-03-30T00:00:00"/>
    <x v="8"/>
    <x v="27"/>
    <n v="1"/>
    <s v="Sigma 9"/>
    <s v="Steibenkreuz"/>
    <s v="Fiesch"/>
    <n v="2"/>
    <n v="22"/>
    <x v="161"/>
    <x v="2"/>
  </r>
  <r>
    <x v="0"/>
    <d v="2017-04-07T00:00:00"/>
    <x v="9"/>
    <x v="27"/>
    <n v="1"/>
    <s v="Sigma 10"/>
    <s v="Heimat"/>
    <s v="Fiesch"/>
    <m/>
    <n v="47"/>
    <x v="132"/>
    <x v="2"/>
  </r>
  <r>
    <x v="0"/>
    <d v="2017-04-08T00:00:00"/>
    <x v="9"/>
    <x v="27"/>
    <n v="1"/>
    <s v="Sigma 10"/>
    <s v="Heimat"/>
    <s v="Tenne"/>
    <n v="1"/>
    <n v="41"/>
    <x v="76"/>
    <x v="2"/>
  </r>
  <r>
    <x v="0"/>
    <d v="2017-04-09T00:00:00"/>
    <x v="9"/>
    <x v="27"/>
    <n v="1"/>
    <s v="Sigma 10"/>
    <s v="Heimat"/>
    <s v="Fiesch"/>
    <n v="3"/>
    <n v="4"/>
    <x v="171"/>
    <x v="2"/>
  </r>
  <r>
    <x v="0"/>
    <d v="2017-04-10T00:00:00"/>
    <x v="9"/>
    <x v="27"/>
    <n v="1"/>
    <s v="Sigma 10"/>
    <s v="Heimat"/>
    <s v="Fiesch"/>
    <n v="1"/>
    <n v="10"/>
    <x v="142"/>
    <x v="2"/>
  </r>
  <r>
    <x v="0"/>
    <d v="2017-04-14T00:00:00"/>
    <x v="9"/>
    <x v="27"/>
    <n v="1"/>
    <s v="Sigma 10"/>
    <s v="Heimat"/>
    <s v="Fiesch"/>
    <n v="1"/>
    <n v="41"/>
    <x v="76"/>
    <x v="2"/>
  </r>
  <r>
    <x v="0"/>
    <d v="2017-04-21T00:00:00"/>
    <x v="9"/>
    <x v="27"/>
    <n v="1"/>
    <s v="Sigma 9"/>
    <s v="Heimat"/>
    <s v="Fiesch"/>
    <n v="2"/>
    <n v="12"/>
    <x v="172"/>
    <x v="2"/>
  </r>
  <r>
    <x v="1"/>
    <d v="2017-04-29T00:00:00"/>
    <x v="9"/>
    <x v="27"/>
    <n v="1"/>
    <s v="Sigma 10"/>
    <s v="San Fermo"/>
    <s v="San Fermo"/>
    <m/>
    <n v="47"/>
    <x v="132"/>
    <x v="30"/>
  </r>
  <r>
    <x v="1"/>
    <d v="2017-04-29T00:00:00"/>
    <x v="9"/>
    <x v="27"/>
    <n v="0"/>
    <s v="Sigma 10"/>
    <s v="San Fermo"/>
    <s v="Casazza"/>
    <m/>
    <n v="57"/>
    <x v="49"/>
    <x v="30"/>
  </r>
  <r>
    <x v="1"/>
    <d v="2017-04-30T00:00:00"/>
    <x v="9"/>
    <x v="27"/>
    <n v="1"/>
    <s v="Sigma 10"/>
    <s v="San Fermo"/>
    <s v="San Fermo"/>
    <n v="1"/>
    <n v="2"/>
    <x v="110"/>
    <x v="30"/>
  </r>
  <r>
    <x v="1"/>
    <d v="2017-04-30T00:00:00"/>
    <x v="9"/>
    <x v="27"/>
    <n v="0"/>
    <s v="Sigma 10"/>
    <s v="San Fermo"/>
    <s v="San Fermo"/>
    <m/>
    <n v="16"/>
    <x v="19"/>
    <x v="30"/>
  </r>
  <r>
    <x v="1"/>
    <d v="2017-04-30T00:00:00"/>
    <x v="9"/>
    <x v="27"/>
    <n v="0"/>
    <s v="Sigma 10"/>
    <s v="San Fermo"/>
    <s v="Casazza"/>
    <m/>
    <n v="29"/>
    <x v="85"/>
    <x v="30"/>
  </r>
  <r>
    <x v="0"/>
    <d v="2017-05-05T00:00:00"/>
    <x v="0"/>
    <x v="27"/>
    <n v="1"/>
    <s v="Sigma 10"/>
    <s v="Heimat"/>
    <s v="Fiesch"/>
    <n v="1"/>
    <n v="42"/>
    <x v="145"/>
    <x v="2"/>
  </r>
  <r>
    <x v="0"/>
    <d v="2017-05-21T00:00:00"/>
    <x v="0"/>
    <x v="27"/>
    <n v="1"/>
    <s v="Sigma 10"/>
    <s v="Heimat"/>
    <s v="Fiesch"/>
    <n v="1"/>
    <n v="46"/>
    <x v="170"/>
    <x v="2"/>
  </r>
  <r>
    <x v="0"/>
    <d v="2017-05-22T00:00:00"/>
    <x v="0"/>
    <x v="27"/>
    <n v="1"/>
    <s v="Sigma 10"/>
    <s v="Heimat"/>
    <s v="Fiesch"/>
    <n v="1"/>
    <n v="28"/>
    <x v="80"/>
    <x v="2"/>
  </r>
  <r>
    <x v="0"/>
    <d v="2017-05-26T00:00:00"/>
    <x v="0"/>
    <x v="27"/>
    <n v="1"/>
    <s v="Sigma 10"/>
    <s v="Praia das Areias Branca"/>
    <s v="Praia das Areias Branca"/>
    <m/>
    <n v="17"/>
    <x v="26"/>
    <x v="23"/>
  </r>
  <r>
    <x v="0"/>
    <d v="2017-05-27T00:00:00"/>
    <x v="0"/>
    <x v="27"/>
    <n v="1"/>
    <s v="Sigma 10"/>
    <s v="Arrabida"/>
    <s v="Arrabida"/>
    <m/>
    <n v="10"/>
    <x v="4"/>
    <x v="23"/>
  </r>
  <r>
    <x v="0"/>
    <d v="2017-05-27T00:00:00"/>
    <x v="0"/>
    <x v="27"/>
    <n v="0"/>
    <s v="Sigma 10"/>
    <s v="Sesimbra"/>
    <s v="Sesimbra"/>
    <m/>
    <n v="38"/>
    <x v="17"/>
    <x v="23"/>
  </r>
  <r>
    <x v="0"/>
    <d v="2017-05-27T00:00:00"/>
    <x v="0"/>
    <x v="27"/>
    <n v="0"/>
    <s v="Sigma 10"/>
    <s v="Praia das Bicas"/>
    <s v="Praia do Meco"/>
    <m/>
    <n v="56"/>
    <x v="68"/>
    <x v="23"/>
  </r>
  <r>
    <x v="0"/>
    <d v="2017-05-28T00:00:00"/>
    <x v="0"/>
    <x v="27"/>
    <n v="1"/>
    <s v="Sigma 10"/>
    <s v="Sao Pedro"/>
    <s v="Sao Pedro"/>
    <m/>
    <n v="39"/>
    <x v="131"/>
    <x v="23"/>
  </r>
  <r>
    <x v="0"/>
    <d v="2017-05-28T00:00:00"/>
    <x v="0"/>
    <x v="27"/>
    <n v="0"/>
    <s v="Sigma 10"/>
    <s v="Sao Pedro"/>
    <s v="Strasse Richtung Meadas Kieswerk"/>
    <n v="1"/>
    <n v="12"/>
    <x v="88"/>
    <x v="23"/>
  </r>
  <r>
    <x v="0"/>
    <d v="2017-05-29T00:00:00"/>
    <x v="0"/>
    <x v="27"/>
    <n v="1"/>
    <s v="Sigma 10"/>
    <s v="Sao Pedro"/>
    <s v="Sao Pedro"/>
    <m/>
    <n v="9"/>
    <x v="22"/>
    <x v="23"/>
  </r>
  <r>
    <x v="0"/>
    <d v="2017-05-29T00:00:00"/>
    <x v="0"/>
    <x v="27"/>
    <n v="0"/>
    <s v="Sigma 10"/>
    <s v="Sao Pedro"/>
    <s v="Strasse Richtung Meadas"/>
    <m/>
    <n v="59"/>
    <x v="120"/>
    <x v="23"/>
  </r>
  <r>
    <x v="0"/>
    <d v="2017-05-29T00:00:00"/>
    <x v="0"/>
    <x v="27"/>
    <n v="0"/>
    <s v="Sigma 10"/>
    <s v="Linhares"/>
    <s v="Linhares"/>
    <m/>
    <n v="58"/>
    <x v="95"/>
    <x v="23"/>
  </r>
  <r>
    <x v="0"/>
    <d v="2017-05-30T00:00:00"/>
    <x v="0"/>
    <x v="27"/>
    <n v="1"/>
    <s v="Sigma 10"/>
    <s v="Linhares"/>
    <s v="Melo"/>
    <m/>
    <n v="45"/>
    <x v="27"/>
    <x v="23"/>
  </r>
  <r>
    <x v="0"/>
    <d v="2017-05-30T00:00:00"/>
    <x v="0"/>
    <x v="27"/>
    <n v="0"/>
    <s v="Sigma 10"/>
    <s v="Linhares"/>
    <s v="Mesquitela Hotel"/>
    <n v="1"/>
    <n v="1"/>
    <x v="31"/>
    <x v="23"/>
  </r>
  <r>
    <x v="0"/>
    <d v="2017-05-31T00:00:00"/>
    <x v="0"/>
    <x v="27"/>
    <n v="1"/>
    <s v="Sigma 10"/>
    <s v="Azinha"/>
    <s v="Landeplatz"/>
    <m/>
    <n v="35"/>
    <x v="119"/>
    <x v="23"/>
  </r>
  <r>
    <x v="0"/>
    <d v="2017-05-31T00:00:00"/>
    <x v="0"/>
    <x v="27"/>
    <n v="0"/>
    <s v="Sigma 10"/>
    <s v="Vale Amoreira"/>
    <s v="Landeplatz"/>
    <m/>
    <n v="14"/>
    <x v="11"/>
    <x v="23"/>
  </r>
  <r>
    <x v="0"/>
    <d v="2017-05-31T00:00:00"/>
    <x v="0"/>
    <x v="27"/>
    <n v="0"/>
    <s v="Sigma 10"/>
    <s v="Linhares"/>
    <s v="Linhares"/>
    <n v="1"/>
    <n v="4"/>
    <x v="38"/>
    <x v="23"/>
  </r>
  <r>
    <x v="0"/>
    <d v="2017-05-31T00:00:00"/>
    <x v="0"/>
    <x v="27"/>
    <n v="0"/>
    <s v="Sigma 10"/>
    <s v="Linhares"/>
    <s v="Linhares"/>
    <m/>
    <n v="55"/>
    <x v="84"/>
    <x v="23"/>
  </r>
  <r>
    <x v="0"/>
    <d v="2017-05-31T00:00:00"/>
    <x v="0"/>
    <x v="27"/>
    <n v="0"/>
    <s v="Sigma 10"/>
    <s v="Linhares"/>
    <s v="Linhares"/>
    <m/>
    <n v="28"/>
    <x v="63"/>
    <x v="23"/>
  </r>
  <r>
    <x v="0"/>
    <d v="2017-06-01T00:00:00"/>
    <x v="1"/>
    <x v="27"/>
    <n v="1"/>
    <s v="Sigma 10"/>
    <s v="Larouco"/>
    <s v="Larouco"/>
    <m/>
    <n v="18"/>
    <x v="57"/>
    <x v="23"/>
  </r>
  <r>
    <x v="0"/>
    <d v="2017-06-01T00:00:00"/>
    <x v="1"/>
    <x v="27"/>
    <n v="0"/>
    <s v="Sigma 10"/>
    <s v="Larouco"/>
    <s v="Larouco"/>
    <m/>
    <n v="34"/>
    <x v="50"/>
    <x v="23"/>
  </r>
  <r>
    <x v="0"/>
    <d v="2017-06-01T00:00:00"/>
    <x v="1"/>
    <x v="27"/>
    <n v="0"/>
    <s v="Sigma 10"/>
    <s v="Larouco"/>
    <s v="Laroa (Spanien)"/>
    <n v="1"/>
    <n v="46"/>
    <x v="170"/>
    <x v="23"/>
  </r>
  <r>
    <x v="0"/>
    <d v="2017-06-04T00:00:00"/>
    <x v="1"/>
    <x v="27"/>
    <n v="1"/>
    <s v="Pi2 27"/>
    <s v="Mutti"/>
    <s v="Fiesch"/>
    <m/>
    <n v="10"/>
    <x v="4"/>
    <x v="2"/>
  </r>
  <r>
    <x v="0"/>
    <d v="2017-06-08T00:00:00"/>
    <x v="1"/>
    <x v="27"/>
    <n v="1"/>
    <s v="Sigma 10"/>
    <s v="Heimat"/>
    <s v="Baschi"/>
    <n v="1"/>
    <n v="18"/>
    <x v="87"/>
    <x v="2"/>
  </r>
  <r>
    <x v="0"/>
    <d v="2017-06-10T00:00:00"/>
    <x v="1"/>
    <x v="27"/>
    <n v="1"/>
    <s v="Sigma 10"/>
    <s v="Heimat"/>
    <s v="Baschi"/>
    <m/>
    <n v="46"/>
    <x v="141"/>
    <x v="2"/>
  </r>
  <r>
    <x v="0"/>
    <d v="2017-06-11T00:00:00"/>
    <x v="1"/>
    <x v="27"/>
    <n v="1"/>
    <s v="Sigma 10"/>
    <s v="Heimat"/>
    <s v="Fiesch"/>
    <n v="2"/>
    <n v="49"/>
    <x v="173"/>
    <x v="2"/>
  </r>
  <r>
    <x v="0"/>
    <d v="2017-06-21T00:00:00"/>
    <x v="1"/>
    <x v="27"/>
    <n v="1"/>
    <s v="Sigma 10"/>
    <s v="Richinen"/>
    <s v="Baschi"/>
    <m/>
    <n v="41"/>
    <x v="115"/>
    <x v="2"/>
  </r>
  <r>
    <x v="0"/>
    <d v="2017-06-26T00:00:00"/>
    <x v="1"/>
    <x v="27"/>
    <n v="1"/>
    <s v="Sigma 10"/>
    <s v="Richinen"/>
    <s v="Kapelle"/>
    <n v="1"/>
    <n v="0"/>
    <x v="47"/>
    <x v="2"/>
  </r>
  <r>
    <x v="0"/>
    <d v="2017-06-30T00:00:00"/>
    <x v="1"/>
    <x v="27"/>
    <n v="1"/>
    <s v="Sigma 10"/>
    <s v="Richinen"/>
    <s v="Baschi"/>
    <m/>
    <n v="51"/>
    <x v="21"/>
    <x v="2"/>
  </r>
  <r>
    <x v="0"/>
    <d v="2017-07-06T00:00:00"/>
    <x v="2"/>
    <x v="27"/>
    <n v="1"/>
    <s v="Sigma 10"/>
    <s v="Richinen"/>
    <s v="Andermatt"/>
    <n v="1"/>
    <n v="21"/>
    <x v="140"/>
    <x v="2"/>
  </r>
  <r>
    <x v="0"/>
    <d v="2017-07-08T00:00:00"/>
    <x v="2"/>
    <x v="27"/>
    <n v="1"/>
    <s v="Sigma 10"/>
    <s v="Steibenkreuz"/>
    <s v="Baschi"/>
    <m/>
    <n v="38"/>
    <x v="17"/>
    <x v="2"/>
  </r>
  <r>
    <x v="0"/>
    <d v="2017-07-22T00:00:00"/>
    <x v="2"/>
    <x v="27"/>
    <n v="1"/>
    <s v="Pi2 27"/>
    <s v="Risihorn"/>
    <s v="Fieschertal"/>
    <m/>
    <n v="45"/>
    <x v="27"/>
    <x v="2"/>
  </r>
  <r>
    <x v="0"/>
    <d v="2017-08-02T00:00:00"/>
    <x v="3"/>
    <x v="27"/>
    <n v="1"/>
    <s v="Sigma 10"/>
    <s v="Steibenkreuz"/>
    <s v="Ulrichen"/>
    <m/>
    <n v="27"/>
    <x v="34"/>
    <x v="2"/>
  </r>
  <r>
    <x v="0"/>
    <d v="2017-08-04T00:00:00"/>
    <x v="3"/>
    <x v="27"/>
    <n v="1"/>
    <s v="Sigma 10"/>
    <s v="Steibenkreuz"/>
    <s v="Fieschertal"/>
    <m/>
    <n v="26"/>
    <x v="134"/>
    <x v="2"/>
  </r>
  <r>
    <x v="0"/>
    <d v="2017-08-06T00:00:00"/>
    <x v="3"/>
    <x v="27"/>
    <n v="1"/>
    <s v="Sigma 10"/>
    <s v="Steibenkreuz"/>
    <s v="Oberwald"/>
    <m/>
    <n v="45"/>
    <x v="27"/>
    <x v="2"/>
  </r>
  <r>
    <x v="0"/>
    <d v="2017-08-13T00:00:00"/>
    <x v="3"/>
    <x v="27"/>
    <n v="1"/>
    <s v="Sigma 10"/>
    <s v="Galfera"/>
    <s v="Fiesch"/>
    <n v="2"/>
    <n v="9"/>
    <x v="122"/>
    <x v="2"/>
  </r>
  <r>
    <x v="0"/>
    <d v="2017-08-15T00:00:00"/>
    <x v="3"/>
    <x v="27"/>
    <n v="1"/>
    <s v="Pi2 27"/>
    <s v="Richinen"/>
    <s v="Kapelle"/>
    <m/>
    <n v="15"/>
    <x v="15"/>
    <x v="2"/>
  </r>
  <r>
    <x v="0"/>
    <d v="2017-08-16T00:00:00"/>
    <x v="3"/>
    <x v="27"/>
    <n v="1"/>
    <s v="Sigma 10"/>
    <s v="Steibenkreuz"/>
    <s v="Baschi"/>
    <m/>
    <n v="32"/>
    <x v="23"/>
    <x v="2"/>
  </r>
  <r>
    <x v="0"/>
    <d v="2017-08-17T00:00:00"/>
    <x v="3"/>
    <x v="27"/>
    <n v="1"/>
    <s v="Sigma 10"/>
    <s v="Steibenkreuz"/>
    <s v="Fiesch"/>
    <n v="1"/>
    <n v="40"/>
    <x v="48"/>
    <x v="2"/>
  </r>
  <r>
    <x v="0"/>
    <d v="2017-08-23T00:00:00"/>
    <x v="3"/>
    <x v="27"/>
    <n v="1"/>
    <s v="Sigma 10"/>
    <s v="Heimat"/>
    <s v="Baschi"/>
    <n v="1"/>
    <n v="22"/>
    <x v="91"/>
    <x v="2"/>
  </r>
  <r>
    <x v="0"/>
    <d v="2017-08-24T00:00:00"/>
    <x v="3"/>
    <x v="27"/>
    <n v="1"/>
    <s v="Sigma 10"/>
    <s v="Heimat"/>
    <s v="Fiesch"/>
    <n v="1"/>
    <n v="32"/>
    <x v="32"/>
    <x v="2"/>
  </r>
  <r>
    <x v="0"/>
    <d v="2017-08-25T00:00:00"/>
    <x v="3"/>
    <x v="27"/>
    <n v="1"/>
    <s v="Sigma 10"/>
    <s v="Heimat"/>
    <s v="Baschi"/>
    <n v="1"/>
    <n v="55"/>
    <x v="148"/>
    <x v="2"/>
  </r>
  <r>
    <x v="0"/>
    <d v="2017-08-26T00:00:00"/>
    <x v="3"/>
    <x v="27"/>
    <n v="1"/>
    <s v="Sigma 10"/>
    <s v="Heimat"/>
    <s v="Fiesch"/>
    <n v="1"/>
    <n v="33"/>
    <x v="159"/>
    <x v="2"/>
  </r>
  <r>
    <x v="0"/>
    <d v="2017-08-27T00:00:00"/>
    <x v="3"/>
    <x v="27"/>
    <n v="1"/>
    <s v="Sigma 10"/>
    <s v="Heimat"/>
    <s v="Fiesch"/>
    <n v="1"/>
    <n v="3"/>
    <x v="25"/>
    <x v="2"/>
  </r>
  <r>
    <x v="0"/>
    <d v="2017-08-29T00:00:00"/>
    <x v="3"/>
    <x v="27"/>
    <n v="1"/>
    <s v="Sigma 10"/>
    <s v="First"/>
    <s v="Grund"/>
    <n v="1"/>
    <n v="2"/>
    <x v="110"/>
    <x v="2"/>
  </r>
  <r>
    <x v="0"/>
    <d v="2017-09-02T00:00:00"/>
    <x v="4"/>
    <x v="27"/>
    <n v="1"/>
    <s v="Sigma 10"/>
    <s v="Col de Ares"/>
    <s v="Ager"/>
    <m/>
    <n v="29"/>
    <x v="85"/>
    <x v="32"/>
  </r>
  <r>
    <x v="0"/>
    <d v="2017-09-03T00:00:00"/>
    <x v="4"/>
    <x v="27"/>
    <n v="1"/>
    <s v="Sigma 10"/>
    <s v="Col de Ares"/>
    <s v="Ager"/>
    <n v="1"/>
    <n v="16"/>
    <x v="100"/>
    <x v="32"/>
  </r>
  <r>
    <x v="0"/>
    <d v="2017-09-03T00:00:00"/>
    <x v="4"/>
    <x v="27"/>
    <n v="0"/>
    <s v="Sigma 10"/>
    <s v="Col de Ares"/>
    <s v="Ager"/>
    <m/>
    <n v="19"/>
    <x v="20"/>
    <x v="32"/>
  </r>
  <r>
    <x v="0"/>
    <d v="2017-09-04T00:00:00"/>
    <x v="4"/>
    <x v="27"/>
    <n v="1"/>
    <s v="Sigma 10"/>
    <s v="Col de Ares"/>
    <s v="Tremp"/>
    <n v="2"/>
    <n v="20"/>
    <x v="130"/>
    <x v="32"/>
  </r>
  <r>
    <x v="0"/>
    <d v="2017-09-05T00:00:00"/>
    <x v="4"/>
    <x v="27"/>
    <n v="1"/>
    <s v="Sigma 10"/>
    <s v="Castejon de SOS (Liri)"/>
    <s v="Castejon de SOS (Liri)"/>
    <n v="1"/>
    <n v="9"/>
    <x v="116"/>
    <x v="32"/>
  </r>
  <r>
    <x v="0"/>
    <d v="2017-09-05T00:00:00"/>
    <x v="4"/>
    <x v="27"/>
    <n v="0"/>
    <s v="Sigma 10"/>
    <s v="Castejon de SOS (Liri)"/>
    <s v="Castejon de SOS (Liri)"/>
    <n v="1"/>
    <n v="0"/>
    <x v="47"/>
    <x v="32"/>
  </r>
  <r>
    <x v="0"/>
    <d v="2017-09-05T00:00:00"/>
    <x v="4"/>
    <x v="27"/>
    <n v="0"/>
    <s v="Sigma 10"/>
    <s v="Castejon de SOS (Liri)"/>
    <s v="Castejon de SOS (Liri)"/>
    <n v="1"/>
    <n v="0"/>
    <x v="47"/>
    <x v="32"/>
  </r>
  <r>
    <x v="0"/>
    <d v="2017-09-05T00:00:00"/>
    <x v="4"/>
    <x v="27"/>
    <n v="0"/>
    <s v="Sigma 10"/>
    <s v="Castejon de SOS (Liri)"/>
    <s v="Castejon de SOS"/>
    <n v="1"/>
    <n v="18"/>
    <x v="87"/>
    <x v="32"/>
  </r>
  <r>
    <x v="0"/>
    <d v="2017-09-06T00:00:00"/>
    <x v="4"/>
    <x v="27"/>
    <n v="1"/>
    <s v="Sigma 10"/>
    <s v="Castejon de SOS (Liri)"/>
    <s v="Castejon de SOS"/>
    <n v="1"/>
    <n v="30"/>
    <x v="9"/>
    <x v="32"/>
  </r>
  <r>
    <x v="0"/>
    <d v="2017-09-06T00:00:00"/>
    <x v="4"/>
    <x v="27"/>
    <n v="0"/>
    <s v="Sigma 10"/>
    <s v="Castejon de SOS (Liri)"/>
    <s v="Castejon de SOS"/>
    <n v="1"/>
    <n v="9"/>
    <x v="116"/>
    <x v="32"/>
  </r>
  <r>
    <x v="0"/>
    <d v="2017-09-06T00:00:00"/>
    <x v="4"/>
    <x v="27"/>
    <n v="0"/>
    <s v="Sigma 10"/>
    <s v="Castejon de SOS (Liri)"/>
    <s v="Castejon de SOS"/>
    <n v="1"/>
    <n v="26"/>
    <x v="64"/>
    <x v="32"/>
  </r>
  <r>
    <x v="0"/>
    <d v="2017-09-07T00:00:00"/>
    <x v="4"/>
    <x v="27"/>
    <n v="1"/>
    <s v="Sigma 10"/>
    <s v="Castejon de SOS (Liri)"/>
    <s v="Castejon de SOS"/>
    <m/>
    <n v="41"/>
    <x v="115"/>
    <x v="32"/>
  </r>
  <r>
    <x v="0"/>
    <d v="2017-09-08T00:00:00"/>
    <x v="4"/>
    <x v="27"/>
    <n v="1"/>
    <s v="Sigma 10"/>
    <s v="Loarre"/>
    <s v="Anies"/>
    <m/>
    <n v="42"/>
    <x v="66"/>
    <x v="32"/>
  </r>
  <r>
    <x v="0"/>
    <d v="2017-09-08T00:00:00"/>
    <x v="4"/>
    <x v="27"/>
    <n v="0"/>
    <s v="Sigma 10"/>
    <s v="Loarre"/>
    <s v="Lierta"/>
    <m/>
    <n v="45"/>
    <x v="27"/>
    <x v="32"/>
  </r>
  <r>
    <x v="0"/>
    <d v="2017-09-08T00:00:00"/>
    <x v="4"/>
    <x v="27"/>
    <n v="0"/>
    <s v="Sigma 10"/>
    <s v="Arangoiti"/>
    <s v="Lumbier"/>
    <m/>
    <n v="28"/>
    <x v="63"/>
    <x v="32"/>
  </r>
  <r>
    <x v="0"/>
    <d v="2017-09-15T00:00:00"/>
    <x v="4"/>
    <x v="27"/>
    <n v="1"/>
    <s v="Sigma 10"/>
    <s v="Heimat"/>
    <s v="Fiesch"/>
    <m/>
    <n v="22"/>
    <x v="42"/>
    <x v="2"/>
  </r>
  <r>
    <x v="0"/>
    <d v="2017-09-18T00:00:00"/>
    <x v="4"/>
    <x v="27"/>
    <n v="1"/>
    <s v="Pi2 27"/>
    <s v="Chäserstatt"/>
    <s v="Fieschertal"/>
    <m/>
    <n v="13"/>
    <x v="18"/>
    <x v="2"/>
  </r>
  <r>
    <x v="0"/>
    <d v="2017-09-24T00:00:00"/>
    <x v="4"/>
    <x v="27"/>
    <n v="1"/>
    <s v="Sigma 10"/>
    <s v="Heimat"/>
    <s v="Fiesch"/>
    <n v="1"/>
    <n v="5"/>
    <x v="45"/>
    <x v="2"/>
  </r>
  <r>
    <x v="0"/>
    <d v="2017-09-29T00:00:00"/>
    <x v="4"/>
    <x v="27"/>
    <n v="1"/>
    <s v="Sigma 10"/>
    <s v="Heimat"/>
    <s v="Fiesch"/>
    <m/>
    <n v="48"/>
    <x v="135"/>
    <x v="2"/>
  </r>
  <r>
    <x v="0"/>
    <d v="2017-09-30T00:00:00"/>
    <x v="4"/>
    <x v="27"/>
    <n v="1"/>
    <s v="Pi2 27"/>
    <s v="Rossboden"/>
    <s v="Fiesch"/>
    <m/>
    <n v="15"/>
    <x v="15"/>
    <x v="2"/>
  </r>
  <r>
    <x v="0"/>
    <d v="2017-10-07T00:00:00"/>
    <x v="5"/>
    <x v="27"/>
    <n v="1"/>
    <s v="Sigma 10"/>
    <s v="Aspres sur Buech"/>
    <s v="Aspres sur Buech"/>
    <n v="1"/>
    <n v="10"/>
    <x v="142"/>
    <x v="28"/>
  </r>
  <r>
    <x v="0"/>
    <d v="2017-10-08T00:00:00"/>
    <x v="5"/>
    <x v="27"/>
    <n v="1"/>
    <s v="Sigma 10"/>
    <s v="St Vincent Les Forts"/>
    <s v="St Vincent Les Forts"/>
    <m/>
    <n v="15"/>
    <x v="15"/>
    <x v="28"/>
  </r>
  <r>
    <x v="0"/>
    <d v="2017-10-08T00:00:00"/>
    <x v="5"/>
    <x v="27"/>
    <n v="0"/>
    <s v="Sigma 10"/>
    <s v="St Vincent Les Forts"/>
    <s v="St Vincent Les Forts"/>
    <n v="1"/>
    <n v="1"/>
    <x v="31"/>
    <x v="28"/>
  </r>
  <r>
    <x v="0"/>
    <d v="2017-10-08T00:00:00"/>
    <x v="5"/>
    <x v="27"/>
    <n v="0"/>
    <s v="Sigma 10"/>
    <s v="St Vincent Les Forts"/>
    <s v="St Vincent Les Forts"/>
    <n v="1"/>
    <n v="1"/>
    <x v="31"/>
    <x v="28"/>
  </r>
  <r>
    <x v="0"/>
    <d v="2017-10-09T00:00:00"/>
    <x v="5"/>
    <x v="27"/>
    <n v="1"/>
    <s v="Sigma 10"/>
    <s v="Chalves S"/>
    <s v="St. André"/>
    <n v="2"/>
    <n v="19"/>
    <x v="154"/>
    <x v="28"/>
  </r>
  <r>
    <x v="0"/>
    <d v="2017-10-09T00:00:00"/>
    <x v="5"/>
    <x v="27"/>
    <n v="0"/>
    <s v="Sigma 10"/>
    <s v="Chalves W"/>
    <s v="St. André"/>
    <m/>
    <n v="38"/>
    <x v="17"/>
    <x v="28"/>
  </r>
  <r>
    <x v="0"/>
    <d v="2017-10-10T00:00:00"/>
    <x v="5"/>
    <x v="27"/>
    <n v="1"/>
    <s v="Sigma 10"/>
    <s v="Chalves S"/>
    <s v="St. André"/>
    <m/>
    <n v="38"/>
    <x v="17"/>
    <x v="28"/>
  </r>
  <r>
    <x v="0"/>
    <d v="2017-10-10T00:00:00"/>
    <x v="5"/>
    <x v="27"/>
    <n v="0"/>
    <s v="Sigma 10"/>
    <s v="Chalves W"/>
    <s v="Digne de Bain - Mouiroués"/>
    <n v="1"/>
    <n v="29"/>
    <x v="155"/>
    <x v="28"/>
  </r>
  <r>
    <x v="0"/>
    <d v="2017-10-11T00:00:00"/>
    <x v="5"/>
    <x v="27"/>
    <n v="1"/>
    <s v="Sigma 10"/>
    <s v="Chalves W"/>
    <s v="St. André"/>
    <m/>
    <n v="53"/>
    <x v="137"/>
    <x v="28"/>
  </r>
  <r>
    <x v="0"/>
    <d v="2017-10-12T00:00:00"/>
    <x v="5"/>
    <x v="27"/>
    <n v="1"/>
    <s v="Sigma 10"/>
    <s v="St Vincent Les Forts"/>
    <s v="St Vincent Les Forts"/>
    <n v="2"/>
    <n v="9"/>
    <x v="122"/>
    <x v="28"/>
  </r>
  <r>
    <x v="0"/>
    <d v="2017-10-12T00:00:00"/>
    <x v="5"/>
    <x v="27"/>
    <n v="0"/>
    <s v="Sigma 10"/>
    <s v="St Vincent Les Forts"/>
    <s v="See"/>
    <m/>
    <n v="19"/>
    <x v="20"/>
    <x v="28"/>
  </r>
  <r>
    <x v="0"/>
    <d v="2017-10-13T00:00:00"/>
    <x v="5"/>
    <x v="27"/>
    <n v="1"/>
    <s v="Sigma 10"/>
    <s v="Chalves W"/>
    <s v="St. André"/>
    <n v="1"/>
    <n v="33"/>
    <x v="159"/>
    <x v="28"/>
  </r>
  <r>
    <x v="0"/>
    <d v="2017-10-13T00:00:00"/>
    <x v="5"/>
    <x v="27"/>
    <n v="0"/>
    <s v="Sigma 10"/>
    <s v="Chalves W"/>
    <s v="St. André"/>
    <n v="1"/>
    <n v="3"/>
    <x v="25"/>
    <x v="28"/>
  </r>
  <r>
    <x v="0"/>
    <d v="2017-10-14T00:00:00"/>
    <x v="5"/>
    <x v="27"/>
    <n v="1"/>
    <s v="Sigma 10"/>
    <s v="Montmin- Annecy"/>
    <s v="Lac d'Annecy S"/>
    <m/>
    <n v="24"/>
    <x v="61"/>
    <x v="28"/>
  </r>
  <r>
    <x v="0"/>
    <d v="2017-10-19T00:00:00"/>
    <x v="5"/>
    <x v="27"/>
    <n v="1"/>
    <s v="Sigma 10"/>
    <s v="Richinen"/>
    <s v="Baschi"/>
    <m/>
    <n v="37"/>
    <x v="51"/>
    <x v="2"/>
  </r>
  <r>
    <x v="0"/>
    <d v="2017-10-31T00:00:00"/>
    <x v="5"/>
    <x v="27"/>
    <n v="1"/>
    <s v="Sigma 10"/>
    <s v="Heimat"/>
    <s v="Fiesch"/>
    <m/>
    <n v="42"/>
    <x v="66"/>
    <x v="2"/>
  </r>
  <r>
    <x v="0"/>
    <d v="2017-10-31T00:00:00"/>
    <x v="5"/>
    <x v="27"/>
    <n v="0"/>
    <s v="Pi2 27"/>
    <s v="Mutti"/>
    <s v="Fiesch"/>
    <m/>
    <n v="10"/>
    <x v="4"/>
    <x v="2"/>
  </r>
  <r>
    <x v="0"/>
    <d v="2017-11-01T00:00:00"/>
    <x v="6"/>
    <x v="27"/>
    <n v="1"/>
    <s v="Sigma 10"/>
    <s v="Heimat"/>
    <s v="Fiesch"/>
    <n v="1"/>
    <n v="4"/>
    <x v="38"/>
    <x v="2"/>
  </r>
  <r>
    <x v="0"/>
    <d v="2017-11-01T00:00:00"/>
    <x v="6"/>
    <x v="27"/>
    <n v="0"/>
    <s v="Sigma 10"/>
    <s v="Chäserstatt"/>
    <s v="Fiesch"/>
    <m/>
    <n v="15"/>
    <x v="15"/>
    <x v="2"/>
  </r>
  <r>
    <x v="0"/>
    <d v="2017-11-03T00:00:00"/>
    <x v="6"/>
    <x v="27"/>
    <n v="1"/>
    <s v="Sigma 10"/>
    <s v="Heimat"/>
    <s v="Fiesch"/>
    <n v="1"/>
    <n v="18"/>
    <x v="87"/>
    <x v="2"/>
  </r>
  <r>
    <x v="0"/>
    <d v="2017-11-16T00:00:00"/>
    <x v="6"/>
    <x v="27"/>
    <n v="1"/>
    <s v="Sigma 10"/>
    <s v="Heimat"/>
    <s v="Fiesch"/>
    <n v="1"/>
    <n v="6"/>
    <x v="44"/>
    <x v="2"/>
  </r>
  <r>
    <x v="0"/>
    <d v="2017-11-18T00:00:00"/>
    <x v="6"/>
    <x v="27"/>
    <n v="1"/>
    <s v="Sigma 10"/>
    <s v="Heimat"/>
    <s v="Fiesch"/>
    <m/>
    <n v="51"/>
    <x v="21"/>
    <x v="2"/>
  </r>
  <r>
    <x v="0"/>
    <d v="2017-12-19T00:00:00"/>
    <x v="10"/>
    <x v="27"/>
    <n v="1"/>
    <s v="Sigma 10"/>
    <s v="Paradise Ridge Rampe"/>
    <s v="Kleinkrantz"/>
    <n v="1"/>
    <n v="29"/>
    <x v="155"/>
    <x v="33"/>
  </r>
  <r>
    <x v="0"/>
    <d v="2017-12-19T00:00:00"/>
    <x v="10"/>
    <x v="27"/>
    <n v="0"/>
    <s v="Sigma 10"/>
    <s v="Sedgeview"/>
    <s v="Sedgefield"/>
    <m/>
    <n v="8"/>
    <x v="3"/>
    <x v="33"/>
  </r>
  <r>
    <x v="0"/>
    <d v="2017-12-20T00:00:00"/>
    <x v="10"/>
    <x v="27"/>
    <n v="1"/>
    <s v="Sigma 7"/>
    <s v="Buffels Bay"/>
    <s v="Buffels Bay"/>
    <n v="1"/>
    <n v="30"/>
    <x v="9"/>
    <x v="33"/>
  </r>
  <r>
    <x v="0"/>
    <d v="2017-12-21T00:00:00"/>
    <x v="10"/>
    <x v="27"/>
    <n v="1"/>
    <s v="Sigma 10"/>
    <s v="Sedgeview"/>
    <s v="Sedgeview"/>
    <m/>
    <n v="31"/>
    <x v="103"/>
    <x v="33"/>
  </r>
  <r>
    <x v="0"/>
    <d v="2017-12-21T00:00:00"/>
    <x v="10"/>
    <x v="27"/>
    <n v="0"/>
    <s v="Sigma 10"/>
    <s v="Sedgeview"/>
    <s v="Sedgeview"/>
    <m/>
    <n v="7"/>
    <x v="1"/>
    <x v="33"/>
  </r>
  <r>
    <x v="0"/>
    <d v="2017-12-21T00:00:00"/>
    <x v="10"/>
    <x v="27"/>
    <n v="0"/>
    <s v="Sigma 10"/>
    <s v="Sedgeview"/>
    <s v="Sedgeview"/>
    <m/>
    <n v="33"/>
    <x v="59"/>
    <x v="33"/>
  </r>
  <r>
    <x v="0"/>
    <d v="2017-12-21T00:00:00"/>
    <x v="10"/>
    <x v="27"/>
    <n v="0"/>
    <s v="Sigma 10"/>
    <s v="Sedgeview"/>
    <s v="Sedgeview"/>
    <m/>
    <n v="14"/>
    <x v="11"/>
    <x v="33"/>
  </r>
  <r>
    <x v="0"/>
    <d v="2017-12-21T00:00:00"/>
    <x v="10"/>
    <x v="27"/>
    <n v="0"/>
    <s v="Sigma 10"/>
    <s v="Sedgeview"/>
    <s v="Sedgeview"/>
    <m/>
    <n v="22"/>
    <x v="42"/>
    <x v="33"/>
  </r>
  <r>
    <x v="0"/>
    <d v="2017-12-21T00:00:00"/>
    <x v="10"/>
    <x v="27"/>
    <n v="0"/>
    <s v="Sigma 10"/>
    <s v="Sedgeview"/>
    <s v="Sedgefield"/>
    <m/>
    <n v="13"/>
    <x v="18"/>
    <x v="33"/>
  </r>
  <r>
    <x v="0"/>
    <d v="2017-12-22T00:00:00"/>
    <x v="10"/>
    <x v="27"/>
    <n v="1"/>
    <s v="Sigma 10"/>
    <s v="Paradise Ridge Hollyday Inn"/>
    <s v="Kleinkrantz"/>
    <n v="1"/>
    <n v="40"/>
    <x v="48"/>
    <x v="33"/>
  </r>
  <r>
    <x v="0"/>
    <d v="2017-12-22T00:00:00"/>
    <x v="10"/>
    <x v="27"/>
    <n v="0"/>
    <s v="Sigma 10"/>
    <s v="Sedgeview"/>
    <s v="Sedgefield"/>
    <n v="1"/>
    <n v="16"/>
    <x v="100"/>
    <x v="33"/>
  </r>
  <r>
    <x v="0"/>
    <d v="2017-12-23T00:00:00"/>
    <x v="10"/>
    <x v="27"/>
    <n v="1"/>
    <s v="Sigma 10"/>
    <s v="Sedgeview"/>
    <s v="Sedgeview"/>
    <m/>
    <n v="26"/>
    <x v="134"/>
    <x v="33"/>
  </r>
  <r>
    <x v="0"/>
    <d v="2017-12-23T00:00:00"/>
    <x v="10"/>
    <x v="27"/>
    <n v="0"/>
    <s v="Sigma 10"/>
    <s v="Sedgeview"/>
    <s v="Sedgefield Küste"/>
    <m/>
    <n v="55"/>
    <x v="84"/>
    <x v="33"/>
  </r>
  <r>
    <x v="0"/>
    <d v="2017-12-23T00:00:00"/>
    <x v="10"/>
    <x v="27"/>
    <n v="0"/>
    <s v="Sigma 10"/>
    <s v="Sedgeview"/>
    <s v="Sedgefield"/>
    <m/>
    <n v="39"/>
    <x v="131"/>
    <x v="33"/>
  </r>
  <r>
    <x v="0"/>
    <d v="2017-12-24T00:00:00"/>
    <x v="10"/>
    <x v="27"/>
    <n v="1"/>
    <s v="Sigma 10"/>
    <s v="Paradise Ridge Rampe"/>
    <s v="Kleinkrantz"/>
    <n v="2"/>
    <n v="27"/>
    <x v="174"/>
    <x v="33"/>
  </r>
  <r>
    <x v="0"/>
    <d v="2017-12-25T00:00:00"/>
    <x v="10"/>
    <x v="27"/>
    <n v="1"/>
    <s v="Sigma 10"/>
    <s v="Bettys Bay"/>
    <s v="Vredendal"/>
    <n v="2"/>
    <n v="22"/>
    <x v="161"/>
    <x v="33"/>
  </r>
  <r>
    <x v="0"/>
    <d v="2017-12-25T00:00:00"/>
    <x v="10"/>
    <x v="27"/>
    <n v="0"/>
    <s v="Sigma 10"/>
    <s v="Hermanus"/>
    <s v="Hermanus"/>
    <m/>
    <n v="25"/>
    <x v="52"/>
    <x v="33"/>
  </r>
  <r>
    <x v="0"/>
    <d v="2017-12-26T00:00:00"/>
    <x v="10"/>
    <x v="27"/>
    <n v="1"/>
    <s v="Sigma 10"/>
    <s v="Dasklip-Porterville"/>
    <s v="Citrusdal Süd"/>
    <n v="1"/>
    <n v="47"/>
    <x v="175"/>
    <x v="33"/>
  </r>
  <r>
    <x v="0"/>
    <d v="2017-12-27T00:00:00"/>
    <x v="10"/>
    <x v="27"/>
    <n v="1"/>
    <s v="Sigma 10"/>
    <s v="Dasklip-Porterville"/>
    <s v="Citrusdal Golfplatz"/>
    <n v="2"/>
    <n v="8"/>
    <x v="78"/>
    <x v="33"/>
  </r>
  <r>
    <x v="0"/>
    <d v="2017-12-28T00:00:00"/>
    <x v="10"/>
    <x v="27"/>
    <n v="1"/>
    <s v="Sigma 10"/>
    <s v="Dasklip-Porterville"/>
    <s v="Ridge Westside"/>
    <n v="1"/>
    <n v="22"/>
    <x v="91"/>
    <x v="33"/>
  </r>
  <r>
    <x v="0"/>
    <d v="2017-12-28T00:00:00"/>
    <x v="10"/>
    <x v="27"/>
    <n v="0"/>
    <s v="Sigma 10"/>
    <s v="Spritkopf Süd"/>
    <s v="Citrusdal Golfplatz"/>
    <n v="1"/>
    <n v="2"/>
    <x v="110"/>
    <x v="33"/>
  </r>
  <r>
    <x v="0"/>
    <d v="2017-12-29T00:00:00"/>
    <x v="10"/>
    <x v="27"/>
    <n v="1"/>
    <s v="Sigma 10"/>
    <s v="Spritkopf Nord"/>
    <s v="Portervolle Nord"/>
    <n v="2"/>
    <n v="12"/>
    <x v="172"/>
    <x v="33"/>
  </r>
  <r>
    <x v="0"/>
    <d v="2017-12-30T00:00:00"/>
    <x v="10"/>
    <x v="27"/>
    <n v="1"/>
    <s v="Sigma 7"/>
    <s v="Langebaan"/>
    <s v="Langebaan"/>
    <n v="1"/>
    <n v="27"/>
    <x v="129"/>
    <x v="33"/>
  </r>
  <r>
    <x v="0"/>
    <d v="2018-01-11T00:00:00"/>
    <x v="11"/>
    <x v="28"/>
    <n v="1"/>
    <s v="Sigma 10"/>
    <s v="Rosboden"/>
    <s v="Fiesch"/>
    <m/>
    <n v="22"/>
    <x v="42"/>
    <x v="2"/>
  </r>
  <r>
    <x v="0"/>
    <d v="2018-01-12T00:00:00"/>
    <x v="11"/>
    <x v="28"/>
    <n v="1"/>
    <s v="Sigma 10"/>
    <s v="Steibenkreuz"/>
    <s v="Fiesch"/>
    <m/>
    <n v="34"/>
    <x v="50"/>
    <x v="2"/>
  </r>
  <r>
    <x v="0"/>
    <d v="2018-01-13T00:00:00"/>
    <x v="11"/>
    <x v="28"/>
    <n v="1"/>
    <s v="Sigma 10"/>
    <s v="Steibenkreuz"/>
    <s v="Baschi"/>
    <m/>
    <n v="34"/>
    <x v="50"/>
    <x v="2"/>
  </r>
  <r>
    <x v="0"/>
    <d v="2018-01-14T00:00:00"/>
    <x v="11"/>
    <x v="28"/>
    <n v="1"/>
    <s v="Sigma 10"/>
    <s v="Steibenkreuz"/>
    <s v="Mühle"/>
    <m/>
    <n v="38"/>
    <x v="17"/>
    <x v="2"/>
  </r>
  <r>
    <x v="0"/>
    <d v="2018-02-27T00:00:00"/>
    <x v="7"/>
    <x v="28"/>
    <n v="1"/>
    <s v="Sigma 10"/>
    <s v="San Donato Val di Comino"/>
    <s v="San Donato Val di Comino"/>
    <m/>
    <n v="58"/>
    <x v="95"/>
    <x v="34"/>
  </r>
  <r>
    <x v="0"/>
    <d v="2018-02-28T00:00:00"/>
    <x v="7"/>
    <x v="28"/>
    <n v="1"/>
    <s v="Sigma 10"/>
    <s v="San Donato Val di Comino"/>
    <s v="San Donato Val di Comino"/>
    <n v="2"/>
    <n v="10"/>
    <x v="158"/>
    <x v="34"/>
  </r>
  <r>
    <x v="0"/>
    <d v="2018-03-08T00:00:00"/>
    <x v="8"/>
    <x v="28"/>
    <n v="1"/>
    <s v="Sigma 10"/>
    <s v="Steibenkreuz"/>
    <s v="Baschi"/>
    <m/>
    <n v="42"/>
    <x v="66"/>
    <x v="2"/>
  </r>
  <r>
    <x v="0"/>
    <d v="2018-03-25T00:00:00"/>
    <x v="8"/>
    <x v="28"/>
    <n v="1"/>
    <s v="Sigma 10"/>
    <s v="Heimat"/>
    <s v="Baschi"/>
    <n v="1"/>
    <n v="25"/>
    <x v="113"/>
    <x v="2"/>
  </r>
  <r>
    <x v="0"/>
    <d v="2018-04-06T00:00:00"/>
    <x v="9"/>
    <x v="28"/>
    <n v="1"/>
    <s v="Sigma 10"/>
    <s v="Steibenkreuz"/>
    <s v="Mühle"/>
    <m/>
    <n v="39"/>
    <x v="131"/>
    <x v="2"/>
  </r>
  <r>
    <x v="0"/>
    <d v="2018-04-19T00:00:00"/>
    <x v="9"/>
    <x v="28"/>
    <n v="1"/>
    <s v="Sigma 10"/>
    <s v="Bellwald"/>
    <s v="Fiesch"/>
    <m/>
    <n v="15"/>
    <x v="15"/>
    <x v="2"/>
  </r>
  <r>
    <x v="0"/>
    <d v="2018-04-21T00:00:00"/>
    <x v="9"/>
    <x v="28"/>
    <n v="1"/>
    <s v="Sigma 10"/>
    <s v="Heimat"/>
    <s v="Fiesch"/>
    <n v="2"/>
    <n v="4"/>
    <x v="117"/>
    <x v="2"/>
  </r>
  <r>
    <x v="0"/>
    <d v="2018-04-22T00:00:00"/>
    <x v="9"/>
    <x v="28"/>
    <n v="1"/>
    <s v="Sigma 10"/>
    <s v="Heimat"/>
    <s v="Ulrichen"/>
    <n v="1"/>
    <n v="27"/>
    <x v="129"/>
    <x v="2"/>
  </r>
  <r>
    <x v="0"/>
    <d v="2018-05-08T00:00:00"/>
    <x v="0"/>
    <x v="28"/>
    <n v="1"/>
    <s v="Sigma 10"/>
    <s v="Schütt"/>
    <s v="Ritzinger Feld"/>
    <m/>
    <n v="49"/>
    <x v="79"/>
    <x v="2"/>
  </r>
  <r>
    <x v="0"/>
    <d v="2018-05-18T00:00:00"/>
    <x v="0"/>
    <x v="28"/>
    <n v="1"/>
    <s v="Sigma 10"/>
    <s v="Bellwald"/>
    <s v="Fiesch"/>
    <m/>
    <n v="8"/>
    <x v="3"/>
    <x v="2"/>
  </r>
  <r>
    <x v="0"/>
    <d v="2018-05-21T00:00:00"/>
    <x v="0"/>
    <x v="28"/>
    <n v="1"/>
    <s v="Sigma 10"/>
    <s v="Rotenfluh"/>
    <s v="Rickenbach"/>
    <m/>
    <n v="27"/>
    <x v="34"/>
    <x v="2"/>
  </r>
  <r>
    <x v="0"/>
    <d v="2018-05-21T00:00:00"/>
    <x v="0"/>
    <x v="28"/>
    <n v="0"/>
    <s v="Sigma 10"/>
    <s v="Rotenfluh"/>
    <s v="Rickenbach"/>
    <n v="1"/>
    <n v="18"/>
    <x v="87"/>
    <x v="2"/>
  </r>
  <r>
    <x v="0"/>
    <d v="2018-05-21T00:00:00"/>
    <x v="0"/>
    <x v="28"/>
    <n v="0"/>
    <s v="Sigma 10"/>
    <s v="Rotenfluh"/>
    <s v="Rickenbach"/>
    <m/>
    <n v="12"/>
    <x v="6"/>
    <x v="2"/>
  </r>
  <r>
    <x v="0"/>
    <d v="2018-05-26T00:00:00"/>
    <x v="0"/>
    <x v="28"/>
    <n v="1"/>
    <s v="Sigma 10"/>
    <s v="Heimat"/>
    <s v="Fiesch"/>
    <m/>
    <n v="50"/>
    <x v="40"/>
    <x v="2"/>
  </r>
  <r>
    <x v="0"/>
    <d v="2018-06-01T00:00:00"/>
    <x v="1"/>
    <x v="28"/>
    <n v="1"/>
    <s v="Sigma 10"/>
    <s v="Heimat"/>
    <s v="Fiesch"/>
    <m/>
    <n v="41"/>
    <x v="115"/>
    <x v="2"/>
  </r>
  <r>
    <x v="0"/>
    <d v="2018-06-07T00:00:00"/>
    <x v="1"/>
    <x v="28"/>
    <n v="1"/>
    <s v="Sigma 10"/>
    <s v="Sta Maria (Galanca)"/>
    <s v="Leggia"/>
    <m/>
    <n v="14"/>
    <x v="11"/>
    <x v="35"/>
  </r>
  <r>
    <x v="0"/>
    <d v="2018-06-07T00:00:00"/>
    <x v="1"/>
    <x v="28"/>
    <n v="0"/>
    <s v="Sigma 10"/>
    <s v="Cima di Medeglia"/>
    <s v="Bironico"/>
    <m/>
    <n v="31"/>
    <x v="103"/>
    <x v="35"/>
  </r>
  <r>
    <x v="0"/>
    <d v="2018-06-08T00:00:00"/>
    <x v="1"/>
    <x v="28"/>
    <n v="1"/>
    <s v="Sigma 10"/>
    <s v="Mte Nudo"/>
    <s v="Laveno"/>
    <m/>
    <n v="15"/>
    <x v="15"/>
    <x v="35"/>
  </r>
  <r>
    <x v="0"/>
    <d v="2018-06-09T00:00:00"/>
    <x v="1"/>
    <x v="28"/>
    <n v="1"/>
    <s v="Sigma 10"/>
    <s v="Mte Lema"/>
    <s v="Mte Lema"/>
    <m/>
    <n v="59"/>
    <x v="120"/>
    <x v="35"/>
  </r>
  <r>
    <x v="0"/>
    <d v="2018-06-09T00:00:00"/>
    <x v="1"/>
    <x v="28"/>
    <n v="0"/>
    <s v="Sigma 10"/>
    <s v="Mte Lema"/>
    <s v="Mte Lema"/>
    <m/>
    <n v="17"/>
    <x v="26"/>
    <x v="35"/>
  </r>
  <r>
    <x v="0"/>
    <d v="2018-06-09T00:00:00"/>
    <x v="1"/>
    <x v="28"/>
    <n v="0"/>
    <s v="Sigma 10"/>
    <s v="Mte Lema"/>
    <s v="Mte Lema"/>
    <m/>
    <n v="19"/>
    <x v="20"/>
    <x v="35"/>
  </r>
  <r>
    <x v="0"/>
    <d v="2018-06-09T00:00:00"/>
    <x v="1"/>
    <x v="28"/>
    <n v="0"/>
    <s v="Sigma 10"/>
    <s v="Mte Lema"/>
    <s v="Sessa"/>
    <m/>
    <n v="23"/>
    <x v="92"/>
    <x v="35"/>
  </r>
  <r>
    <x v="0"/>
    <d v="2018-06-10T00:00:00"/>
    <x v="1"/>
    <x v="28"/>
    <n v="1"/>
    <s v="Sigma 10"/>
    <s v="Mte Lema"/>
    <s v="Sessa"/>
    <n v="2"/>
    <n v="8"/>
    <x v="78"/>
    <x v="35"/>
  </r>
  <r>
    <x v="0"/>
    <d v="2018-06-19T00:00:00"/>
    <x v="1"/>
    <x v="28"/>
    <n v="1"/>
    <s v="Sigma 10"/>
    <s v="Heimat"/>
    <s v="Baschi"/>
    <m/>
    <n v="55"/>
    <x v="84"/>
    <x v="2"/>
  </r>
  <r>
    <x v="0"/>
    <d v="2018-06-20T00:00:00"/>
    <x v="1"/>
    <x v="28"/>
    <n v="1"/>
    <s v="Sigma 10"/>
    <s v="Heimat"/>
    <s v="Fiesch"/>
    <n v="2"/>
    <n v="10"/>
    <x v="158"/>
    <x v="2"/>
  </r>
  <r>
    <x v="0"/>
    <d v="2018-06-23T00:00:00"/>
    <x v="1"/>
    <x v="28"/>
    <n v="1"/>
    <s v="Sigma 10"/>
    <s v="Dovydiskai"/>
    <s v="Klevenai"/>
    <n v="2"/>
    <n v="5"/>
    <x v="65"/>
    <x v="36"/>
  </r>
  <r>
    <x v="0"/>
    <d v="2018-06-23T00:00:00"/>
    <x v="1"/>
    <x v="28"/>
    <n v="0"/>
    <s v="Sigma 10"/>
    <s v="Dovydiskai"/>
    <s v="Dovydiskai"/>
    <m/>
    <n v="14"/>
    <x v="11"/>
    <x v="36"/>
  </r>
  <r>
    <x v="0"/>
    <d v="2018-06-23T00:00:00"/>
    <x v="1"/>
    <x v="28"/>
    <n v="0"/>
    <s v="Sigma 10"/>
    <s v="Dovydiskai"/>
    <s v="Jonuskai"/>
    <m/>
    <n v="14"/>
    <x v="11"/>
    <x v="36"/>
  </r>
  <r>
    <x v="0"/>
    <d v="2018-06-24T00:00:00"/>
    <x v="1"/>
    <x v="28"/>
    <n v="1"/>
    <s v="Sigma 10"/>
    <s v="Labrags"/>
    <s v="Cetri Veji, viesunams"/>
    <n v="1"/>
    <n v="36"/>
    <x v="55"/>
    <x v="36"/>
  </r>
  <r>
    <x v="0"/>
    <d v="2018-06-26T00:00:00"/>
    <x v="1"/>
    <x v="28"/>
    <n v="1"/>
    <s v="Sigma 10"/>
    <s v="Kalviai"/>
    <s v="Tomiluvka"/>
    <m/>
    <n v="15"/>
    <x v="15"/>
    <x v="36"/>
  </r>
  <r>
    <x v="0"/>
    <d v="2018-06-26T00:00:00"/>
    <x v="1"/>
    <x v="28"/>
    <n v="0"/>
    <s v="Sigma 10"/>
    <s v="Kalviai"/>
    <s v="Morkuniskis"/>
    <n v="1"/>
    <n v="54"/>
    <x v="96"/>
    <x v="36"/>
  </r>
  <r>
    <x v="0"/>
    <d v="2018-06-27T00:00:00"/>
    <x v="1"/>
    <x v="28"/>
    <n v="1"/>
    <s v="Sigma 10"/>
    <s v="Antandraja"/>
    <s v="Kalviai (Alanta)"/>
    <n v="1"/>
    <n v="47"/>
    <x v="175"/>
    <x v="36"/>
  </r>
  <r>
    <x v="0"/>
    <d v="2018-06-28T00:00:00"/>
    <x v="1"/>
    <x v="28"/>
    <n v="1"/>
    <s v="Sigma 10"/>
    <s v="Antandraja"/>
    <s v="Uzpaliai"/>
    <m/>
    <n v="49"/>
    <x v="79"/>
    <x v="36"/>
  </r>
  <r>
    <x v="0"/>
    <d v="2018-06-28T00:00:00"/>
    <x v="1"/>
    <x v="28"/>
    <n v="0"/>
    <s v="Sigma 10"/>
    <s v="Libertava"/>
    <s v="Libertava"/>
    <m/>
    <n v="14"/>
    <x v="11"/>
    <x v="36"/>
  </r>
  <r>
    <x v="0"/>
    <d v="2018-06-29T00:00:00"/>
    <x v="1"/>
    <x v="28"/>
    <n v="1"/>
    <s v="Sigma 10"/>
    <s v="Kalviai"/>
    <s v="Plesiskes"/>
    <m/>
    <n v="36"/>
    <x v="39"/>
    <x v="36"/>
  </r>
  <r>
    <x v="0"/>
    <d v="2018-07-13T00:00:00"/>
    <x v="2"/>
    <x v="28"/>
    <n v="1"/>
    <s v="Sigma 10"/>
    <s v="Richinen"/>
    <s v="Ritzinger Feld"/>
    <n v="1"/>
    <n v="14"/>
    <x v="149"/>
    <x v="2"/>
  </r>
  <r>
    <x v="0"/>
    <d v="2018-07-14T00:00:00"/>
    <x v="2"/>
    <x v="28"/>
    <n v="1"/>
    <s v="Sigma 10"/>
    <s v="Heimat"/>
    <s v="Baschi"/>
    <m/>
    <n v="40"/>
    <x v="33"/>
    <x v="2"/>
  </r>
  <r>
    <x v="0"/>
    <d v="2018-07-18T00:00:00"/>
    <x v="2"/>
    <x v="28"/>
    <n v="1"/>
    <s v="Sigma 10"/>
    <s v="Richinen"/>
    <s v="Fiesch"/>
    <n v="2"/>
    <n v="13"/>
    <x v="107"/>
    <x v="2"/>
  </r>
  <r>
    <x v="0"/>
    <d v="2018-07-19T00:00:00"/>
    <x v="2"/>
    <x v="28"/>
    <n v="1"/>
    <s v="Sigma 10"/>
    <s v="Richinen"/>
    <s v="Baschi"/>
    <m/>
    <n v="39"/>
    <x v="131"/>
    <x v="2"/>
  </r>
  <r>
    <x v="0"/>
    <d v="2018-07-24T00:00:00"/>
    <x v="2"/>
    <x v="28"/>
    <n v="1"/>
    <s v="Sigma 10"/>
    <s v="Richinen"/>
    <s v="Fieschertal"/>
    <n v="1"/>
    <n v="42"/>
    <x v="145"/>
    <x v="2"/>
  </r>
  <r>
    <x v="0"/>
    <d v="2018-07-25T00:00:00"/>
    <x v="2"/>
    <x v="28"/>
    <n v="1"/>
    <s v="Sigma 10"/>
    <s v="Steibenkreuz"/>
    <s v="Baschi"/>
    <m/>
    <n v="35"/>
    <x v="119"/>
    <x v="2"/>
  </r>
  <r>
    <x v="0"/>
    <d v="2018-08-04T00:00:00"/>
    <x v="3"/>
    <x v="28"/>
    <n v="1"/>
    <s v="Sigma 10"/>
    <s v="Richinen"/>
    <s v="Baschi"/>
    <m/>
    <n v="54"/>
    <x v="28"/>
    <x v="2"/>
  </r>
  <r>
    <x v="0"/>
    <d v="2018-08-05T00:00:00"/>
    <x v="3"/>
    <x v="28"/>
    <n v="1"/>
    <s v="Sigma 10"/>
    <s v="Galfera"/>
    <s v="Ritzinger Feld"/>
    <n v="1"/>
    <n v="38"/>
    <x v="128"/>
    <x v="2"/>
  </r>
  <r>
    <x v="0"/>
    <d v="2018-08-12T00:00:00"/>
    <x v="3"/>
    <x v="28"/>
    <n v="1"/>
    <s v="Sigma 10"/>
    <s v="Heimat"/>
    <s v="Fiesch"/>
    <m/>
    <n v="12"/>
    <x v="6"/>
    <x v="2"/>
  </r>
  <r>
    <x v="0"/>
    <d v="2018-08-21T00:00:00"/>
    <x v="3"/>
    <x v="28"/>
    <n v="1"/>
    <s v="Sigma 10"/>
    <s v="Richinen"/>
    <s v="Baschi"/>
    <m/>
    <n v="30"/>
    <x v="8"/>
    <x v="2"/>
  </r>
  <r>
    <x v="0"/>
    <d v="2018-08-22T00:00:00"/>
    <x v="3"/>
    <x v="28"/>
    <n v="1"/>
    <s v="Sigma 10"/>
    <s v="Richinen"/>
    <s v="Fiesch"/>
    <m/>
    <n v="18"/>
    <x v="57"/>
    <x v="2"/>
  </r>
  <r>
    <x v="0"/>
    <d v="2018-08-23T00:00:00"/>
    <x v="3"/>
    <x v="28"/>
    <n v="1"/>
    <s v="Sigma 10"/>
    <s v="Heimat"/>
    <s v="Baschi"/>
    <n v="1"/>
    <n v="34"/>
    <x v="13"/>
    <x v="2"/>
  </r>
  <r>
    <x v="0"/>
    <d v="2018-08-27T00:00:00"/>
    <x v="3"/>
    <x v="28"/>
    <n v="1"/>
    <s v="Sigma 10"/>
    <s v="Heimat"/>
    <s v="Fiesch"/>
    <n v="1"/>
    <n v="28"/>
    <x v="80"/>
    <x v="2"/>
  </r>
  <r>
    <x v="0"/>
    <d v="2018-09-01T00:00:00"/>
    <x v="4"/>
    <x v="28"/>
    <n v="1"/>
    <s v="Sigma 10"/>
    <s v="Col de Ares"/>
    <s v="Ager"/>
    <n v="1"/>
    <n v="2"/>
    <x v="110"/>
    <x v="32"/>
  </r>
  <r>
    <x v="0"/>
    <d v="2018-09-01T00:00:00"/>
    <x v="4"/>
    <x v="28"/>
    <n v="0"/>
    <s v="Sigma 10"/>
    <s v="Col de Ares"/>
    <s v="Ager, Camping"/>
    <n v="1"/>
    <n v="39"/>
    <x v="166"/>
    <x v="32"/>
  </r>
  <r>
    <x v="0"/>
    <d v="2018-09-02T00:00:00"/>
    <x v="4"/>
    <x v="28"/>
    <n v="1"/>
    <s v="Sigma 10"/>
    <s v="Col de Ares"/>
    <s v="Col de Ares"/>
    <m/>
    <n v="18"/>
    <x v="57"/>
    <x v="32"/>
  </r>
  <r>
    <x v="0"/>
    <d v="2018-09-02T00:00:00"/>
    <x v="4"/>
    <x v="28"/>
    <n v="0"/>
    <s v="Sigma 10"/>
    <s v="Col de Ares"/>
    <s v="Col de Ares"/>
    <n v="1"/>
    <n v="1"/>
    <x v="31"/>
    <x v="32"/>
  </r>
  <r>
    <x v="0"/>
    <d v="2018-09-02T00:00:00"/>
    <x v="4"/>
    <x v="28"/>
    <n v="0"/>
    <s v="Sigma 10"/>
    <s v="Col de Ares"/>
    <s v="Tremp"/>
    <m/>
    <n v="58"/>
    <x v="95"/>
    <x v="32"/>
  </r>
  <r>
    <x v="0"/>
    <d v="2018-09-03T00:00:00"/>
    <x v="4"/>
    <x v="28"/>
    <n v="1"/>
    <s v="Sigma 10"/>
    <s v="Castejon de SOS (Liri)"/>
    <s v="Castejon de SOS (Liri)"/>
    <n v="1"/>
    <n v="7"/>
    <x v="136"/>
    <x v="32"/>
  </r>
  <r>
    <x v="0"/>
    <d v="2018-09-03T00:00:00"/>
    <x v="4"/>
    <x v="28"/>
    <n v="0"/>
    <s v="Sigma 10"/>
    <s v="Castejon de SOS (Liri)"/>
    <s v="Castejon de SOS"/>
    <m/>
    <n v="22"/>
    <x v="42"/>
    <x v="32"/>
  </r>
  <r>
    <x v="0"/>
    <d v="2018-09-04T00:00:00"/>
    <x v="4"/>
    <x v="28"/>
    <n v="1"/>
    <s v="Sigma 10"/>
    <s v="Castejon de SOS (Liri)"/>
    <s v="Castejon de SOS"/>
    <n v="1"/>
    <n v="51"/>
    <x v="111"/>
    <x v="32"/>
  </r>
  <r>
    <x v="0"/>
    <d v="2018-09-05T00:00:00"/>
    <x v="4"/>
    <x v="28"/>
    <n v="1"/>
    <s v="Sigma 10"/>
    <s v="Pedro Bernardo W"/>
    <s v="Lanzahita"/>
    <m/>
    <n v="45"/>
    <x v="27"/>
    <x v="32"/>
  </r>
  <r>
    <x v="0"/>
    <d v="2018-09-06T00:00:00"/>
    <x v="4"/>
    <x v="28"/>
    <n v="1"/>
    <s v="Sigma 10"/>
    <s v="Pedro Bernardo W"/>
    <s v="Lanzahita"/>
    <n v="1"/>
    <n v="12"/>
    <x v="88"/>
    <x v="32"/>
  </r>
  <r>
    <x v="0"/>
    <d v="2018-09-07T00:00:00"/>
    <x v="4"/>
    <x v="28"/>
    <n v="1"/>
    <s v="Sigma 10"/>
    <s v="Sopelana (Bilbao)"/>
    <s v="Sopelana (Bilbao)"/>
    <m/>
    <n v="39"/>
    <x v="131"/>
    <x v="32"/>
  </r>
  <r>
    <x v="0"/>
    <d v="2018-09-07T00:00:00"/>
    <x v="4"/>
    <x v="28"/>
    <n v="0"/>
    <s v="Sigma 10"/>
    <s v="Sopelana (Bilbao)"/>
    <s v="Santa Maria de Guecho"/>
    <m/>
    <n v="40"/>
    <x v="33"/>
    <x v="32"/>
  </r>
  <r>
    <x v="0"/>
    <d v="2018-09-09T00:00:00"/>
    <x v="4"/>
    <x v="28"/>
    <n v="1"/>
    <s v="Sigma 10"/>
    <s v="Santa Maria de Guecho"/>
    <s v="Sopelana 2 (Bilbao)"/>
    <n v="1"/>
    <n v="38"/>
    <x v="128"/>
    <x v="37"/>
  </r>
  <r>
    <x v="0"/>
    <d v="2018-09-10T00:00:00"/>
    <x v="4"/>
    <x v="28"/>
    <n v="1"/>
    <s v="Sigma 10"/>
    <s v="Urduna"/>
    <s v="Cuesta Labauri"/>
    <n v="1"/>
    <n v="32"/>
    <x v="32"/>
    <x v="37"/>
  </r>
  <r>
    <x v="0"/>
    <d v="2018-09-11T00:00:00"/>
    <x v="4"/>
    <x v="28"/>
    <n v="1"/>
    <s v="Sigma 10"/>
    <s v="Barcia de los Montes"/>
    <s v="Pancorbo"/>
    <n v="1"/>
    <n v="20"/>
    <x v="46"/>
    <x v="37"/>
  </r>
  <r>
    <x v="0"/>
    <d v="2018-09-12T00:00:00"/>
    <x v="4"/>
    <x v="28"/>
    <n v="1"/>
    <s v="Sigma 10"/>
    <s v="Piedrahita"/>
    <s v="Mengamunoz"/>
    <n v="1"/>
    <n v="58"/>
    <x v="104"/>
    <x v="37"/>
  </r>
  <r>
    <x v="0"/>
    <d v="2018-09-12T00:00:00"/>
    <x v="4"/>
    <x v="28"/>
    <n v="0"/>
    <s v="Sigma 10"/>
    <s v="Piedrahita"/>
    <s v="Santa Maria de los Caballeros"/>
    <m/>
    <n v="54"/>
    <x v="28"/>
    <x v="37"/>
  </r>
  <r>
    <x v="0"/>
    <d v="2018-09-13T00:00:00"/>
    <x v="4"/>
    <x v="28"/>
    <n v="1"/>
    <s v="Sigma 10"/>
    <s v="Piedrahita"/>
    <s v="San Miguel de Corneja"/>
    <n v="2"/>
    <n v="32"/>
    <x v="176"/>
    <x v="37"/>
  </r>
  <r>
    <x v="0"/>
    <d v="2018-09-13T00:00:00"/>
    <x v="4"/>
    <x v="28"/>
    <n v="0"/>
    <s v="Sigma 10"/>
    <s v="Piedrahita"/>
    <s v="El Barco de Avila"/>
    <n v="1"/>
    <n v="0"/>
    <x v="47"/>
    <x v="37"/>
  </r>
  <r>
    <x v="0"/>
    <d v="2018-09-14T00:00:00"/>
    <x v="4"/>
    <x v="28"/>
    <n v="1"/>
    <s v="Sigma 10"/>
    <s v="Pedro Bernardo W"/>
    <s v="Ramacastanas"/>
    <n v="1"/>
    <n v="33"/>
    <x v="159"/>
    <x v="37"/>
  </r>
  <r>
    <x v="0"/>
    <d v="2018-09-16T00:00:00"/>
    <x v="4"/>
    <x v="28"/>
    <n v="1"/>
    <s v="Sigma 10"/>
    <s v="First"/>
    <s v="Grund"/>
    <m/>
    <n v="18"/>
    <x v="57"/>
    <x v="2"/>
  </r>
  <r>
    <x v="0"/>
    <d v="2018-09-20T00:00:00"/>
    <x v="4"/>
    <x v="28"/>
    <n v="1"/>
    <s v="Sigma 10"/>
    <s v="Richinen"/>
    <s v="Baschi"/>
    <n v="1"/>
    <n v="27"/>
    <x v="129"/>
    <x v="2"/>
  </r>
  <r>
    <x v="0"/>
    <d v="2018-09-26T00:00:00"/>
    <x v="4"/>
    <x v="28"/>
    <n v="1"/>
    <s v="Sigma 10"/>
    <s v="Richinen"/>
    <s v="Baschi"/>
    <n v="1"/>
    <n v="2"/>
    <x v="110"/>
    <x v="2"/>
  </r>
  <r>
    <x v="0"/>
    <d v="2018-09-27T00:00:00"/>
    <x v="4"/>
    <x v="28"/>
    <n v="1"/>
    <s v="Sigma 10"/>
    <s v="Richinen"/>
    <s v="Ritzinger Feld"/>
    <m/>
    <n v="19"/>
    <x v="20"/>
    <x v="2"/>
  </r>
  <r>
    <x v="0"/>
    <d v="2018-09-28T00:00:00"/>
    <x v="4"/>
    <x v="28"/>
    <n v="1"/>
    <s v="Sigma 10"/>
    <s v="Richinen"/>
    <s v="Baschi"/>
    <n v="1"/>
    <n v="2"/>
    <x v="110"/>
    <x v="2"/>
  </r>
  <r>
    <x v="0"/>
    <d v="2018-10-16T00:00:00"/>
    <x v="5"/>
    <x v="28"/>
    <n v="1"/>
    <s v="Sigma 10"/>
    <s v="Richinen"/>
    <s v="Ritzinger Feld"/>
    <m/>
    <n v="24"/>
    <x v="61"/>
    <x v="2"/>
  </r>
  <r>
    <x v="0"/>
    <d v="2018-10-17T00:00:00"/>
    <x v="5"/>
    <x v="28"/>
    <n v="1"/>
    <s v="Sigma 10"/>
    <s v="Richinen"/>
    <s v="Fiesch"/>
    <m/>
    <n v="20"/>
    <x v="5"/>
    <x v="2"/>
  </r>
  <r>
    <x v="0"/>
    <d v="2018-10-19T00:00:00"/>
    <x v="5"/>
    <x v="28"/>
    <n v="1"/>
    <s v="Sigma 10"/>
    <s v="Richinen"/>
    <s v="Baschi"/>
    <n v="1"/>
    <n v="7"/>
    <x v="136"/>
    <x v="2"/>
  </r>
  <r>
    <x v="0"/>
    <d v="2018-10-20T00:00:00"/>
    <x v="5"/>
    <x v="28"/>
    <n v="1"/>
    <s v="Sigma 10"/>
    <s v="Richinen"/>
    <s v="Baschi"/>
    <n v="1"/>
    <n v="5"/>
    <x v="45"/>
    <x v="2"/>
  </r>
  <r>
    <x v="0"/>
    <d v="2018-11-25T00:00:00"/>
    <x v="6"/>
    <x v="28"/>
    <n v="1"/>
    <s v="Sigma 10"/>
    <s v="Ninho das guias Sul (Nova Petropolis)"/>
    <s v="Ninho das Aguias (Novo Petropolis)"/>
    <n v="1"/>
    <n v="32"/>
    <x v="32"/>
    <x v="38"/>
  </r>
  <r>
    <x v="0"/>
    <d v="2018-11-25T00:00:00"/>
    <x v="6"/>
    <x v="28"/>
    <n v="0"/>
    <s v="Sigma 10"/>
    <s v="Ninho das guias Sul (Nova Petropolis)"/>
    <s v="Ninho das Aguias (Novo Petropolis)"/>
    <m/>
    <n v="46"/>
    <x v="141"/>
    <x v="38"/>
  </r>
  <r>
    <x v="0"/>
    <d v="2018-11-26T00:00:00"/>
    <x v="6"/>
    <x v="28"/>
    <n v="1"/>
    <s v="Sigma 10"/>
    <s v="Igrejinha-Morro Alto da Pedra"/>
    <s v="Morro do Ferrabraz (Sapiranga)"/>
    <n v="1"/>
    <n v="36"/>
    <x v="55"/>
    <x v="38"/>
  </r>
  <r>
    <x v="0"/>
    <d v="2018-11-27T00:00:00"/>
    <x v="6"/>
    <x v="28"/>
    <n v="1"/>
    <s v="Sigma 10"/>
    <s v="Igrejinha-Morro Alto da Pedra"/>
    <s v="Morro do Ferrabraz (Sapiranga)"/>
    <n v="1"/>
    <n v="6"/>
    <x v="44"/>
    <x v="38"/>
  </r>
  <r>
    <x v="0"/>
    <d v="2018-12-01T00:00:00"/>
    <x v="10"/>
    <x v="28"/>
    <n v="1"/>
    <s v="Sigma 10"/>
    <s v="Parce Municipal del Deita (Rolante)"/>
    <s v="Camping Tio Vico"/>
    <m/>
    <n v="22"/>
    <x v="42"/>
    <x v="38"/>
  </r>
  <r>
    <x v="0"/>
    <d v="2018-12-02T00:00:00"/>
    <x v="10"/>
    <x v="28"/>
    <n v="1"/>
    <s v="Sigma 10"/>
    <s v="Encantado"/>
    <s v="Morro sao Roque (am Fuss)"/>
    <n v="1"/>
    <n v="41"/>
    <x v="76"/>
    <x v="38"/>
  </r>
  <r>
    <x v="0"/>
    <d v="2018-12-02T00:00:00"/>
    <x v="10"/>
    <x v="28"/>
    <n v="0"/>
    <s v="Sigma 10"/>
    <s v="Encantado"/>
    <s v="Rocca Sales"/>
    <n v="1"/>
    <n v="25"/>
    <x v="113"/>
    <x v="38"/>
  </r>
  <r>
    <x v="0"/>
    <d v="2018-12-03T00:00:00"/>
    <x v="10"/>
    <x v="28"/>
    <n v="1"/>
    <s v="Sigma 10"/>
    <s v="Encantado"/>
    <s v="Vintre Oito de Setembro"/>
    <n v="1"/>
    <n v="23"/>
    <x v="102"/>
    <x v="38"/>
  </r>
  <r>
    <x v="0"/>
    <d v="2018-12-03T00:00:00"/>
    <x v="10"/>
    <x v="28"/>
    <n v="0"/>
    <s v="Sigma 10"/>
    <s v="Encantado"/>
    <s v="Rocca Sales"/>
    <m/>
    <n v="55"/>
    <x v="84"/>
    <x v="38"/>
  </r>
  <r>
    <x v="0"/>
    <d v="2018-12-04T00:00:00"/>
    <x v="10"/>
    <x v="28"/>
    <n v="1"/>
    <s v="Sigma 10"/>
    <s v="Agudo"/>
    <s v="Reisfeld"/>
    <m/>
    <n v="58"/>
    <x v="95"/>
    <x v="38"/>
  </r>
  <r>
    <x v="0"/>
    <d v="2018-12-04T00:00:00"/>
    <x v="10"/>
    <x v="28"/>
    <n v="0"/>
    <s v="Sigma 10"/>
    <s v="Agudo"/>
    <s v="Salao Verde"/>
    <m/>
    <n v="37"/>
    <x v="51"/>
    <x v="38"/>
  </r>
  <r>
    <x v="0"/>
    <d v="2018-12-05T00:00:00"/>
    <x v="10"/>
    <x v="28"/>
    <n v="1"/>
    <s v="Sigma 10"/>
    <s v="Agudo"/>
    <s v="Igreja Picada do Rio"/>
    <n v="1"/>
    <n v="32"/>
    <x v="32"/>
    <x v="38"/>
  </r>
  <r>
    <x v="0"/>
    <d v="2018-12-06T00:00:00"/>
    <x v="10"/>
    <x v="28"/>
    <n v="1"/>
    <s v="Sigma 10"/>
    <s v="Encantado"/>
    <s v="Vintre Oito de Setembro"/>
    <n v="1"/>
    <n v="51"/>
    <x v="111"/>
    <x v="38"/>
  </r>
  <r>
    <x v="0"/>
    <d v="2018-12-06T00:00:00"/>
    <x v="10"/>
    <x v="28"/>
    <n v="0"/>
    <s v="Sigma 10"/>
    <s v="Encantado"/>
    <s v="Rocca Sales"/>
    <m/>
    <n v="48"/>
    <x v="135"/>
    <x v="38"/>
  </r>
  <r>
    <x v="0"/>
    <d v="2018-12-07T00:00:00"/>
    <x v="10"/>
    <x v="28"/>
    <n v="1"/>
    <s v="Sigma 10"/>
    <s v="Morro do Ferrabraz (Sapirianga)"/>
    <s v="Varzea Grande"/>
    <n v="1"/>
    <n v="5"/>
    <x v="45"/>
    <x v="38"/>
  </r>
  <r>
    <x v="0"/>
    <d v="2019-02-16T00:00:00"/>
    <x v="7"/>
    <x v="29"/>
    <n v="1"/>
    <s v="Sigma 10"/>
    <s v="Steibenkreuz"/>
    <s v="Baschi"/>
    <n v="1"/>
    <n v="23"/>
    <x v="102"/>
    <x v="2"/>
  </r>
  <r>
    <x v="1"/>
    <d v="2019-03-21T00:00:00"/>
    <x v="8"/>
    <x v="29"/>
    <n v="1"/>
    <s v="Sigma 10"/>
    <s v="San Fermo"/>
    <s v="San Fermo"/>
    <m/>
    <n v="12"/>
    <x v="6"/>
    <x v="30"/>
  </r>
  <r>
    <x v="1"/>
    <d v="2019-03-21T00:00:00"/>
    <x v="8"/>
    <x v="29"/>
    <n v="0"/>
    <s v="Sigma 10"/>
    <s v="San Fermo"/>
    <s v="San Fermo"/>
    <m/>
    <n v="15"/>
    <x v="15"/>
    <x v="30"/>
  </r>
  <r>
    <x v="1"/>
    <d v="2019-03-21T00:00:00"/>
    <x v="8"/>
    <x v="29"/>
    <n v="0"/>
    <s v="Sigma 10"/>
    <s v="San Fermo"/>
    <s v="Casazza"/>
    <m/>
    <n v="27"/>
    <x v="34"/>
    <x v="30"/>
  </r>
  <r>
    <x v="1"/>
    <d v="2019-03-22T00:00:00"/>
    <x v="8"/>
    <x v="29"/>
    <n v="1"/>
    <s v="Sigma 10"/>
    <s v="San Fermo"/>
    <s v="San Fermo"/>
    <m/>
    <n v="25"/>
    <x v="52"/>
    <x v="30"/>
  </r>
  <r>
    <x v="1"/>
    <d v="2019-03-22T00:00:00"/>
    <x v="8"/>
    <x v="29"/>
    <n v="0"/>
    <s v="Sigma 10"/>
    <s v="San Fermo"/>
    <s v="San Fermo"/>
    <m/>
    <n v="40"/>
    <x v="33"/>
    <x v="30"/>
  </r>
  <r>
    <x v="1"/>
    <d v="2019-03-22T00:00:00"/>
    <x v="8"/>
    <x v="29"/>
    <n v="0"/>
    <s v="Sigma 10"/>
    <s v="San Fermo"/>
    <s v="Casazza"/>
    <m/>
    <n v="48"/>
    <x v="135"/>
    <x v="30"/>
  </r>
  <r>
    <x v="1"/>
    <d v="2019-03-23T00:00:00"/>
    <x v="8"/>
    <x v="29"/>
    <n v="1"/>
    <s v="Sigma 10"/>
    <s v="San Fermo"/>
    <s v="Bauernhof"/>
    <m/>
    <n v="32"/>
    <x v="23"/>
    <x v="30"/>
  </r>
  <r>
    <x v="1"/>
    <d v="2019-03-23T00:00:00"/>
    <x v="8"/>
    <x v="29"/>
    <n v="0"/>
    <s v="Sigma 10"/>
    <s v="San Fermo"/>
    <s v="San Fermo"/>
    <m/>
    <n v="29"/>
    <x v="85"/>
    <x v="30"/>
  </r>
  <r>
    <x v="1"/>
    <d v="2019-03-23T00:00:00"/>
    <x v="8"/>
    <x v="29"/>
    <n v="0"/>
    <s v="Sigma 10"/>
    <s v="San Fermo"/>
    <s v="San Fermo"/>
    <m/>
    <n v="29"/>
    <x v="85"/>
    <x v="30"/>
  </r>
  <r>
    <x v="1"/>
    <d v="2019-03-23T00:00:00"/>
    <x v="8"/>
    <x v="29"/>
    <n v="0"/>
    <s v="Sigma 10"/>
    <s v="San Fermo"/>
    <s v="Casazza"/>
    <m/>
    <n v="48"/>
    <x v="135"/>
    <x v="30"/>
  </r>
  <r>
    <x v="1"/>
    <d v="2019-03-24T00:00:00"/>
    <x v="8"/>
    <x v="29"/>
    <n v="1"/>
    <s v="Sigma 10"/>
    <s v="San Fermo"/>
    <s v="San Fermo"/>
    <m/>
    <n v="23"/>
    <x v="92"/>
    <x v="30"/>
  </r>
  <r>
    <x v="1"/>
    <d v="2019-03-24T00:00:00"/>
    <x v="8"/>
    <x v="29"/>
    <n v="0"/>
    <s v="Sigma 10"/>
    <s v="San Fermo"/>
    <s v="San Fermo"/>
    <m/>
    <n v="14"/>
    <x v="11"/>
    <x v="30"/>
  </r>
  <r>
    <x v="1"/>
    <d v="2019-03-24T00:00:00"/>
    <x v="8"/>
    <x v="29"/>
    <n v="0"/>
    <s v="Sigma 10"/>
    <s v="San Fermo"/>
    <s v="Bauernhof"/>
    <m/>
    <n v="21"/>
    <x v="97"/>
    <x v="30"/>
  </r>
  <r>
    <x v="0"/>
    <d v="2019-03-28T00:00:00"/>
    <x v="8"/>
    <x v="29"/>
    <n v="1"/>
    <s v="Sigma 10"/>
    <s v="Steibenkreuz"/>
    <s v="Baschi"/>
    <m/>
    <n v="52"/>
    <x v="37"/>
    <x v="2"/>
  </r>
  <r>
    <x v="0"/>
    <d v="2019-03-30T00:00:00"/>
    <x v="8"/>
    <x v="29"/>
    <n v="1"/>
    <s v="Sigma 10"/>
    <s v="Heimat"/>
    <s v="Fiesch"/>
    <m/>
    <n v="32"/>
    <x v="23"/>
    <x v="2"/>
  </r>
  <r>
    <x v="0"/>
    <d v="2019-03-31T00:00:00"/>
    <x v="8"/>
    <x v="29"/>
    <n v="1"/>
    <s v="Sigma 10"/>
    <s v="Steibenkreuz"/>
    <s v="Fiesch"/>
    <n v="1"/>
    <n v="42"/>
    <x v="145"/>
    <x v="2"/>
  </r>
  <r>
    <x v="0"/>
    <d v="2019-04-13T00:00:00"/>
    <x v="9"/>
    <x v="29"/>
    <n v="1"/>
    <s v="Sigma 10"/>
    <s v="Monte Veneretta"/>
    <s v="Letojanni"/>
    <n v="1"/>
    <n v="11"/>
    <x v="60"/>
    <x v="39"/>
  </r>
  <r>
    <x v="0"/>
    <d v="2019-04-14T00:00:00"/>
    <x v="9"/>
    <x v="29"/>
    <n v="1"/>
    <s v="Sigma 10"/>
    <s v="Gallodoro"/>
    <s v="Letojanni"/>
    <m/>
    <n v="38"/>
    <x v="17"/>
    <x v="39"/>
  </r>
  <r>
    <x v="0"/>
    <d v="2019-04-15T00:00:00"/>
    <x v="9"/>
    <x v="29"/>
    <n v="1"/>
    <s v="Sigma 10"/>
    <s v="Bagnara"/>
    <s v="Bagnara"/>
    <m/>
    <n v="16"/>
    <x v="19"/>
    <x v="39"/>
  </r>
  <r>
    <x v="0"/>
    <d v="2019-04-16T00:00:00"/>
    <x v="9"/>
    <x v="29"/>
    <n v="1"/>
    <s v="Sigma 10"/>
    <s v="Ali"/>
    <s v="Ali Terme"/>
    <m/>
    <n v="28"/>
    <x v="63"/>
    <x v="39"/>
  </r>
  <r>
    <x v="0"/>
    <d v="2019-04-16T00:00:00"/>
    <x v="9"/>
    <x v="29"/>
    <n v="0"/>
    <s v="Sigma 10"/>
    <s v="Monte Veneretta"/>
    <s v="Letojanni"/>
    <m/>
    <n v="26"/>
    <x v="134"/>
    <x v="39"/>
  </r>
  <r>
    <x v="0"/>
    <d v="2019-04-17T00:00:00"/>
    <x v="9"/>
    <x v="29"/>
    <n v="1"/>
    <s v="Sigma 10"/>
    <s v="Monte Scala"/>
    <s v="Niscemi"/>
    <n v="1"/>
    <n v="15"/>
    <x v="56"/>
    <x v="39"/>
  </r>
  <r>
    <x v="0"/>
    <d v="2019-04-17T00:00:00"/>
    <x v="9"/>
    <x v="29"/>
    <n v="0"/>
    <s v="Sigma 10"/>
    <s v="Niscemi"/>
    <s v="Niscemi"/>
    <n v="1"/>
    <n v="0"/>
    <x v="47"/>
    <x v="39"/>
  </r>
  <r>
    <x v="0"/>
    <d v="2019-04-17T00:00:00"/>
    <x v="9"/>
    <x v="29"/>
    <n v="0"/>
    <s v="Sigma 10"/>
    <s v="Niscemi"/>
    <s v="Niscemi"/>
    <m/>
    <n v="19"/>
    <x v="20"/>
    <x v="39"/>
  </r>
  <r>
    <x v="0"/>
    <d v="2019-04-18T00:00:00"/>
    <x v="9"/>
    <x v="29"/>
    <n v="1"/>
    <s v="Sigma 10"/>
    <s v="Assoro"/>
    <s v="Assoro"/>
    <m/>
    <n v="8"/>
    <x v="3"/>
    <x v="39"/>
  </r>
  <r>
    <x v="0"/>
    <d v="2019-04-18T00:00:00"/>
    <x v="9"/>
    <x v="29"/>
    <n v="0"/>
    <s v="Sigma 10"/>
    <s v="Assoro"/>
    <s v="Outlet Store Sizilia"/>
    <n v="1"/>
    <n v="21"/>
    <x v="140"/>
    <x v="39"/>
  </r>
  <r>
    <x v="0"/>
    <d v="2019-04-19T00:00:00"/>
    <x v="9"/>
    <x v="29"/>
    <n v="1"/>
    <s v="Sigma 10"/>
    <s v="Monte Veneretta"/>
    <s v="Furci Siculo"/>
    <n v="1"/>
    <n v="11"/>
    <x v="60"/>
    <x v="39"/>
  </r>
  <r>
    <x v="0"/>
    <d v="2019-05-01T00:00:00"/>
    <x v="0"/>
    <x v="29"/>
    <n v="1"/>
    <s v="Sigma 10"/>
    <s v="Balmberg"/>
    <s v="Biel"/>
    <n v="1"/>
    <n v="12"/>
    <x v="88"/>
    <x v="2"/>
  </r>
  <r>
    <x v="0"/>
    <d v="2019-05-31T00:00:00"/>
    <x v="0"/>
    <x v="29"/>
    <n v="1"/>
    <s v="Sigma 10"/>
    <s v="Nazaré, Paredes da Vitoria"/>
    <s v="Nazaré, Paredes da Vitoria"/>
    <m/>
    <n v="2"/>
    <x v="16"/>
    <x v="23"/>
  </r>
  <r>
    <x v="0"/>
    <d v="2019-06-01T00:00:00"/>
    <x v="1"/>
    <x v="29"/>
    <n v="1"/>
    <s v="Sigma 10"/>
    <s v="Linhares"/>
    <s v="Linhares"/>
    <n v="1"/>
    <n v="54"/>
    <x v="96"/>
    <x v="23"/>
  </r>
  <r>
    <x v="0"/>
    <d v="2019-06-01T00:00:00"/>
    <x v="1"/>
    <x v="29"/>
    <n v="0"/>
    <s v="Sigma 10"/>
    <s v="Linhares"/>
    <s v="Linhares"/>
    <m/>
    <n v="12"/>
    <x v="6"/>
    <x v="23"/>
  </r>
  <r>
    <x v="0"/>
    <d v="2019-06-01T00:00:00"/>
    <x v="1"/>
    <x v="29"/>
    <n v="0"/>
    <s v="Sigma 10"/>
    <s v="Linhares"/>
    <s v="Celorico bda Beira"/>
    <n v="1"/>
    <n v="41"/>
    <x v="76"/>
    <x v="23"/>
  </r>
  <r>
    <x v="0"/>
    <d v="2019-06-02T00:00:00"/>
    <x v="1"/>
    <x v="29"/>
    <n v="1"/>
    <s v="Sigma 10"/>
    <s v="Linhares"/>
    <s v="Linhares"/>
    <m/>
    <n v="42"/>
    <x v="66"/>
    <x v="23"/>
  </r>
  <r>
    <x v="0"/>
    <d v="2019-06-03T00:00:00"/>
    <x v="1"/>
    <x v="29"/>
    <n v="1"/>
    <s v="Sigma 10"/>
    <s v="Praia de Gralha"/>
    <s v="Praia de Gralha"/>
    <n v="1"/>
    <n v="43"/>
    <x v="106"/>
    <x v="23"/>
  </r>
  <r>
    <x v="0"/>
    <d v="2019-06-08T00:00:00"/>
    <x v="1"/>
    <x v="29"/>
    <n v="1"/>
    <s v="Sigma 10"/>
    <s v="Richinen"/>
    <s v="Baschi"/>
    <m/>
    <n v="31"/>
    <x v="103"/>
    <x v="2"/>
  </r>
  <r>
    <x v="0"/>
    <d v="2019-06-21T00:00:00"/>
    <x v="1"/>
    <x v="29"/>
    <n v="1"/>
    <s v="Sigma 10"/>
    <s v="Dovydiskai"/>
    <s v="Dovydiskai"/>
    <m/>
    <n v="17"/>
    <x v="26"/>
    <x v="36"/>
  </r>
  <r>
    <x v="0"/>
    <d v="2019-06-21T00:00:00"/>
    <x v="1"/>
    <x v="29"/>
    <n v="0"/>
    <s v="Sigma 10"/>
    <s v="Dovydiskai"/>
    <s v="Dovydiskai"/>
    <m/>
    <n v="13"/>
    <x v="18"/>
    <x v="36"/>
  </r>
  <r>
    <x v="0"/>
    <d v="2019-06-21T00:00:00"/>
    <x v="1"/>
    <x v="29"/>
    <n v="0"/>
    <s v="Sigma 10"/>
    <s v="Dovydiskai"/>
    <s v="Dovydiskai"/>
    <m/>
    <n v="14"/>
    <x v="11"/>
    <x v="36"/>
  </r>
  <r>
    <x v="0"/>
    <d v="2019-06-21T00:00:00"/>
    <x v="1"/>
    <x v="29"/>
    <n v="0"/>
    <s v="Sigma 10"/>
    <s v="Dovydiskai"/>
    <s v="Dovydiskai"/>
    <m/>
    <n v="15"/>
    <x v="15"/>
    <x v="36"/>
  </r>
  <r>
    <x v="0"/>
    <d v="2019-06-22T00:00:00"/>
    <x v="1"/>
    <x v="29"/>
    <n v="1"/>
    <s v="Sigma 10"/>
    <s v="Alanta"/>
    <s v="Pasamine"/>
    <n v="1"/>
    <n v="41"/>
    <x v="76"/>
    <x v="36"/>
  </r>
  <r>
    <x v="0"/>
    <d v="2019-06-23T00:00:00"/>
    <x v="1"/>
    <x v="29"/>
    <n v="1"/>
    <s v="Sigma 10"/>
    <s v="Antandraja"/>
    <s v="Petronys"/>
    <n v="4"/>
    <n v="47"/>
    <x v="177"/>
    <x v="36"/>
  </r>
  <r>
    <x v="0"/>
    <d v="2019-06-24T00:00:00"/>
    <x v="1"/>
    <x v="29"/>
    <n v="1"/>
    <s v="Sigma 10"/>
    <s v="Kernuves"/>
    <s v="Moibeles"/>
    <m/>
    <n v="12"/>
    <x v="6"/>
    <x v="36"/>
  </r>
  <r>
    <x v="0"/>
    <d v="2019-06-24T00:00:00"/>
    <x v="1"/>
    <x v="29"/>
    <n v="0"/>
    <s v="Sigma 10"/>
    <s v="Kernuves"/>
    <s v="Kaletnik PL"/>
    <n v="3"/>
    <n v="19"/>
    <x v="178"/>
    <x v="36"/>
  </r>
  <r>
    <x v="0"/>
    <d v="2019-06-25T00:00:00"/>
    <x v="1"/>
    <x v="29"/>
    <n v="1"/>
    <s v="Sigma 10"/>
    <s v="Genetiniai"/>
    <s v="Velbiskes"/>
    <n v="4"/>
    <n v="33"/>
    <x v="179"/>
    <x v="36"/>
  </r>
  <r>
    <x v="0"/>
    <d v="2019-06-26T00:00:00"/>
    <x v="1"/>
    <x v="29"/>
    <n v="1"/>
    <s v="Sigma 10"/>
    <s v="Dovydiskai"/>
    <s v="Dovydiskai"/>
    <m/>
    <n v="14"/>
    <x v="11"/>
    <x v="36"/>
  </r>
  <r>
    <x v="0"/>
    <d v="2019-06-26T00:00:00"/>
    <x v="1"/>
    <x v="29"/>
    <n v="0"/>
    <s v="Sigma 10"/>
    <s v="Dovydiskai"/>
    <s v="Pakalnes"/>
    <n v="2"/>
    <n v="40"/>
    <x v="86"/>
    <x v="36"/>
  </r>
  <r>
    <x v="0"/>
    <d v="2019-07-14T00:00:00"/>
    <x v="2"/>
    <x v="29"/>
    <n v="1"/>
    <s v="Sigma 10"/>
    <s v="Heimat"/>
    <s v="Geschinen, Mühle"/>
    <n v="1"/>
    <n v="29"/>
    <x v="155"/>
    <x v="2"/>
  </r>
  <r>
    <x v="0"/>
    <d v="2019-07-17T00:00:00"/>
    <x v="2"/>
    <x v="29"/>
    <n v="1"/>
    <s v="Sigma 10"/>
    <s v="Richinen"/>
    <s v="Baschi"/>
    <n v="1"/>
    <n v="8"/>
    <x v="54"/>
    <x v="2"/>
  </r>
  <r>
    <x v="0"/>
    <d v="2019-07-21T00:00:00"/>
    <x v="2"/>
    <x v="29"/>
    <n v="1"/>
    <s v="Sigma 10"/>
    <s v="Galfera"/>
    <s v="Fiesch"/>
    <n v="1"/>
    <n v="15"/>
    <x v="56"/>
    <x v="2"/>
  </r>
  <r>
    <x v="0"/>
    <d v="2019-07-22T00:00:00"/>
    <x v="2"/>
    <x v="29"/>
    <n v="1"/>
    <s v="Sigma 10"/>
    <s v="Richinen"/>
    <s v="Fiesch"/>
    <m/>
    <n v="30"/>
    <x v="8"/>
    <x v="2"/>
  </r>
  <r>
    <x v="0"/>
    <d v="2019-07-23T00:00:00"/>
    <x v="2"/>
    <x v="29"/>
    <n v="1"/>
    <s v="Sigma 10"/>
    <s v="Heimat"/>
    <s v="Fiesch"/>
    <n v="2"/>
    <n v="19"/>
    <x v="154"/>
    <x v="2"/>
  </r>
  <r>
    <x v="0"/>
    <d v="2019-07-29T00:00:00"/>
    <x v="2"/>
    <x v="29"/>
    <n v="1"/>
    <s v="Sigma 10"/>
    <s v="Steibenkreuz"/>
    <s v="Fiesch"/>
    <m/>
    <n v="36"/>
    <x v="39"/>
    <x v="2"/>
  </r>
  <r>
    <x v="0"/>
    <d v="2019-07-30T00:00:00"/>
    <x v="2"/>
    <x v="29"/>
    <n v="1"/>
    <s v="Sigma 10"/>
    <s v="Richinen"/>
    <s v="Baschi"/>
    <m/>
    <n v="30"/>
    <x v="8"/>
    <x v="2"/>
  </r>
  <r>
    <x v="0"/>
    <d v="2019-08-01T00:00:00"/>
    <x v="3"/>
    <x v="29"/>
    <n v="1"/>
    <s v="Sigma 10"/>
    <s v="Galfera"/>
    <s v="Baschi"/>
    <n v="1"/>
    <n v="43"/>
    <x v="106"/>
    <x v="2"/>
  </r>
  <r>
    <x v="0"/>
    <d v="2019-08-03T00:00:00"/>
    <x v="3"/>
    <x v="29"/>
    <n v="1"/>
    <s v="Sigma 10"/>
    <s v="Heimat"/>
    <s v="Fiesch"/>
    <m/>
    <n v="41"/>
    <x v="115"/>
    <x v="2"/>
  </r>
  <r>
    <x v="0"/>
    <d v="2019-08-04T00:00:00"/>
    <x v="3"/>
    <x v="29"/>
    <n v="1"/>
    <s v="Sigma 10"/>
    <s v="Galfera"/>
    <s v="Fiesch"/>
    <n v="1"/>
    <n v="38"/>
    <x v="128"/>
    <x v="2"/>
  </r>
  <r>
    <x v="0"/>
    <d v="2019-08-08T00:00:00"/>
    <x v="3"/>
    <x v="29"/>
    <n v="1"/>
    <s v="Sigma 10"/>
    <s v="Richinen"/>
    <s v="Baschi"/>
    <n v="1"/>
    <n v="4"/>
    <x v="38"/>
    <x v="2"/>
  </r>
  <r>
    <x v="0"/>
    <d v="2019-08-09T00:00:00"/>
    <x v="3"/>
    <x v="29"/>
    <n v="1"/>
    <s v="Sigma 10"/>
    <s v="Steibenkreuz"/>
    <s v="Kapelle"/>
    <m/>
    <n v="20"/>
    <x v="5"/>
    <x v="2"/>
  </r>
  <r>
    <x v="0"/>
    <d v="2019-08-25T00:00:00"/>
    <x v="3"/>
    <x v="29"/>
    <n v="1"/>
    <s v="Sigma 10"/>
    <s v="Patara Lilo / Tbilisi"/>
    <s v="Patara Lilo / Tbilisi"/>
    <m/>
    <n v="5"/>
    <x v="2"/>
    <x v="40"/>
  </r>
  <r>
    <x v="0"/>
    <d v="2019-08-26T00:00:00"/>
    <x v="3"/>
    <x v="29"/>
    <n v="1"/>
    <s v="Sigma 10"/>
    <s v="Akhalsopeli unten"/>
    <s v="Hotel Shakoshvili's Cellar"/>
    <n v="2"/>
    <n v="13"/>
    <x v="107"/>
    <x v="40"/>
  </r>
  <r>
    <x v="0"/>
    <d v="2019-08-27T00:00:00"/>
    <x v="3"/>
    <x v="29"/>
    <n v="1"/>
    <s v="Sigma 10"/>
    <s v="Akhalsopeli oben"/>
    <s v="Hotel Shakoshvili's Cellar"/>
    <n v="1"/>
    <n v="32"/>
    <x v="32"/>
    <x v="40"/>
  </r>
  <r>
    <x v="0"/>
    <d v="2019-08-28T00:00:00"/>
    <x v="3"/>
    <x v="29"/>
    <n v="1"/>
    <s v="Sigma 10"/>
    <s v="Akhalsopeli unten"/>
    <s v="Lalisguri"/>
    <n v="3"/>
    <n v="23"/>
    <x v="180"/>
    <x v="40"/>
  </r>
  <r>
    <x v="0"/>
    <d v="2019-08-29T00:00:00"/>
    <x v="3"/>
    <x v="29"/>
    <n v="1"/>
    <s v="Sigma 10"/>
    <s v="Zaridzeebi"/>
    <s v="Naoza"/>
    <n v="2"/>
    <n v="23"/>
    <x v="121"/>
    <x v="40"/>
  </r>
  <r>
    <x v="0"/>
    <d v="2019-09-01T00:00:00"/>
    <x v="4"/>
    <x v="29"/>
    <n v="1"/>
    <s v="Sigma 10"/>
    <s v="Cloudbase Hut Mestia"/>
    <s v="Mestia"/>
    <n v="2"/>
    <n v="57"/>
    <x v="181"/>
    <x v="40"/>
  </r>
  <r>
    <x v="0"/>
    <d v="2019-09-02T00:00:00"/>
    <x v="4"/>
    <x v="29"/>
    <n v="1"/>
    <s v="Sigma 10"/>
    <s v="Cloudbase Hut Mestia"/>
    <s v="Mestia"/>
    <n v="1"/>
    <n v="8"/>
    <x v="54"/>
    <x v="40"/>
  </r>
  <r>
    <x v="0"/>
    <d v="2019-09-03T00:00:00"/>
    <x v="4"/>
    <x v="29"/>
    <n v="1"/>
    <s v="Sigma 10"/>
    <s v="Latpari Pass"/>
    <s v="Liuji"/>
    <n v="1"/>
    <n v="11"/>
    <x v="60"/>
    <x v="40"/>
  </r>
  <r>
    <x v="0"/>
    <d v="2019-09-04T00:00:00"/>
    <x v="4"/>
    <x v="29"/>
    <n v="1"/>
    <s v="Sigma 10"/>
    <s v="Goudauri Khada Hut"/>
    <s v="Goudauri Viewing Point"/>
    <m/>
    <n v="52"/>
    <x v="37"/>
    <x v="40"/>
  </r>
  <r>
    <x v="0"/>
    <d v="2019-09-04T00:00:00"/>
    <x v="4"/>
    <x v="29"/>
    <n v="0"/>
    <s v="Sigma 10"/>
    <s v="Goudauri Khada Hut"/>
    <s v="Seturni"/>
    <n v="1"/>
    <n v="6"/>
    <x v="44"/>
    <x v="40"/>
  </r>
  <r>
    <x v="0"/>
    <d v="2019-09-05T00:00:00"/>
    <x v="4"/>
    <x v="29"/>
    <n v="1"/>
    <s v="Sigma 10"/>
    <s v="Goudauri Pass"/>
    <s v="Ganisi"/>
    <m/>
    <n v="33"/>
    <x v="59"/>
    <x v="40"/>
  </r>
  <r>
    <x v="0"/>
    <d v="2019-09-06T00:00:00"/>
    <x v="4"/>
    <x v="29"/>
    <n v="1"/>
    <s v="Sigma 10"/>
    <s v="Patara Lilo / Tbilisi"/>
    <s v="Patara Lilo / Tbilisi"/>
    <m/>
    <n v="6"/>
    <x v="0"/>
    <x v="40"/>
  </r>
  <r>
    <x v="0"/>
    <d v="2019-09-06T00:00:00"/>
    <x v="4"/>
    <x v="29"/>
    <n v="0"/>
    <s v="Sigma 10"/>
    <s v="Patara Lilo / Tbilisi"/>
    <s v="Patara Lilo / Tbilisi"/>
    <m/>
    <n v="6"/>
    <x v="0"/>
    <x v="40"/>
  </r>
  <r>
    <x v="0"/>
    <d v="2019-09-06T00:00:00"/>
    <x v="4"/>
    <x v="29"/>
    <n v="0"/>
    <s v="Sigma 10"/>
    <s v="Patara Lilo / Tbilisi"/>
    <s v="Patara Lilo / Tbilisi"/>
    <n v="1"/>
    <n v="11"/>
    <x v="60"/>
    <x v="40"/>
  </r>
  <r>
    <x v="0"/>
    <d v="2019-09-09T00:00:00"/>
    <x v="4"/>
    <x v="29"/>
    <n v="1"/>
    <s v="Sigma 10"/>
    <s v="Richinen"/>
    <s v="Fiesch"/>
    <n v="1"/>
    <n v="17"/>
    <x v="73"/>
    <x v="2"/>
  </r>
  <r>
    <x v="0"/>
    <d v="2019-09-11T00:00:00"/>
    <x v="4"/>
    <x v="29"/>
    <n v="1"/>
    <s v="Sigma 10"/>
    <s v="Richinen"/>
    <s v="Baschi"/>
    <n v="1"/>
    <n v="36"/>
    <x v="55"/>
    <x v="2"/>
  </r>
  <r>
    <x v="0"/>
    <d v="2019-09-12T00:00:00"/>
    <x v="4"/>
    <x v="29"/>
    <n v="1"/>
    <s v="Sigma 10"/>
    <s v="Richinen"/>
    <s v="Fiesch"/>
    <m/>
    <n v="20"/>
    <x v="5"/>
    <x v="2"/>
  </r>
  <r>
    <x v="0"/>
    <d v="2019-09-12T00:00:00"/>
    <x v="4"/>
    <x v="29"/>
    <n v="0"/>
    <s v="Sigma 10"/>
    <s v="Heimat"/>
    <s v="Fiesch"/>
    <n v="2"/>
    <n v="20"/>
    <x v="130"/>
    <x v="2"/>
  </r>
  <r>
    <x v="0"/>
    <d v="2019-09-13T00:00:00"/>
    <x v="4"/>
    <x v="29"/>
    <n v="1"/>
    <s v="Sigma 10"/>
    <s v="Richinen"/>
    <s v="Fiesch"/>
    <m/>
    <n v="33"/>
    <x v="59"/>
    <x v="2"/>
  </r>
  <r>
    <x v="4"/>
    <d v="2019-09-14T00:00:00"/>
    <x v="4"/>
    <x v="29"/>
    <n v="1"/>
    <s v="Magnum 3"/>
    <s v="Galfera"/>
    <s v="Ritzinger Feld"/>
    <n v="2"/>
    <n v="29"/>
    <x v="93"/>
    <x v="2"/>
  </r>
  <r>
    <x v="0"/>
    <d v="2019-09-15T00:00:00"/>
    <x v="4"/>
    <x v="29"/>
    <n v="1"/>
    <s v="Sigma 10"/>
    <s v="Blauherd"/>
    <s v="Zermatt"/>
    <m/>
    <n v="19"/>
    <x v="20"/>
    <x v="2"/>
  </r>
  <r>
    <x v="0"/>
    <d v="2019-09-15T00:00:00"/>
    <x v="4"/>
    <x v="29"/>
    <n v="0"/>
    <s v="Sigma 10"/>
    <s v="Riffelberg"/>
    <s v="Zermatt"/>
    <m/>
    <n v="31"/>
    <x v="103"/>
    <x v="2"/>
  </r>
  <r>
    <x v="0"/>
    <d v="2019-09-19T00:00:00"/>
    <x v="4"/>
    <x v="29"/>
    <n v="1"/>
    <s v="Sigma 10"/>
    <s v="Richinen"/>
    <s v="Fiesch"/>
    <n v="1"/>
    <n v="43"/>
    <x v="106"/>
    <x v="2"/>
  </r>
  <r>
    <x v="0"/>
    <d v="2019-09-20T00:00:00"/>
    <x v="4"/>
    <x v="29"/>
    <n v="1"/>
    <s v="Sigma 10"/>
    <s v="Heimat"/>
    <s v="Fiesch"/>
    <n v="1"/>
    <n v="14"/>
    <x v="149"/>
    <x v="2"/>
  </r>
  <r>
    <x v="0"/>
    <d v="2019-10-06T00:00:00"/>
    <x v="5"/>
    <x v="29"/>
    <n v="1"/>
    <s v="Sigma 10"/>
    <s v="Chalves W"/>
    <s v="St. André"/>
    <n v="2"/>
    <n v="5"/>
    <x v="65"/>
    <x v="28"/>
  </r>
  <r>
    <x v="0"/>
    <d v="2019-10-07T00:00:00"/>
    <x v="5"/>
    <x v="29"/>
    <n v="1"/>
    <s v="Sigma 10"/>
    <s v="St Vincent Les Forts"/>
    <s v="St Vincent Les Forts"/>
    <m/>
    <n v="17"/>
    <x v="26"/>
    <x v="28"/>
  </r>
  <r>
    <x v="0"/>
    <d v="2019-10-07T00:00:00"/>
    <x v="5"/>
    <x v="29"/>
    <n v="0"/>
    <s v="Sigma 10"/>
    <s v="St Vincent Les Forts"/>
    <s v="St Vincent Les Forts"/>
    <n v="2"/>
    <n v="17"/>
    <x v="70"/>
    <x v="28"/>
  </r>
  <r>
    <x v="0"/>
    <d v="2019-10-07T00:00:00"/>
    <x v="5"/>
    <x v="29"/>
    <n v="0"/>
    <s v="Sigma 10"/>
    <s v="St Vincent Les Forts"/>
    <s v="St Vincent Les Forts"/>
    <m/>
    <n v="24"/>
    <x v="61"/>
    <x v="28"/>
  </r>
  <r>
    <x v="0"/>
    <d v="2019-10-08T00:00:00"/>
    <x v="5"/>
    <x v="29"/>
    <n v="1"/>
    <s v="Sigma 10"/>
    <s v="Montdenir - Moustiers-Sainte-Marie"/>
    <s v="Lac du Sainte-Croix NO"/>
    <m/>
    <n v="2"/>
    <x v="16"/>
    <x v="28"/>
  </r>
  <r>
    <x v="0"/>
    <d v="2019-10-09T00:00:00"/>
    <x v="5"/>
    <x v="29"/>
    <n v="1"/>
    <s v="Sigma 10"/>
    <s v="Chalves W"/>
    <s v="St. André"/>
    <m/>
    <n v="9"/>
    <x v="22"/>
    <x v="28"/>
  </r>
  <r>
    <x v="0"/>
    <d v="2019-10-10T00:00:00"/>
    <x v="5"/>
    <x v="29"/>
    <n v="1"/>
    <s v="Sigma 10"/>
    <s v="St Vincent Les Forts"/>
    <s v="St Vincent Les Forts"/>
    <n v="1"/>
    <n v="5"/>
    <x v="45"/>
    <x v="28"/>
  </r>
  <r>
    <x v="0"/>
    <d v="2019-10-10T00:00:00"/>
    <x v="5"/>
    <x v="29"/>
    <n v="0"/>
    <s v="Sigma 10"/>
    <s v="St Vincent Les Forts"/>
    <s v="St Vincent Les Forts"/>
    <m/>
    <n v="29"/>
    <x v="85"/>
    <x v="28"/>
  </r>
  <r>
    <x v="0"/>
    <d v="2019-10-10T00:00:00"/>
    <x v="5"/>
    <x v="29"/>
    <n v="0"/>
    <s v="Sigma 10"/>
    <s v="St Vincent Les Forts"/>
    <s v="St Vincent Les Forts"/>
    <m/>
    <n v="31"/>
    <x v="103"/>
    <x v="28"/>
  </r>
  <r>
    <x v="0"/>
    <d v="2019-10-10T00:00:00"/>
    <x v="5"/>
    <x v="29"/>
    <n v="0"/>
    <s v="Sigma 10"/>
    <s v="St Vincent Les Forts"/>
    <s v="St Vincent Les Forts"/>
    <m/>
    <n v="22"/>
    <x v="42"/>
    <x v="28"/>
  </r>
  <r>
    <x v="0"/>
    <d v="2019-10-11T00:00:00"/>
    <x v="5"/>
    <x v="29"/>
    <n v="1"/>
    <s v="Sigma 10"/>
    <s v="Chalves S"/>
    <s v="St. André"/>
    <n v="3"/>
    <n v="29"/>
    <x v="182"/>
    <x v="28"/>
  </r>
  <r>
    <x v="0"/>
    <d v="2019-10-11T00:00:00"/>
    <x v="5"/>
    <x v="29"/>
    <n v="0"/>
    <s v="Sigma 10"/>
    <s v="Chalves W"/>
    <s v="St. André"/>
    <n v="1"/>
    <n v="29"/>
    <x v="155"/>
    <x v="28"/>
  </r>
  <r>
    <x v="0"/>
    <d v="2019-10-12T00:00:00"/>
    <x v="5"/>
    <x v="29"/>
    <n v="1"/>
    <s v="Sigma 10"/>
    <s v="Aspres sur Buech"/>
    <s v="Aspres sur Buech"/>
    <m/>
    <n v="26"/>
    <x v="134"/>
    <x v="28"/>
  </r>
  <r>
    <x v="0"/>
    <d v="2019-10-26T00:00:00"/>
    <x v="5"/>
    <x v="29"/>
    <n v="1"/>
    <s v="Sigma 10"/>
    <s v="Heimat"/>
    <s v="Fiesch"/>
    <m/>
    <n v="45"/>
    <x v="27"/>
    <x v="2"/>
  </r>
  <r>
    <x v="0"/>
    <d v="2019-10-26T00:00:00"/>
    <x v="5"/>
    <x v="29"/>
    <n v="0"/>
    <s v="Sigma 10"/>
    <s v="Chalet Ü50"/>
    <s v="Baschi"/>
    <n v="1"/>
    <n v="1"/>
    <x v="31"/>
    <x v="2"/>
  </r>
  <r>
    <x v="0"/>
    <d v="2019-10-27T00:00:00"/>
    <x v="5"/>
    <x v="29"/>
    <n v="1"/>
    <s v="Sigma 10"/>
    <s v="Chalet Ü50"/>
    <s v="Fiesch"/>
    <n v="1"/>
    <n v="21"/>
    <x v="140"/>
    <x v="2"/>
  </r>
  <r>
    <x v="0"/>
    <d v="2019-12-06T00:00:00"/>
    <x v="10"/>
    <x v="29"/>
    <n v="1"/>
    <s v="Sigma 10"/>
    <s v="Heimat"/>
    <s v="Fiesch"/>
    <m/>
    <n v="39"/>
    <x v="131"/>
    <x v="2"/>
  </r>
  <r>
    <x v="0"/>
    <d v="2019-12-30T00:00:00"/>
    <x v="10"/>
    <x v="29"/>
    <n v="1"/>
    <s v="Sigma 10"/>
    <s v="Steibenkreuz"/>
    <s v="Fiesch"/>
    <m/>
    <n v="34"/>
    <x v="50"/>
    <x v="2"/>
  </r>
  <r>
    <x v="0"/>
    <d v="2020-01-01T00:00:00"/>
    <x v="11"/>
    <x v="30"/>
    <n v="1"/>
    <s v="Sigma 10"/>
    <s v="Heimat"/>
    <s v="Fiesch"/>
    <m/>
    <n v="47"/>
    <x v="132"/>
    <x v="2"/>
  </r>
  <r>
    <x v="0"/>
    <d v="2020-01-02T00:00:00"/>
    <x v="11"/>
    <x v="30"/>
    <n v="1"/>
    <s v="Sigma 10"/>
    <s v="Steibenkreuz"/>
    <s v="Fiesch"/>
    <m/>
    <n v="33"/>
    <x v="59"/>
    <x v="2"/>
  </r>
  <r>
    <x v="0"/>
    <d v="2020-01-14T00:00:00"/>
    <x v="11"/>
    <x v="30"/>
    <n v="1"/>
    <s v="Sigma 10"/>
    <s v="Formosa /Argeintinien"/>
    <s v="Formosa /Argeintinien"/>
    <m/>
    <n v="10"/>
    <x v="4"/>
    <x v="41"/>
  </r>
  <r>
    <x v="0"/>
    <d v="2020-01-14T00:00:00"/>
    <x v="11"/>
    <x v="30"/>
    <n v="0"/>
    <s v="Sigma 10"/>
    <s v="Formosa /Argeintinien"/>
    <s v="Formosa /Argeintinien"/>
    <m/>
    <n v="13"/>
    <x v="18"/>
    <x v="41"/>
  </r>
  <r>
    <x v="0"/>
    <d v="2020-01-16T00:00:00"/>
    <x v="11"/>
    <x v="30"/>
    <n v="1"/>
    <s v="Sigma 10"/>
    <s v="Parana/Argentinien"/>
    <s v="Parana/Argentinien"/>
    <n v="2"/>
    <n v="23"/>
    <x v="121"/>
    <x v="41"/>
  </r>
  <r>
    <x v="0"/>
    <d v="2020-01-17T00:00:00"/>
    <x v="11"/>
    <x v="30"/>
    <n v="1"/>
    <s v="Sigma 10"/>
    <s v="Maria Grande/Argentinien"/>
    <s v="San Benito/Argentinien"/>
    <n v="1"/>
    <n v="46"/>
    <x v="170"/>
    <x v="41"/>
  </r>
  <r>
    <x v="0"/>
    <d v="2020-01-18T00:00:00"/>
    <x v="11"/>
    <x v="30"/>
    <n v="1"/>
    <s v="Sigma 10"/>
    <s v="Sauce de Luna/Argentinien"/>
    <s v="Sauce de Luna/Argentinien"/>
    <m/>
    <n v="16"/>
    <x v="19"/>
    <x v="41"/>
  </r>
  <r>
    <x v="0"/>
    <d v="2020-01-18T00:00:00"/>
    <x v="11"/>
    <x v="30"/>
    <n v="0"/>
    <s v="Sigma 10"/>
    <s v="Sauce de Luna/Argentinien"/>
    <s v="Sauce de Luna/Argentinien"/>
    <m/>
    <n v="25"/>
    <x v="52"/>
    <x v="41"/>
  </r>
  <r>
    <x v="0"/>
    <d v="2020-01-18T00:00:00"/>
    <x v="11"/>
    <x v="30"/>
    <n v="0"/>
    <s v="Sigma 10"/>
    <s v="Sauce de Luna/Argentinien"/>
    <s v="Sauce de Luna/Argentinien"/>
    <m/>
    <n v="19"/>
    <x v="20"/>
    <x v="41"/>
  </r>
  <r>
    <x v="0"/>
    <d v="2020-01-19T00:00:00"/>
    <x v="11"/>
    <x v="30"/>
    <n v="1"/>
    <s v="Sigma 10"/>
    <s v="Club le Planeadores Parana/Argentinien"/>
    <s v="Club le Planeadores Parana/Argentinien"/>
    <m/>
    <n v="22"/>
    <x v="42"/>
    <x v="41"/>
  </r>
  <r>
    <x v="0"/>
    <d v="2020-01-19T00:00:00"/>
    <x v="11"/>
    <x v="30"/>
    <n v="0"/>
    <s v="Sigma 10"/>
    <s v="Club le Planeadores Parana/Argentinien"/>
    <s v="Club le Planeadores Parana/Argentinien"/>
    <m/>
    <n v="10"/>
    <x v="4"/>
    <x v="41"/>
  </r>
  <r>
    <x v="0"/>
    <d v="2020-01-19T00:00:00"/>
    <x v="11"/>
    <x v="30"/>
    <n v="0"/>
    <s v="Sigma 10"/>
    <s v="Club le Planeadores Parana/Argentinien"/>
    <s v="Club le Planeadores Parana/Argentinien"/>
    <m/>
    <n v="10"/>
    <x v="4"/>
    <x v="41"/>
  </r>
  <r>
    <x v="0"/>
    <d v="2020-01-20T00:00:00"/>
    <x v="11"/>
    <x v="30"/>
    <n v="1"/>
    <s v="Sigma 10"/>
    <s v="Casilda"/>
    <s v="Casilda"/>
    <m/>
    <n v="16"/>
    <x v="19"/>
    <x v="41"/>
  </r>
  <r>
    <x v="0"/>
    <d v="2020-01-22T00:00:00"/>
    <x v="11"/>
    <x v="30"/>
    <n v="1"/>
    <s v="Sigma 10"/>
    <s v="Vagues"/>
    <s v="Vagues"/>
    <m/>
    <n v="13"/>
    <x v="18"/>
    <x v="41"/>
  </r>
  <r>
    <x v="0"/>
    <d v="2020-01-22T00:00:00"/>
    <x v="11"/>
    <x v="30"/>
    <n v="0"/>
    <s v="Sigma 10"/>
    <s v="Vagues"/>
    <s v="Vagues"/>
    <m/>
    <n v="5"/>
    <x v="2"/>
    <x v="41"/>
  </r>
  <r>
    <x v="0"/>
    <d v="2020-01-22T00:00:00"/>
    <x v="11"/>
    <x v="30"/>
    <n v="0"/>
    <s v="Sigma 10"/>
    <s v="Vagues"/>
    <s v="Vagues"/>
    <m/>
    <n v="18"/>
    <x v="57"/>
    <x v="41"/>
  </r>
  <r>
    <x v="0"/>
    <d v="2020-01-22T00:00:00"/>
    <x v="11"/>
    <x v="30"/>
    <n v="0"/>
    <s v="Sigma 10"/>
    <s v="Vagues"/>
    <s v="Vagues"/>
    <m/>
    <n v="10"/>
    <x v="4"/>
    <x v="41"/>
  </r>
  <r>
    <x v="0"/>
    <d v="2020-01-22T00:00:00"/>
    <x v="11"/>
    <x v="30"/>
    <n v="0"/>
    <s v="Sigma 10"/>
    <s v="Vagues"/>
    <s v="Capitan Sarmiento"/>
    <n v="1"/>
    <n v="34"/>
    <x v="13"/>
    <x v="41"/>
  </r>
  <r>
    <x v="0"/>
    <d v="2020-01-23T00:00:00"/>
    <x v="11"/>
    <x v="30"/>
    <n v="1"/>
    <s v="Sigma 10"/>
    <s v="Solis"/>
    <s v="Suipacha"/>
    <n v="2"/>
    <n v="33"/>
    <x v="124"/>
    <x v="41"/>
  </r>
  <r>
    <x v="0"/>
    <d v="2020-01-24T00:00:00"/>
    <x v="11"/>
    <x v="30"/>
    <n v="1"/>
    <s v="Sigma 10"/>
    <s v="San Antonio"/>
    <s v="San Antonio"/>
    <m/>
    <n v="56"/>
    <x v="68"/>
    <x v="41"/>
  </r>
  <r>
    <x v="0"/>
    <d v="2020-01-24T00:00:00"/>
    <x v="11"/>
    <x v="30"/>
    <n v="0"/>
    <s v="Sigma 10"/>
    <s v="San Antonio"/>
    <s v="Chapicuy"/>
    <n v="2"/>
    <n v="55"/>
    <x v="183"/>
    <x v="41"/>
  </r>
  <r>
    <x v="0"/>
    <d v="2020-01-25T00:00:00"/>
    <x v="11"/>
    <x v="30"/>
    <n v="1"/>
    <s v="Sigma 10"/>
    <s v="La Rosadita"/>
    <s v="La Rosadita"/>
    <m/>
    <n v="12"/>
    <x v="6"/>
    <x v="41"/>
  </r>
  <r>
    <x v="0"/>
    <d v="2020-01-25T00:00:00"/>
    <x v="11"/>
    <x v="30"/>
    <n v="0"/>
    <s v="Sigma 10"/>
    <s v="La Rosadita"/>
    <s v="La Rosadita"/>
    <m/>
    <n v="26"/>
    <x v="134"/>
    <x v="41"/>
  </r>
  <r>
    <x v="0"/>
    <d v="2020-01-27T00:00:00"/>
    <x v="11"/>
    <x v="30"/>
    <n v="1"/>
    <s v="Sigma 10"/>
    <s v="Santa Elena"/>
    <s v="Ginebra"/>
    <n v="2"/>
    <m/>
    <x v="10"/>
    <x v="29"/>
  </r>
  <r>
    <x v="0"/>
    <d v="2020-01-28T00:00:00"/>
    <x v="11"/>
    <x v="30"/>
    <n v="1"/>
    <s v="Sigma 10"/>
    <s v="Santa Elena"/>
    <s v="Santa Elena"/>
    <n v="1"/>
    <n v="47"/>
    <x v="175"/>
    <x v="29"/>
  </r>
  <r>
    <x v="0"/>
    <d v="2020-01-29T00:00:00"/>
    <x v="11"/>
    <x v="30"/>
    <n v="1"/>
    <s v="Sigma 10"/>
    <s v="Santa Elena"/>
    <s v="Santa Elena"/>
    <n v="2"/>
    <n v="31"/>
    <x v="184"/>
    <x v="29"/>
  </r>
  <r>
    <x v="0"/>
    <d v="2020-01-30T00:00:00"/>
    <x v="11"/>
    <x v="30"/>
    <n v="1"/>
    <s v="Sigma 10"/>
    <s v="Santa Elena"/>
    <s v="El Overo"/>
    <n v="3"/>
    <n v="57"/>
    <x v="185"/>
    <x v="29"/>
  </r>
  <r>
    <x v="0"/>
    <d v="2020-01-31T00:00:00"/>
    <x v="11"/>
    <x v="30"/>
    <n v="1"/>
    <s v="Sigma 10"/>
    <s v="Roldanillo"/>
    <s v="La Union"/>
    <n v="4"/>
    <n v="13"/>
    <x v="186"/>
    <x v="29"/>
  </r>
  <r>
    <x v="0"/>
    <d v="2020-02-01T00:00:00"/>
    <x v="7"/>
    <x v="30"/>
    <n v="1"/>
    <s v="Sigma 10"/>
    <s v="Roldanillo"/>
    <s v="La Victoria"/>
    <n v="5"/>
    <n v="37"/>
    <x v="187"/>
    <x v="29"/>
  </r>
  <r>
    <x v="0"/>
    <d v="2020-02-02T00:00:00"/>
    <x v="7"/>
    <x v="30"/>
    <n v="1"/>
    <s v="Sigma 10"/>
    <s v="Roldanillo"/>
    <s v="La Union"/>
    <n v="1"/>
    <n v="23"/>
    <x v="102"/>
    <x v="29"/>
  </r>
  <r>
    <x v="0"/>
    <d v="2020-02-03T00:00:00"/>
    <x v="7"/>
    <x v="30"/>
    <n v="1"/>
    <s v="Sigma 10"/>
    <s v="Roldanillo"/>
    <s v="Ansermanuevo"/>
    <n v="3"/>
    <n v="6"/>
    <x v="123"/>
    <x v="29"/>
  </r>
  <r>
    <x v="0"/>
    <d v="2020-02-04T00:00:00"/>
    <x v="7"/>
    <x v="30"/>
    <n v="1"/>
    <s v="Sigma 10"/>
    <s v="Ansermanuevo"/>
    <s v="Obando"/>
    <n v="3"/>
    <n v="52"/>
    <x v="188"/>
    <x v="29"/>
  </r>
  <r>
    <x v="0"/>
    <d v="2020-02-05T00:00:00"/>
    <x v="7"/>
    <x v="30"/>
    <n v="1"/>
    <s v="Sigma 10"/>
    <s v="Ansermanuevo"/>
    <s v="Ansermanuevo"/>
    <n v="5"/>
    <n v="7"/>
    <x v="189"/>
    <x v="29"/>
  </r>
  <r>
    <x v="0"/>
    <d v="2020-02-06T00:00:00"/>
    <x v="7"/>
    <x v="30"/>
    <n v="1"/>
    <s v="Sigma 10"/>
    <s v="El Aguila"/>
    <s v="Valle del Caica"/>
    <n v="1"/>
    <n v="46"/>
    <x v="170"/>
    <x v="29"/>
  </r>
  <r>
    <x v="0"/>
    <d v="2020-02-07T00:00:00"/>
    <x v="7"/>
    <x v="30"/>
    <n v="1"/>
    <s v="Sigma 10"/>
    <s v="Ansermanuevo"/>
    <s v="Los Chancos"/>
    <n v="5"/>
    <n v="4"/>
    <x v="190"/>
    <x v="29"/>
  </r>
  <r>
    <x v="0"/>
    <d v="2020-02-22T00:00:00"/>
    <x v="7"/>
    <x v="30"/>
    <n v="1"/>
    <s v="Sigma 10"/>
    <s v="Heimat"/>
    <s v="Fiesch"/>
    <m/>
    <n v="40"/>
    <x v="33"/>
    <x v="2"/>
  </r>
  <r>
    <x v="0"/>
    <d v="2020-03-17T00:00:00"/>
    <x v="8"/>
    <x v="30"/>
    <n v="1"/>
    <s v="Sigma 10"/>
    <s v="Heimat"/>
    <s v="Fiesch"/>
    <n v="1"/>
    <n v="50"/>
    <x v="36"/>
    <x v="2"/>
  </r>
  <r>
    <x v="0"/>
    <d v="2020-03-18T00:00:00"/>
    <x v="8"/>
    <x v="30"/>
    <n v="1"/>
    <s v="Sigma 10"/>
    <s v="Steibenkreuz"/>
    <s v="Fiesch"/>
    <n v="1"/>
    <n v="14"/>
    <x v="149"/>
    <x v="2"/>
  </r>
  <r>
    <x v="0"/>
    <d v="2020-04-10T00:00:00"/>
    <x v="9"/>
    <x v="30"/>
    <n v="1"/>
    <s v="Sigma 10"/>
    <s v="Mutti"/>
    <s v="Ritzinger Feld"/>
    <m/>
    <n v="39"/>
    <x v="131"/>
    <x v="2"/>
  </r>
  <r>
    <x v="0"/>
    <d v="2020-04-26T00:00:00"/>
    <x v="9"/>
    <x v="30"/>
    <n v="1"/>
    <s v="Sigma 10"/>
    <s v="Mutti"/>
    <s v="Fiesch"/>
    <m/>
    <n v="33"/>
    <x v="59"/>
    <x v="2"/>
  </r>
  <r>
    <x v="0"/>
    <d v="2020-05-07T00:00:00"/>
    <x v="0"/>
    <x v="30"/>
    <n v="1"/>
    <s v="Sigma 10"/>
    <s v="Mutti"/>
    <s v="Ulrichen"/>
    <n v="1"/>
    <n v="36"/>
    <x v="55"/>
    <x v="2"/>
  </r>
  <r>
    <x v="0"/>
    <d v="2020-05-17T00:00:00"/>
    <x v="0"/>
    <x v="30"/>
    <n v="1"/>
    <s v="Sigma 10"/>
    <s v="Mutti"/>
    <s v="Fiesch"/>
    <n v="1"/>
    <n v="5"/>
    <x v="45"/>
    <x v="2"/>
  </r>
  <r>
    <x v="0"/>
    <d v="2020-05-21T00:00:00"/>
    <x v="0"/>
    <x v="30"/>
    <n v="1"/>
    <s v="Sigma 10"/>
    <s v="Mutti"/>
    <s v="Obergestlen"/>
    <n v="1"/>
    <n v="9"/>
    <x v="116"/>
    <x v="2"/>
  </r>
  <r>
    <x v="0"/>
    <d v="2020-05-31T00:00:00"/>
    <x v="0"/>
    <x v="30"/>
    <n v="1"/>
    <s v="Sigma 10"/>
    <s v="Heimat"/>
    <s v="Fiesch"/>
    <n v="1"/>
    <n v="25"/>
    <x v="113"/>
    <x v="2"/>
  </r>
  <r>
    <x v="0"/>
    <d v="2020-06-03T00:00:00"/>
    <x v="1"/>
    <x v="30"/>
    <n v="1"/>
    <s v="Sigma 10"/>
    <s v="Heimat"/>
    <s v="Fiesch"/>
    <m/>
    <n v="31"/>
    <x v="103"/>
    <x v="2"/>
  </r>
  <r>
    <x v="0"/>
    <d v="2020-06-20T00:00:00"/>
    <x v="1"/>
    <x v="30"/>
    <n v="1"/>
    <s v="Sigma 10"/>
    <s v="Atkociai"/>
    <s v="Atkociai"/>
    <m/>
    <n v="13"/>
    <x v="18"/>
    <x v="36"/>
  </r>
  <r>
    <x v="0"/>
    <d v="2020-06-20T00:00:00"/>
    <x v="1"/>
    <x v="30"/>
    <n v="0"/>
    <s v="Sigma 10"/>
    <s v="Atkociai"/>
    <s v="Zeimeliai"/>
    <m/>
    <n v="50"/>
    <x v="40"/>
    <x v="36"/>
  </r>
  <r>
    <x v="0"/>
    <d v="2020-06-21T00:00:00"/>
    <x v="1"/>
    <x v="30"/>
    <n v="1"/>
    <s v="Sigma 10"/>
    <s v="Valkininku aerodromas"/>
    <s v="Valkininku aerodromas"/>
    <m/>
    <n v="23"/>
    <x v="92"/>
    <x v="36"/>
  </r>
  <r>
    <x v="0"/>
    <d v="2020-06-22T00:00:00"/>
    <x v="1"/>
    <x v="30"/>
    <n v="1"/>
    <s v="Sigma 10"/>
    <s v="Antandraja"/>
    <s v="Ausra"/>
    <n v="1"/>
    <n v="14"/>
    <x v="149"/>
    <x v="36"/>
  </r>
  <r>
    <x v="0"/>
    <d v="2020-06-23T00:00:00"/>
    <x v="1"/>
    <x v="30"/>
    <n v="1"/>
    <s v="Sigma 10"/>
    <s v="Antandraja"/>
    <s v="Gelezine"/>
    <n v="1"/>
    <n v="26"/>
    <x v="64"/>
    <x v="36"/>
  </r>
  <r>
    <x v="0"/>
    <d v="2020-06-23T00:00:00"/>
    <x v="1"/>
    <x v="30"/>
    <n v="0"/>
    <s v="Sigma 10"/>
    <s v="Libertava"/>
    <s v="Kurklintisiai"/>
    <m/>
    <n v="47"/>
    <x v="132"/>
    <x v="36"/>
  </r>
  <r>
    <x v="0"/>
    <d v="2020-06-24T00:00:00"/>
    <x v="1"/>
    <x v="30"/>
    <n v="1"/>
    <s v="Sigma 10"/>
    <s v="Antandraja"/>
    <s v="Ariogala"/>
    <n v="5"/>
    <n v="25"/>
    <x v="191"/>
    <x v="36"/>
  </r>
  <r>
    <x v="0"/>
    <d v="2020-06-25T00:00:00"/>
    <x v="1"/>
    <x v="30"/>
    <n v="1"/>
    <s v="Sigma 10"/>
    <s v="Antaksciai"/>
    <s v="Antaksciai"/>
    <m/>
    <n v="10"/>
    <x v="4"/>
    <x v="36"/>
  </r>
  <r>
    <x v="0"/>
    <d v="2020-06-25T00:00:00"/>
    <x v="1"/>
    <x v="30"/>
    <n v="0"/>
    <s v="Sigma 10"/>
    <s v="Antaksciai"/>
    <s v="Antaksciai"/>
    <m/>
    <n v="17"/>
    <x v="26"/>
    <x v="36"/>
  </r>
  <r>
    <x v="0"/>
    <d v="2020-06-25T00:00:00"/>
    <x v="1"/>
    <x v="30"/>
    <n v="0"/>
    <s v="Sigma 10"/>
    <s v="Antaksciai"/>
    <s v="Antaksciai"/>
    <m/>
    <n v="12"/>
    <x v="6"/>
    <x v="36"/>
  </r>
  <r>
    <x v="0"/>
    <d v="2020-06-25T00:00:00"/>
    <x v="1"/>
    <x v="30"/>
    <n v="0"/>
    <s v="Sigma 10"/>
    <s v="Antaksciai"/>
    <s v="Pasvalio"/>
    <n v="5"/>
    <n v="50"/>
    <x v="192"/>
    <x v="36"/>
  </r>
  <r>
    <x v="0"/>
    <d v="2020-06-26T00:00:00"/>
    <x v="1"/>
    <x v="30"/>
    <n v="1"/>
    <s v="Sigma 10"/>
    <s v="Antaksciai"/>
    <s v="Antaksciai"/>
    <m/>
    <n v="18"/>
    <x v="57"/>
    <x v="36"/>
  </r>
  <r>
    <x v="0"/>
    <d v="2020-06-26T00:00:00"/>
    <x v="1"/>
    <x v="30"/>
    <n v="0"/>
    <s v="Sigma 10"/>
    <s v="Antaksciai"/>
    <s v="Antaksciai"/>
    <m/>
    <n v="10"/>
    <x v="4"/>
    <x v="36"/>
  </r>
  <r>
    <x v="0"/>
    <d v="2020-06-26T00:00:00"/>
    <x v="1"/>
    <x v="30"/>
    <n v="0"/>
    <s v="Sigma 10"/>
    <s v="Antaksciai"/>
    <s v="Antaksciai"/>
    <m/>
    <n v="18"/>
    <x v="57"/>
    <x v="36"/>
  </r>
  <r>
    <x v="0"/>
    <d v="2020-06-26T00:00:00"/>
    <x v="1"/>
    <x v="30"/>
    <n v="0"/>
    <s v="Sigma 10"/>
    <s v="Antaksciai"/>
    <s v="Anyksciai"/>
    <n v="1"/>
    <n v="21"/>
    <x v="140"/>
    <x v="36"/>
  </r>
  <r>
    <x v="0"/>
    <d v="2020-06-27T00:00:00"/>
    <x v="1"/>
    <x v="30"/>
    <n v="1"/>
    <s v="Sigma 10"/>
    <s v="Antaksciai"/>
    <s v="Naujieji"/>
    <n v="1"/>
    <n v="22"/>
    <x v="91"/>
    <x v="36"/>
  </r>
  <r>
    <x v="0"/>
    <d v="2020-07-04T00:00:00"/>
    <x v="2"/>
    <x v="30"/>
    <n v="1"/>
    <s v="Sigma 10"/>
    <s v="Heimat"/>
    <s v="Fiesch"/>
    <n v="1"/>
    <n v="7"/>
    <x v="136"/>
    <x v="2"/>
  </r>
  <r>
    <x v="0"/>
    <d v="2020-07-05T00:00:00"/>
    <x v="2"/>
    <x v="30"/>
    <n v="1"/>
    <s v="Sigma 10"/>
    <s v="Galfera"/>
    <s v="Fiesch"/>
    <n v="2"/>
    <n v="18"/>
    <x v="139"/>
    <x v="2"/>
  </r>
  <r>
    <x v="0"/>
    <d v="2020-07-07T00:00:00"/>
    <x v="2"/>
    <x v="30"/>
    <n v="1"/>
    <s v="Sigma 10"/>
    <s v="Heimat"/>
    <s v="Fiesch"/>
    <n v="1"/>
    <n v="53"/>
    <x v="98"/>
    <x v="2"/>
  </r>
  <r>
    <x v="0"/>
    <d v="2020-07-08T00:00:00"/>
    <x v="2"/>
    <x v="30"/>
    <n v="1"/>
    <s v="Sigma 10"/>
    <s v="Richinen"/>
    <s v="Baschi"/>
    <n v="1"/>
    <n v="1"/>
    <x v="31"/>
    <x v="2"/>
  </r>
  <r>
    <x v="0"/>
    <d v="2020-07-12T00:00:00"/>
    <x v="2"/>
    <x v="30"/>
    <n v="1"/>
    <s v="Sigma 10"/>
    <s v="Galfera"/>
    <s v="Fiesch"/>
    <n v="2"/>
    <n v="29"/>
    <x v="93"/>
    <x v="2"/>
  </r>
  <r>
    <x v="0"/>
    <d v="2020-07-18T00:00:00"/>
    <x v="2"/>
    <x v="30"/>
    <n v="1"/>
    <s v="Sigma 10"/>
    <s v="Galfera"/>
    <s v="Fiesch"/>
    <n v="1"/>
    <n v="2"/>
    <x v="110"/>
    <x v="2"/>
  </r>
  <r>
    <x v="0"/>
    <d v="2020-07-19T00:00:00"/>
    <x v="2"/>
    <x v="30"/>
    <n v="1"/>
    <s v="Sigma 10"/>
    <s v="Galfera"/>
    <s v="Fiesch"/>
    <n v="2"/>
    <n v="19"/>
    <x v="154"/>
    <x v="2"/>
  </r>
  <r>
    <x v="0"/>
    <d v="2020-07-23T00:00:00"/>
    <x v="2"/>
    <x v="30"/>
    <n v="1"/>
    <s v="Sigma 10"/>
    <s v="Steibenkreuz"/>
    <s v="Baschi"/>
    <m/>
    <n v="38"/>
    <x v="17"/>
    <x v="2"/>
  </r>
  <r>
    <x v="0"/>
    <d v="2020-07-25T00:00:00"/>
    <x v="2"/>
    <x v="30"/>
    <n v="1"/>
    <s v="Sigma 10"/>
    <s v="Galfera"/>
    <s v="Baschi"/>
    <n v="1"/>
    <n v="47"/>
    <x v="175"/>
    <x v="2"/>
  </r>
  <r>
    <x v="0"/>
    <d v="2020-07-27T00:00:00"/>
    <x v="2"/>
    <x v="30"/>
    <n v="1"/>
    <s v="Sigma 10"/>
    <s v="Steibenkreuz"/>
    <s v="Fiesch"/>
    <n v="1"/>
    <n v="39"/>
    <x v="166"/>
    <x v="2"/>
  </r>
  <r>
    <x v="0"/>
    <d v="2020-07-30T00:00:00"/>
    <x v="2"/>
    <x v="30"/>
    <n v="1"/>
    <s v="Sigma 10"/>
    <s v="Steibenkreuz"/>
    <s v="Fiesch"/>
    <n v="1"/>
    <n v="35"/>
    <x v="43"/>
    <x v="2"/>
  </r>
  <r>
    <x v="0"/>
    <d v="2020-07-31T00:00:00"/>
    <x v="2"/>
    <x v="30"/>
    <n v="1"/>
    <s v="Sigma 10"/>
    <s v="Steibenkreuz"/>
    <s v="Fiesch"/>
    <n v="2"/>
    <n v="28"/>
    <x v="164"/>
    <x v="2"/>
  </r>
  <r>
    <x v="0"/>
    <d v="2020-08-01T00:00:00"/>
    <x v="3"/>
    <x v="30"/>
    <n v="1"/>
    <s v="Pi2 27"/>
    <s v="Risihorn"/>
    <s v="Fiesch"/>
    <m/>
    <n v="15"/>
    <x v="15"/>
    <x v="2"/>
  </r>
  <r>
    <x v="0"/>
    <d v="2020-08-05T00:00:00"/>
    <x v="3"/>
    <x v="30"/>
    <n v="1"/>
    <s v="Sigma 10"/>
    <s v="Steibenkreuz"/>
    <s v="Baschi"/>
    <m/>
    <n v="48"/>
    <x v="135"/>
    <x v="2"/>
  </r>
  <r>
    <x v="0"/>
    <d v="2020-08-06T00:00:00"/>
    <x v="3"/>
    <x v="30"/>
    <n v="1"/>
    <s v="Sigma 10"/>
    <s v="Steibenkreuz"/>
    <s v="Baschi"/>
    <n v="1"/>
    <n v="41"/>
    <x v="76"/>
    <x v="2"/>
  </r>
  <r>
    <x v="0"/>
    <d v="2020-08-07T00:00:00"/>
    <x v="3"/>
    <x v="30"/>
    <n v="1"/>
    <s v="Sigma 10"/>
    <s v="Steibenkreuz"/>
    <s v="Baschi"/>
    <n v="1"/>
    <n v="37"/>
    <x v="143"/>
    <x v="2"/>
  </r>
  <r>
    <x v="0"/>
    <d v="2020-08-08T00:00:00"/>
    <x v="3"/>
    <x v="30"/>
    <n v="1"/>
    <s v="Sigma 10"/>
    <s v="Steibenkreuz"/>
    <s v="Oberwald"/>
    <n v="1"/>
    <n v="15"/>
    <x v="56"/>
    <x v="2"/>
  </r>
  <r>
    <x v="0"/>
    <d v="2020-08-09T00:00:00"/>
    <x v="3"/>
    <x v="30"/>
    <n v="1"/>
    <s v="Sigma 10"/>
    <s v="Steibenkreuz"/>
    <s v="Fiesch"/>
    <n v="3"/>
    <n v="9"/>
    <x v="193"/>
    <x v="2"/>
  </r>
  <r>
    <x v="0"/>
    <d v="2020-08-15T00:00:00"/>
    <x v="3"/>
    <x v="30"/>
    <n v="1"/>
    <s v="Supair Savage ML"/>
    <s v="Steibenkreuz"/>
    <s v="Baschi"/>
    <n v="1"/>
    <n v="46"/>
    <x v="170"/>
    <x v="2"/>
  </r>
  <r>
    <x v="0"/>
    <d v="2020-08-16T00:00:00"/>
    <x v="3"/>
    <x v="30"/>
    <n v="1"/>
    <s v="Supair Savage ML"/>
    <s v="Steibenkreuz"/>
    <s v="Mühle"/>
    <m/>
    <n v="57"/>
    <x v="49"/>
    <x v="2"/>
  </r>
  <r>
    <x v="0"/>
    <d v="2020-08-20T00:00:00"/>
    <x v="3"/>
    <x v="30"/>
    <n v="1"/>
    <s v="Sigma 10"/>
    <s v="Galfera"/>
    <s v="Baschi"/>
    <n v="1"/>
    <n v="26"/>
    <x v="64"/>
    <x v="2"/>
  </r>
  <r>
    <x v="0"/>
    <d v="2020-08-21T00:00:00"/>
    <x v="3"/>
    <x v="30"/>
    <n v="1"/>
    <s v="Sigma 10"/>
    <s v="Galfera"/>
    <s v="Kapelle"/>
    <m/>
    <n v="54"/>
    <x v="28"/>
    <x v="2"/>
  </r>
  <r>
    <x v="0"/>
    <d v="2020-09-02T00:00:00"/>
    <x v="4"/>
    <x v="30"/>
    <n v="1"/>
    <s v="Sigma 10"/>
    <s v="Heimat"/>
    <s v="Niederwald"/>
    <m/>
    <n v="22"/>
    <x v="42"/>
    <x v="2"/>
  </r>
  <r>
    <x v="0"/>
    <d v="2020-09-03T00:00:00"/>
    <x v="4"/>
    <x v="30"/>
    <n v="1"/>
    <s v="Sigma 10"/>
    <s v="Galfera"/>
    <s v="Fiesch"/>
    <n v="2"/>
    <n v="12"/>
    <x v="172"/>
    <x v="2"/>
  </r>
  <r>
    <x v="0"/>
    <d v="2020-09-04T00:00:00"/>
    <x v="4"/>
    <x v="30"/>
    <n v="1"/>
    <s v="Sigma 10"/>
    <s v="Galfera"/>
    <s v="Fiesch"/>
    <n v="3"/>
    <n v="38"/>
    <x v="194"/>
    <x v="2"/>
  </r>
  <r>
    <x v="0"/>
    <d v="2020-09-05T00:00:00"/>
    <x v="4"/>
    <x v="30"/>
    <n v="1"/>
    <s v="Sigma 10"/>
    <s v="Galfera"/>
    <s v="Baschi"/>
    <n v="1"/>
    <n v="39"/>
    <x v="166"/>
    <x v="2"/>
  </r>
  <r>
    <x v="0"/>
    <d v="2020-09-07T00:00:00"/>
    <x v="4"/>
    <x v="30"/>
    <n v="1"/>
    <s v="Sigma 10"/>
    <s v="Heimat"/>
    <s v="Fiesch"/>
    <n v="1"/>
    <n v="34"/>
    <x v="13"/>
    <x v="2"/>
  </r>
  <r>
    <x v="0"/>
    <d v="2020-09-08T00:00:00"/>
    <x v="4"/>
    <x v="30"/>
    <n v="1"/>
    <s v="Sigma 10"/>
    <s v="Ebenalp"/>
    <s v="Wasserauen"/>
    <n v="2"/>
    <n v="13"/>
    <x v="107"/>
    <x v="2"/>
  </r>
  <r>
    <x v="0"/>
    <d v="2020-09-09T00:00:00"/>
    <x v="4"/>
    <x v="30"/>
    <n v="1"/>
    <s v="Sigma 10"/>
    <s v="Hoher Kasten"/>
    <s v="Brülisau"/>
    <m/>
    <n v="31"/>
    <x v="103"/>
    <x v="2"/>
  </r>
  <r>
    <x v="0"/>
    <d v="2020-09-10T00:00:00"/>
    <x v="4"/>
    <x v="30"/>
    <n v="1"/>
    <s v="Sigma 10"/>
    <s v="Heimat"/>
    <s v="Fiesch"/>
    <m/>
    <n v="33"/>
    <x v="59"/>
    <x v="2"/>
  </r>
  <r>
    <x v="0"/>
    <d v="2020-09-10T00:00:00"/>
    <x v="4"/>
    <x v="30"/>
    <n v="0"/>
    <s v="Sigma 10"/>
    <s v="Heimat"/>
    <s v="Ulrichen"/>
    <n v="1"/>
    <n v="28"/>
    <x v="80"/>
    <x v="2"/>
  </r>
  <r>
    <x v="0"/>
    <d v="2020-09-11T00:00:00"/>
    <x v="4"/>
    <x v="30"/>
    <n v="1"/>
    <s v="Sigma 10"/>
    <s v="Heimat"/>
    <s v="Baschi"/>
    <n v="1"/>
    <n v="37"/>
    <x v="143"/>
    <x v="2"/>
  </r>
  <r>
    <x v="0"/>
    <d v="2020-09-12T00:00:00"/>
    <x v="4"/>
    <x v="30"/>
    <n v="1"/>
    <s v="Sigma 10"/>
    <s v="Steibenkreuz"/>
    <s v="Fiesch"/>
    <n v="3"/>
    <n v="25"/>
    <x v="195"/>
    <x v="2"/>
  </r>
  <r>
    <x v="0"/>
    <d v="2020-09-13T00:00:00"/>
    <x v="4"/>
    <x v="30"/>
    <n v="1"/>
    <s v="Sigma 10"/>
    <s v="Galfera"/>
    <s v="Mühle"/>
    <n v="1"/>
    <n v="49"/>
    <x v="126"/>
    <x v="2"/>
  </r>
  <r>
    <x v="0"/>
    <d v="2020-09-18T00:00:00"/>
    <x v="4"/>
    <x v="30"/>
    <n v="1"/>
    <s v="Sigma 10"/>
    <s v="Galfera"/>
    <s v="Fiesch"/>
    <n v="3"/>
    <n v="0"/>
    <x v="156"/>
    <x v="2"/>
  </r>
  <r>
    <x v="0"/>
    <d v="2020-10-05T00:00:00"/>
    <x v="5"/>
    <x v="30"/>
    <n v="1"/>
    <s v="Sigma 10"/>
    <s v="Santa Elisabetta"/>
    <s v="Sant'Anna di Campore"/>
    <m/>
    <n v="22"/>
    <x v="42"/>
    <x v="42"/>
  </r>
  <r>
    <x v="0"/>
    <d v="2020-10-06T00:00:00"/>
    <x v="5"/>
    <x v="30"/>
    <n v="1"/>
    <s v="Sigma 10"/>
    <s v="Santa Elisabetta"/>
    <s v="San Germano"/>
    <n v="2"/>
    <n v="3"/>
    <x v="144"/>
    <x v="42"/>
  </r>
  <r>
    <x v="0"/>
    <d v="2020-10-06T00:00:00"/>
    <x v="5"/>
    <x v="30"/>
    <n v="0"/>
    <s v="Sigma 10"/>
    <s v="San Giacomo"/>
    <s v="San Germano"/>
    <m/>
    <n v="16"/>
    <x v="19"/>
    <x v="42"/>
  </r>
  <r>
    <x v="0"/>
    <d v="2020-10-07T00:00:00"/>
    <x v="5"/>
    <x v="30"/>
    <n v="1"/>
    <s v="Sigma 10"/>
    <s v="Monte Tovo"/>
    <s v="Quarona"/>
    <m/>
    <n v="18"/>
    <x v="57"/>
    <x v="42"/>
  </r>
  <r>
    <x v="0"/>
    <d v="2020-10-08T00:00:00"/>
    <x v="5"/>
    <x v="30"/>
    <n v="1"/>
    <s v="Sigma 10"/>
    <s v="San Giacomo"/>
    <s v="Cima Cavallaria"/>
    <n v="3"/>
    <n v="23"/>
    <x v="180"/>
    <x v="42"/>
  </r>
  <r>
    <x v="0"/>
    <d v="2020-10-09T00:00:00"/>
    <x v="5"/>
    <x v="30"/>
    <n v="1"/>
    <s v="Sigma 10"/>
    <s v="Santa Elisabetta"/>
    <s v="Sant'Anna di Campore"/>
    <m/>
    <n v="33"/>
    <x v="59"/>
    <x v="42"/>
  </r>
  <r>
    <x v="0"/>
    <d v="2020-10-09T00:00:00"/>
    <x v="5"/>
    <x v="30"/>
    <n v="0"/>
    <s v="Sigma 10"/>
    <s v="Santa Elisabetta"/>
    <s v="Sant'Anna di Campore"/>
    <m/>
    <n v="56"/>
    <x v="68"/>
    <x v="42"/>
  </r>
  <r>
    <x v="0"/>
    <d v="2020-10-10T00:00:00"/>
    <x v="5"/>
    <x v="30"/>
    <n v="1"/>
    <s v="Sigma 10"/>
    <s v="Laveno"/>
    <s v="Laveno"/>
    <n v="2"/>
    <n v="48"/>
    <x v="125"/>
    <x v="42"/>
  </r>
  <r>
    <x v="0"/>
    <d v="2020-10-11T00:00:00"/>
    <x v="5"/>
    <x v="30"/>
    <n v="1"/>
    <s v="Sigma 10"/>
    <s v="Santa Elisabetta"/>
    <s v="Sant'Anna di Campore"/>
    <n v="1"/>
    <n v="0"/>
    <x v="47"/>
    <x v="42"/>
  </r>
  <r>
    <x v="0"/>
    <d v="2020-10-17T00:00:00"/>
    <x v="5"/>
    <x v="30"/>
    <n v="1"/>
    <s v="Sigma 10"/>
    <s v="Heimat"/>
    <s v="Fiesch"/>
    <n v="2"/>
    <n v="13"/>
    <x v="107"/>
    <x v="2"/>
  </r>
  <r>
    <x v="0"/>
    <d v="2020-10-18T00:00:00"/>
    <x v="5"/>
    <x v="30"/>
    <n v="1"/>
    <s v="Sigma 10"/>
    <s v="Heimat"/>
    <s v="Fiesch"/>
    <n v="1"/>
    <n v="27"/>
    <x v="129"/>
    <x v="2"/>
  </r>
  <r>
    <x v="0"/>
    <d v="2020-10-31T00:00:00"/>
    <x v="5"/>
    <x v="30"/>
    <n v="1"/>
    <s v="Sigma 10"/>
    <s v="Galfera"/>
    <s v="Fiesch"/>
    <n v="1"/>
    <n v="54"/>
    <x v="96"/>
    <x v="2"/>
  </r>
  <r>
    <x v="0"/>
    <d v="2020-11-11T00:00:00"/>
    <x v="6"/>
    <x v="30"/>
    <n v="1"/>
    <s v="Sigma 10"/>
    <s v="Galfera"/>
    <s v="Fiesch"/>
    <n v="1"/>
    <n v="9"/>
    <x v="116"/>
    <x v="2"/>
  </r>
  <r>
    <x v="0"/>
    <d v="2020-11-12T00:00:00"/>
    <x v="6"/>
    <x v="30"/>
    <n v="1"/>
    <s v="Sigma 10"/>
    <s v="Galfera"/>
    <s v="Fiesch"/>
    <n v="1"/>
    <n v="59"/>
    <x v="160"/>
    <x v="2"/>
  </r>
  <r>
    <x v="0"/>
    <d v="2020-11-14T00:00:00"/>
    <x v="6"/>
    <x v="30"/>
    <n v="1"/>
    <s v="Sigma 10"/>
    <s v="Salzgäb"/>
    <s v="Fiesch"/>
    <n v="2"/>
    <n v="44"/>
    <x v="112"/>
    <x v="2"/>
  </r>
  <r>
    <x v="0"/>
    <d v="2020-11-18T00:00:00"/>
    <x v="6"/>
    <x v="30"/>
    <n v="1"/>
    <s v="Sigma 10"/>
    <s v="Galfera"/>
    <s v="Fiesch"/>
    <n v="2"/>
    <n v="7"/>
    <x v="114"/>
    <x v="2"/>
  </r>
  <r>
    <x v="0"/>
    <d v="2020-11-22T00:00:00"/>
    <x v="6"/>
    <x v="30"/>
    <n v="1"/>
    <s v="Sigma 10"/>
    <s v="Salzgäb"/>
    <s v="Fiesch"/>
    <m/>
    <n v="44"/>
    <x v="99"/>
    <x v="2"/>
  </r>
  <r>
    <x v="0"/>
    <d v="2020-12-17T00:00:00"/>
    <x v="10"/>
    <x v="30"/>
    <n v="1"/>
    <s v="Sigma 10"/>
    <s v="Heimat"/>
    <s v="Mühle"/>
    <n v="2"/>
    <n v="5"/>
    <x v="65"/>
    <x v="2"/>
  </r>
  <r>
    <x v="0"/>
    <d v="2020-12-18T00:00:00"/>
    <x v="10"/>
    <x v="30"/>
    <n v="1"/>
    <s v="Sigma 10"/>
    <s v="Heimat"/>
    <s v="Mühle"/>
    <n v="1"/>
    <n v="34"/>
    <x v="13"/>
    <x v="2"/>
  </r>
  <r>
    <x v="0"/>
    <d v="2021-03-01T00:00:00"/>
    <x v="8"/>
    <x v="31"/>
    <n v="1"/>
    <s v="Sigma 10"/>
    <s v="Heimat"/>
    <s v="Fiesch"/>
    <n v="2"/>
    <n v="16"/>
    <x v="196"/>
    <x v="2"/>
  </r>
  <r>
    <x v="0"/>
    <d v="2021-03-02T00:00:00"/>
    <x v="8"/>
    <x v="31"/>
    <n v="1"/>
    <s v="Sigma 10"/>
    <s v="Heimat"/>
    <s v="Fiesch"/>
    <n v="2"/>
    <n v="16"/>
    <x v="196"/>
    <x v="2"/>
  </r>
  <r>
    <x v="0"/>
    <d v="2021-03-24T00:00:00"/>
    <x v="8"/>
    <x v="31"/>
    <n v="1"/>
    <s v="Sigma 10"/>
    <s v="Heimat"/>
    <s v="Fiesch"/>
    <n v="2"/>
    <n v="6"/>
    <x v="197"/>
    <x v="2"/>
  </r>
  <r>
    <x v="0"/>
    <d v="2021-03-25T00:00:00"/>
    <x v="8"/>
    <x v="31"/>
    <n v="1"/>
    <s v="Sigma 10"/>
    <s v="Heimat"/>
    <s v="Fiesch"/>
    <n v="1"/>
    <n v="44"/>
    <x v="69"/>
    <x v="2"/>
  </r>
  <r>
    <x v="0"/>
    <d v="2021-03-28T00:00:00"/>
    <x v="8"/>
    <x v="31"/>
    <n v="1"/>
    <s v="Sigma 10"/>
    <s v="Steibenkreuz"/>
    <s v="Fiesch"/>
    <n v="2"/>
    <n v="5"/>
    <x v="65"/>
    <x v="2"/>
  </r>
  <r>
    <x v="0"/>
    <d v="2021-03-29T00:00:00"/>
    <x v="8"/>
    <x v="31"/>
    <n v="1"/>
    <s v="Sigma 10"/>
    <s v="Steibenkreuz"/>
    <s v="Fiesch"/>
    <n v="2"/>
    <n v="12"/>
    <x v="172"/>
    <x v="2"/>
  </r>
  <r>
    <x v="0"/>
    <d v="2021-03-31T00:00:00"/>
    <x v="8"/>
    <x v="31"/>
    <n v="1"/>
    <s v="Sigma 10"/>
    <s v="Heimat"/>
    <s v="Fiesch"/>
    <n v="2"/>
    <n v="49"/>
    <x v="173"/>
    <x v="2"/>
  </r>
  <r>
    <x v="0"/>
    <d v="2021-04-01T00:00:00"/>
    <x v="9"/>
    <x v="31"/>
    <n v="1"/>
    <s v="Sigma 10"/>
    <s v="Steibenkreuz"/>
    <s v="Fiesch"/>
    <n v="1"/>
    <n v="52"/>
    <x v="105"/>
    <x v="2"/>
  </r>
  <r>
    <x v="0"/>
    <d v="2021-04-08T00:00:00"/>
    <x v="9"/>
    <x v="31"/>
    <n v="1"/>
    <s v="Sigma 10"/>
    <s v="Lema"/>
    <s v="Ascona"/>
    <n v="1"/>
    <n v="31"/>
    <x v="24"/>
    <x v="43"/>
  </r>
  <r>
    <x v="0"/>
    <d v="2021-04-18T00:00:00"/>
    <x v="9"/>
    <x v="31"/>
    <n v="1"/>
    <s v="Sigma 11"/>
    <s v="Heimat"/>
    <s v="Fiesch"/>
    <m/>
    <n v="48"/>
    <x v="135"/>
    <x v="2"/>
  </r>
  <r>
    <x v="0"/>
    <d v="2021-04-20T00:00:00"/>
    <x v="9"/>
    <x v="31"/>
    <n v="1"/>
    <s v="Sigma 11"/>
    <s v="Heimat"/>
    <s v="Fiesch"/>
    <n v="1"/>
    <n v="35"/>
    <x v="43"/>
    <x v="2"/>
  </r>
  <r>
    <x v="0"/>
    <d v="2021-04-23T00:00:00"/>
    <x v="9"/>
    <x v="31"/>
    <n v="1"/>
    <s v="Sigma 11"/>
    <s v="Heimat"/>
    <s v="Fiesch"/>
    <n v="2"/>
    <n v="9"/>
    <x v="122"/>
    <x v="2"/>
  </r>
  <r>
    <x v="0"/>
    <d v="2021-04-24T00:00:00"/>
    <x v="9"/>
    <x v="31"/>
    <n v="1"/>
    <s v="Sigma 11"/>
    <s v="Heimat"/>
    <s v="Fiesch"/>
    <n v="2"/>
    <n v="30"/>
    <x v="77"/>
    <x v="2"/>
  </r>
  <r>
    <x v="0"/>
    <d v="2021-05-28T00:00:00"/>
    <x v="0"/>
    <x v="31"/>
    <n v="1"/>
    <s v="Sigma 11"/>
    <s v="Azinha"/>
    <s v="Gaia"/>
    <n v="1"/>
    <n v="13"/>
    <x v="94"/>
    <x v="23"/>
  </r>
  <r>
    <x v="0"/>
    <d v="2021-05-28T00:00:00"/>
    <x v="0"/>
    <x v="31"/>
    <n v="0"/>
    <s v="Sigma 11"/>
    <s v="Linhares"/>
    <s v="Linhares"/>
    <n v="2"/>
    <n v="36"/>
    <x v="138"/>
    <x v="23"/>
  </r>
  <r>
    <x v="0"/>
    <d v="2021-05-29T00:00:00"/>
    <x v="0"/>
    <x v="31"/>
    <n v="1"/>
    <s v="Sigma 11"/>
    <s v="Azinha"/>
    <s v="Sapata Rota"/>
    <n v="1"/>
    <n v="20"/>
    <x v="46"/>
    <x v="23"/>
  </r>
  <r>
    <x v="0"/>
    <d v="2021-05-29T00:00:00"/>
    <x v="0"/>
    <x v="31"/>
    <n v="0"/>
    <s v="Sigma 11"/>
    <s v="Linhares"/>
    <s v="Linhares"/>
    <m/>
    <n v="56"/>
    <x v="68"/>
    <x v="23"/>
  </r>
  <r>
    <x v="0"/>
    <d v="2021-05-30T00:00:00"/>
    <x v="0"/>
    <x v="31"/>
    <n v="1"/>
    <s v="Sigma 11"/>
    <s v="Larouco"/>
    <s v="Chaves"/>
    <n v="1"/>
    <n v="28"/>
    <x v="80"/>
    <x v="23"/>
  </r>
  <r>
    <x v="0"/>
    <d v="2021-05-31T00:00:00"/>
    <x v="0"/>
    <x v="31"/>
    <n v="1"/>
    <s v="Sigma 11"/>
    <s v="Soutelo"/>
    <s v="Chaves Casino"/>
    <m/>
    <n v="33"/>
    <x v="59"/>
    <x v="23"/>
  </r>
  <r>
    <x v="0"/>
    <d v="2021-06-01T00:00:00"/>
    <x v="1"/>
    <x v="31"/>
    <n v="1"/>
    <s v="Sigma 11"/>
    <s v="Larouco"/>
    <s v="Larouco"/>
    <m/>
    <n v="43"/>
    <x v="118"/>
    <x v="23"/>
  </r>
  <r>
    <x v="0"/>
    <d v="2021-06-02T00:00:00"/>
    <x v="1"/>
    <x v="31"/>
    <n v="1"/>
    <s v="Sigma 11"/>
    <s v="Linhares"/>
    <s v="Lavandeira"/>
    <n v="1"/>
    <n v="52"/>
    <x v="105"/>
    <x v="23"/>
  </r>
  <r>
    <x v="0"/>
    <d v="2021-06-03T00:00:00"/>
    <x v="1"/>
    <x v="31"/>
    <n v="1"/>
    <s v="Sigma 11"/>
    <s v="Bornes"/>
    <s v="Grijo de vale Benfeito"/>
    <m/>
    <n v="24"/>
    <x v="61"/>
    <x v="23"/>
  </r>
  <r>
    <x v="0"/>
    <d v="2021-06-03T00:00:00"/>
    <x v="1"/>
    <x v="31"/>
    <n v="0"/>
    <s v="Sigma 11"/>
    <s v="Bornes"/>
    <s v="Macedo de Cavaleiros"/>
    <m/>
    <n v="48"/>
    <x v="135"/>
    <x v="23"/>
  </r>
  <r>
    <x v="0"/>
    <d v="2021-06-03T00:00:00"/>
    <x v="1"/>
    <x v="31"/>
    <n v="0"/>
    <s v="Sigma 11"/>
    <s v="Linhares"/>
    <s v="Linhares"/>
    <m/>
    <n v="58"/>
    <x v="95"/>
    <x v="23"/>
  </r>
  <r>
    <x v="0"/>
    <d v="2021-06-06T00:00:00"/>
    <x v="1"/>
    <x v="31"/>
    <n v="1"/>
    <s v="Sigma 11"/>
    <s v="Heimat"/>
    <s v="Fiesch"/>
    <m/>
    <n v="56"/>
    <x v="68"/>
    <x v="2"/>
  </r>
  <r>
    <x v="0"/>
    <d v="2021-06-12T00:00:00"/>
    <x v="1"/>
    <x v="31"/>
    <n v="1"/>
    <s v="Sigma 11"/>
    <s v="Heimat"/>
    <s v="Fiesch"/>
    <n v="1"/>
    <n v="37"/>
    <x v="143"/>
    <x v="2"/>
  </r>
  <r>
    <x v="0"/>
    <d v="2021-06-18T00:00:00"/>
    <x v="1"/>
    <x v="31"/>
    <n v="1"/>
    <s v="Sigma 11"/>
    <s v="Vlora"/>
    <s v="Vlora"/>
    <m/>
    <n v="59"/>
    <x v="120"/>
    <x v="44"/>
  </r>
  <r>
    <x v="0"/>
    <d v="2021-06-18T00:00:00"/>
    <x v="1"/>
    <x v="31"/>
    <n v="0"/>
    <s v="Sigma 11"/>
    <s v="Vlora"/>
    <s v="Vlora"/>
    <m/>
    <n v="33"/>
    <x v="59"/>
    <x v="44"/>
  </r>
  <r>
    <x v="0"/>
    <d v="2021-06-19T00:00:00"/>
    <x v="1"/>
    <x v="31"/>
    <n v="1"/>
    <s v="Sigma 11"/>
    <s v="Korce"/>
    <s v="Drenove"/>
    <m/>
    <n v="25"/>
    <x v="52"/>
    <x v="44"/>
  </r>
  <r>
    <x v="0"/>
    <d v="2021-06-20T00:00:00"/>
    <x v="1"/>
    <x v="31"/>
    <n v="1"/>
    <s v="Sigma 11"/>
    <s v="Korce"/>
    <s v="Korce"/>
    <m/>
    <n v="10"/>
    <x v="4"/>
    <x v="44"/>
  </r>
  <r>
    <x v="0"/>
    <d v="2021-06-20T00:00:00"/>
    <x v="1"/>
    <x v="31"/>
    <n v="0"/>
    <s v="Sigma 11"/>
    <s v="Korce"/>
    <s v="Qatrom"/>
    <m/>
    <n v="44"/>
    <x v="99"/>
    <x v="44"/>
  </r>
  <r>
    <x v="0"/>
    <d v="2021-06-21T00:00:00"/>
    <x v="1"/>
    <x v="31"/>
    <n v="1"/>
    <s v="Sigma 11"/>
    <s v="Galichica"/>
    <s v="Ljubanishta"/>
    <m/>
    <n v="44"/>
    <x v="99"/>
    <x v="44"/>
  </r>
  <r>
    <x v="0"/>
    <d v="2021-06-21T00:00:00"/>
    <x v="1"/>
    <x v="31"/>
    <n v="0"/>
    <s v="Sigma 11"/>
    <s v="Galichica"/>
    <s v="Ljubanishta"/>
    <m/>
    <n v="20"/>
    <x v="5"/>
    <x v="44"/>
  </r>
  <r>
    <x v="0"/>
    <d v="2021-06-22T00:00:00"/>
    <x v="1"/>
    <x v="31"/>
    <n v="1"/>
    <s v="Sigma 11"/>
    <s v="Prilep"/>
    <s v="Prilep"/>
    <n v="1"/>
    <n v="32"/>
    <x v="32"/>
    <x v="44"/>
  </r>
  <r>
    <x v="0"/>
    <d v="2021-06-23T00:00:00"/>
    <x v="1"/>
    <x v="31"/>
    <n v="1"/>
    <s v="Sigma 11"/>
    <s v="Krusevo"/>
    <s v="Norovo"/>
    <n v="1"/>
    <n v="55"/>
    <x v="148"/>
    <x v="44"/>
  </r>
  <r>
    <x v="0"/>
    <d v="2021-06-25T00:00:00"/>
    <x v="1"/>
    <x v="31"/>
    <n v="1"/>
    <s v="Sigma 11"/>
    <s v="Galichica"/>
    <s v="Ljubanishta"/>
    <n v="1"/>
    <n v="1"/>
    <x v="31"/>
    <x v="44"/>
  </r>
  <r>
    <x v="0"/>
    <d v="2021-07-02T00:00:00"/>
    <x v="2"/>
    <x v="31"/>
    <n v="1"/>
    <s v="Sigma 11"/>
    <s v="Richinen"/>
    <s v="Fiesch"/>
    <n v="1"/>
    <n v="4"/>
    <x v="38"/>
    <x v="2"/>
  </r>
  <r>
    <x v="0"/>
    <d v="2021-07-03T00:00:00"/>
    <x v="2"/>
    <x v="31"/>
    <n v="1"/>
    <s v="Pi2 27"/>
    <s v="Richinen"/>
    <s v="Fiesch"/>
    <m/>
    <n v="45"/>
    <x v="27"/>
    <x v="2"/>
  </r>
  <r>
    <x v="0"/>
    <d v="2021-07-10T00:00:00"/>
    <x v="2"/>
    <x v="31"/>
    <n v="1"/>
    <s v="Sigma 11"/>
    <s v="Heimat"/>
    <s v="Baschi"/>
    <m/>
    <n v="57"/>
    <x v="49"/>
    <x v="2"/>
  </r>
  <r>
    <x v="0"/>
    <d v="2021-07-11T00:00:00"/>
    <x v="2"/>
    <x v="31"/>
    <n v="1"/>
    <s v="Sigma 11"/>
    <s v="Steibenkreuz"/>
    <s v="Ritzinger Feld"/>
    <m/>
    <n v="21"/>
    <x v="97"/>
    <x v="2"/>
  </r>
  <r>
    <x v="0"/>
    <d v="2021-07-29T00:00:00"/>
    <x v="2"/>
    <x v="31"/>
    <n v="1"/>
    <s v="Sigma 11"/>
    <s v="Steibenkreuz"/>
    <s v="Baschi"/>
    <m/>
    <n v="46"/>
    <x v="141"/>
    <x v="2"/>
  </r>
  <r>
    <x v="0"/>
    <d v="2021-08-14T00:00:00"/>
    <x v="3"/>
    <x v="31"/>
    <n v="1"/>
    <s v="Sigma 11"/>
    <s v="Steibenkreuz"/>
    <s v="Baschi"/>
    <n v="1"/>
    <n v="21"/>
    <x v="140"/>
    <x v="2"/>
  </r>
  <r>
    <x v="0"/>
    <d v="2021-08-20T00:00:00"/>
    <x v="3"/>
    <x v="31"/>
    <n v="1"/>
    <s v="Sigma 11"/>
    <s v="Heimat"/>
    <s v="Fiesch"/>
    <n v="2"/>
    <n v="17"/>
    <x v="70"/>
    <x v="2"/>
  </r>
  <r>
    <x v="0"/>
    <d v="2021-08-21T00:00:00"/>
    <x v="3"/>
    <x v="31"/>
    <n v="1"/>
    <s v="Sigma 11"/>
    <s v="Steibenkreuz"/>
    <s v="Mühle"/>
    <n v="1"/>
    <n v="17"/>
    <x v="73"/>
    <x v="2"/>
  </r>
  <r>
    <x v="0"/>
    <d v="2021-08-25T00:00:00"/>
    <x v="3"/>
    <x v="31"/>
    <n v="1"/>
    <s v="Sigma 11"/>
    <s v="Steibenkreuz"/>
    <s v="Baschi"/>
    <n v="1"/>
    <n v="12"/>
    <x v="88"/>
    <x v="2"/>
  </r>
  <r>
    <x v="0"/>
    <d v="2021-09-01T00:00:00"/>
    <x v="4"/>
    <x v="31"/>
    <n v="1"/>
    <s v="Sigma 11"/>
    <s v="Heimat"/>
    <s v="Fiesch"/>
    <n v="1"/>
    <n v="4"/>
    <x v="38"/>
    <x v="2"/>
  </r>
  <r>
    <x v="0"/>
    <d v="2021-09-01T00:00:00"/>
    <x v="4"/>
    <x v="31"/>
    <n v="0"/>
    <s v="Sigma 11"/>
    <s v="cret-du-midi"/>
    <s v="Chalet"/>
    <n v="1"/>
    <n v="52"/>
    <x v="105"/>
    <x v="2"/>
  </r>
  <r>
    <x v="0"/>
    <d v="2021-09-02T00:00:00"/>
    <x v="4"/>
    <x v="31"/>
    <n v="1"/>
    <s v="Sigma 11"/>
    <s v="cret-du-midi"/>
    <s v="St. Laurent"/>
    <m/>
    <n v="13"/>
    <x v="18"/>
    <x v="2"/>
  </r>
  <r>
    <x v="0"/>
    <d v="2021-09-02T00:00:00"/>
    <x v="4"/>
    <x v="31"/>
    <n v="0"/>
    <s v="Sigma 11"/>
    <s v="Illhorn"/>
    <s v="Vercorin"/>
    <n v="1"/>
    <n v="12"/>
    <x v="88"/>
    <x v="2"/>
  </r>
  <r>
    <x v="0"/>
    <d v="2021-09-05T00:00:00"/>
    <x v="4"/>
    <x v="31"/>
    <n v="1"/>
    <s v="Sigma 11"/>
    <s v="Corvatsch 3300"/>
    <s v="Surlej"/>
    <m/>
    <n v="36"/>
    <x v="39"/>
    <x v="2"/>
  </r>
  <r>
    <x v="0"/>
    <d v="2021-09-12T00:00:00"/>
    <x v="4"/>
    <x v="31"/>
    <n v="1"/>
    <s v="Sigma 11"/>
    <s v="Steibenkreuz"/>
    <s v="Fiesch"/>
    <n v="1"/>
    <n v="33"/>
    <x v="159"/>
    <x v="2"/>
  </r>
  <r>
    <x v="0"/>
    <d v="2021-09-13T00:00:00"/>
    <x v="4"/>
    <x v="31"/>
    <n v="1"/>
    <s v="Sigma 11"/>
    <s v="Richinen"/>
    <s v="Geschinen, Mühle"/>
    <m/>
    <n v="40"/>
    <x v="33"/>
    <x v="2"/>
  </r>
  <r>
    <x v="0"/>
    <d v="2021-11-21T00:00:00"/>
    <x v="6"/>
    <x v="31"/>
    <n v="1"/>
    <s v="Sigma 11"/>
    <s v="Heimat"/>
    <s v="Fiesch"/>
    <n v="1"/>
    <n v="29"/>
    <x v="155"/>
    <x v="2"/>
  </r>
  <r>
    <x v="0"/>
    <d v="2021-11-24T00:00:00"/>
    <x v="6"/>
    <x v="31"/>
    <n v="1"/>
    <s v="Sigma 11"/>
    <s v="Heimat"/>
    <s v="Fiesch"/>
    <m/>
    <n v="43"/>
    <x v="118"/>
    <x v="2"/>
  </r>
  <r>
    <x v="0"/>
    <d v="2021-12-13T00:00:00"/>
    <x v="10"/>
    <x v="31"/>
    <n v="1"/>
    <s v="Sigma 11"/>
    <s v="Heimat"/>
    <s v="Fiesch"/>
    <m/>
    <n v="16"/>
    <x v="19"/>
    <x v="2"/>
  </r>
  <r>
    <x v="0"/>
    <d v="2021-12-18T00:00:00"/>
    <x v="10"/>
    <x v="31"/>
    <n v="1"/>
    <s v="Sigma 11"/>
    <s v="Heimat"/>
    <s v="Fiesch"/>
    <m/>
    <n v="17"/>
    <x v="26"/>
    <x v="2"/>
  </r>
  <r>
    <x v="0"/>
    <d v="2022-01-15T00:00:00"/>
    <x v="11"/>
    <x v="32"/>
    <n v="1"/>
    <s v="Sigma 11"/>
    <s v="Steibenkreuz"/>
    <s v="Fiesch"/>
    <n v="1"/>
    <n v="12"/>
    <x v="88"/>
    <x v="2"/>
  </r>
  <r>
    <x v="0"/>
    <d v="2022-01-24T00:00:00"/>
    <x v="11"/>
    <x v="32"/>
    <n v="1"/>
    <s v="Sigma 11"/>
    <s v="Heimat"/>
    <s v="Fiesch"/>
    <n v="1"/>
    <n v="2"/>
    <x v="110"/>
    <x v="2"/>
  </r>
  <r>
    <x v="0"/>
    <d v="2022-01-25T00:00:00"/>
    <x v="11"/>
    <x v="32"/>
    <n v="1"/>
    <s v="Sigma 11"/>
    <s v="Heimat"/>
    <s v="Fiesch"/>
    <n v="1"/>
    <n v="19"/>
    <x v="53"/>
    <x v="2"/>
  </r>
  <r>
    <x v="0"/>
    <d v="2022-02-12T00:00:00"/>
    <x v="7"/>
    <x v="32"/>
    <n v="1"/>
    <s v="Sigma 11"/>
    <s v="Heimat"/>
    <s v="Baschi"/>
    <n v="1"/>
    <n v="17"/>
    <x v="73"/>
    <x v="2"/>
  </r>
  <r>
    <x v="0"/>
    <d v="2022-02-23T00:00:00"/>
    <x v="7"/>
    <x v="32"/>
    <n v="1"/>
    <s v="Sigma 11"/>
    <s v="Steibenkreuz"/>
    <s v="Fiesch"/>
    <m/>
    <n v="57"/>
    <x v="49"/>
    <x v="2"/>
  </r>
  <r>
    <x v="0"/>
    <d v="2022-03-08T00:00:00"/>
    <x v="8"/>
    <x v="32"/>
    <n v="1"/>
    <s v="Sigma 11"/>
    <s v="Heimat"/>
    <s v="Baschi"/>
    <n v="1"/>
    <n v="19"/>
    <x v="53"/>
    <x v="2"/>
  </r>
  <r>
    <x v="0"/>
    <d v="2022-03-24T00:00:00"/>
    <x v="8"/>
    <x v="32"/>
    <n v="1"/>
    <s v="Sigma 11"/>
    <s v="Zermatt Rothorn"/>
    <s v="Zermatt"/>
    <n v="1"/>
    <n v="5"/>
    <x v="45"/>
    <x v="2"/>
  </r>
  <r>
    <x v="0"/>
    <d v="2022-03-27T00:00:00"/>
    <x v="8"/>
    <x v="32"/>
    <n v="1"/>
    <s v="Sigma 11"/>
    <s v="Steibenkreuz"/>
    <s v="Mühle"/>
    <m/>
    <n v="40"/>
    <x v="33"/>
    <x v="2"/>
  </r>
  <r>
    <x v="0"/>
    <d v="2022-03-28T00:00:00"/>
    <x v="8"/>
    <x v="32"/>
    <n v="1"/>
    <s v="Sigma 11"/>
    <s v="Steibenkreuz"/>
    <s v="Ernen"/>
    <n v="1"/>
    <n v="49"/>
    <x v="126"/>
    <x v="2"/>
  </r>
  <r>
    <x v="0"/>
    <d v="2022-04-03T00:00:00"/>
    <x v="9"/>
    <x v="32"/>
    <n v="1"/>
    <s v="Pi2 27"/>
    <s v="Steibenkreuz"/>
    <s v="Fiesch"/>
    <m/>
    <n v="15"/>
    <x v="15"/>
    <x v="2"/>
  </r>
  <r>
    <x v="0"/>
    <d v="2022-04-05T00:00:00"/>
    <x v="9"/>
    <x v="32"/>
    <n v="1"/>
    <s v="Sigma 11"/>
    <s v="Heimat"/>
    <s v="Fiesch"/>
    <n v="1"/>
    <n v="3"/>
    <x v="25"/>
    <x v="2"/>
  </r>
  <r>
    <x v="0"/>
    <d v="2022-04-09T00:00:00"/>
    <x v="9"/>
    <x v="32"/>
    <n v="1"/>
    <s v="Sigma 11"/>
    <s v="Gallodoro"/>
    <s v="Letojanni"/>
    <n v="1"/>
    <n v="12"/>
    <x v="88"/>
    <x v="39"/>
  </r>
  <r>
    <x v="0"/>
    <d v="2022-04-11T00:00:00"/>
    <x v="9"/>
    <x v="32"/>
    <n v="1"/>
    <s v="Sigma 11"/>
    <s v="Monte Scala"/>
    <s v="Niscemi"/>
    <n v="1"/>
    <n v="11"/>
    <x v="60"/>
    <x v="39"/>
  </r>
  <r>
    <x v="0"/>
    <d v="2022-04-11T00:00:00"/>
    <x v="9"/>
    <x v="32"/>
    <n v="0"/>
    <s v="Sigma 11"/>
    <s v="Niscemi"/>
    <s v="Niscemi"/>
    <n v="1"/>
    <n v="8"/>
    <x v="54"/>
    <x v="39"/>
  </r>
  <r>
    <x v="0"/>
    <d v="2022-04-11T00:00:00"/>
    <x v="9"/>
    <x v="32"/>
    <n v="0"/>
    <s v="Sigma 11"/>
    <s v="Niscemi"/>
    <s v="Niscemi"/>
    <n v="1"/>
    <n v="12"/>
    <x v="88"/>
    <x v="39"/>
  </r>
  <r>
    <x v="0"/>
    <d v="2022-04-12T00:00:00"/>
    <x v="9"/>
    <x v="32"/>
    <n v="1"/>
    <s v="Sigma 11"/>
    <s v="Ätna"/>
    <s v="Mascali"/>
    <m/>
    <n v="35"/>
    <x v="119"/>
    <x v="39"/>
  </r>
  <r>
    <x v="0"/>
    <d v="2022-04-12T00:00:00"/>
    <x v="9"/>
    <x v="32"/>
    <n v="0"/>
    <s v="Sigma 11"/>
    <s v="Monte Veneretta"/>
    <s v="Letojanni"/>
    <m/>
    <n v="23"/>
    <x v="92"/>
    <x v="39"/>
  </r>
  <r>
    <x v="0"/>
    <d v="2022-04-13T00:00:00"/>
    <x v="9"/>
    <x v="32"/>
    <n v="1"/>
    <s v="Sigma 11"/>
    <s v="Gallodoro"/>
    <s v="Letojanni"/>
    <n v="1"/>
    <n v="8"/>
    <x v="54"/>
    <x v="39"/>
  </r>
  <r>
    <x v="0"/>
    <d v="2022-04-14T00:00:00"/>
    <x v="9"/>
    <x v="32"/>
    <n v="1"/>
    <s v="Sigma 11"/>
    <s v="Gallodoro"/>
    <s v="Letojanni"/>
    <n v="1"/>
    <n v="27"/>
    <x v="129"/>
    <x v="39"/>
  </r>
  <r>
    <x v="0"/>
    <d v="2022-04-15T00:00:00"/>
    <x v="9"/>
    <x v="32"/>
    <n v="1"/>
    <s v="Sigma 11"/>
    <s v="Monte Veneretta"/>
    <s v="Letojanni"/>
    <m/>
    <n v="20"/>
    <x v="5"/>
    <x v="39"/>
  </r>
  <r>
    <x v="0"/>
    <d v="2022-04-18T00:00:00"/>
    <x v="9"/>
    <x v="32"/>
    <n v="1"/>
    <s v="Sigma 11"/>
    <s v="Heimat"/>
    <s v="Fiesch"/>
    <m/>
    <n v="50"/>
    <x v="40"/>
    <x v="2"/>
  </r>
  <r>
    <x v="0"/>
    <d v="2022-04-27T00:00:00"/>
    <x v="9"/>
    <x v="32"/>
    <n v="1"/>
    <s v="Sigma 11"/>
    <s v="Heimat"/>
    <s v="Fiesch"/>
    <m/>
    <n v="42"/>
    <x v="66"/>
    <x v="2"/>
  </r>
  <r>
    <x v="0"/>
    <d v="2022-04-28T00:00:00"/>
    <x v="9"/>
    <x v="32"/>
    <n v="1"/>
    <s v="Sigma 11"/>
    <s v="Heimat"/>
    <s v="Fiesch"/>
    <n v="1"/>
    <n v="13"/>
    <x v="94"/>
    <x v="2"/>
  </r>
  <r>
    <x v="0"/>
    <d v="2022-04-29T00:00:00"/>
    <x v="9"/>
    <x v="32"/>
    <n v="1"/>
    <s v="Sigma 11"/>
    <s v="Heimat"/>
    <s v="Fiesch"/>
    <n v="1"/>
    <n v="56"/>
    <x v="58"/>
    <x v="2"/>
  </r>
  <r>
    <x v="0"/>
    <d v="2022-05-01T00:00:00"/>
    <x v="0"/>
    <x v="32"/>
    <n v="1"/>
    <s v="Sigma 11"/>
    <s v="Heimat"/>
    <s v="Fiesch"/>
    <n v="1"/>
    <n v="34"/>
    <x v="13"/>
    <x v="2"/>
  </r>
  <r>
    <x v="0"/>
    <d v="2022-05-02T00:00:00"/>
    <x v="0"/>
    <x v="32"/>
    <n v="1"/>
    <s v="Sigma 11"/>
    <s v="Heimat"/>
    <s v="Fiesch"/>
    <n v="1"/>
    <n v="50"/>
    <x v="36"/>
    <x v="2"/>
  </r>
  <r>
    <x v="0"/>
    <d v="2022-05-12T00:00:00"/>
    <x v="0"/>
    <x v="32"/>
    <n v="1"/>
    <s v="Sigma 11"/>
    <s v="Riederalp"/>
    <s v="Fiesch"/>
    <n v="1"/>
    <n v="37"/>
    <x v="143"/>
    <x v="2"/>
  </r>
  <r>
    <x v="0"/>
    <d v="2022-05-13T00:00:00"/>
    <x v="0"/>
    <x v="32"/>
    <n v="1"/>
    <s v="Pi2 27"/>
    <s v="Mutti"/>
    <s v="Fiesch"/>
    <m/>
    <n v="30"/>
    <x v="8"/>
    <x v="2"/>
  </r>
  <r>
    <x v="0"/>
    <d v="2022-05-14T00:00:00"/>
    <x v="0"/>
    <x v="32"/>
    <n v="1"/>
    <s v="Sigma 11"/>
    <s v="Heimat"/>
    <s v="Fiesch"/>
    <n v="2"/>
    <n v="4"/>
    <x v="117"/>
    <x v="2"/>
  </r>
  <r>
    <x v="0"/>
    <d v="2022-05-15T00:00:00"/>
    <x v="0"/>
    <x v="32"/>
    <n v="1"/>
    <s v="Sigma 11"/>
    <s v="Heimat"/>
    <s v="Fiesch"/>
    <n v="2"/>
    <n v="17"/>
    <x v="70"/>
    <x v="2"/>
  </r>
  <r>
    <x v="0"/>
    <d v="2022-05-17T00:00:00"/>
    <x v="0"/>
    <x v="32"/>
    <n v="1"/>
    <s v="Sigma 11"/>
    <s v="Riederalp"/>
    <s v="Fiesch"/>
    <n v="2"/>
    <n v="15"/>
    <x v="81"/>
    <x v="2"/>
  </r>
  <r>
    <x v="0"/>
    <d v="2022-05-19T00:00:00"/>
    <x v="0"/>
    <x v="32"/>
    <n v="1"/>
    <s v="Sigma 11"/>
    <s v="Riederalp"/>
    <s v="Fiesch"/>
    <n v="2"/>
    <n v="33"/>
    <x v="124"/>
    <x v="2"/>
  </r>
  <r>
    <x v="0"/>
    <d v="2022-05-20T00:00:00"/>
    <x v="0"/>
    <x v="32"/>
    <n v="1"/>
    <s v="Pi2 27"/>
    <s v="Eggebiel"/>
    <s v="Fiesch"/>
    <m/>
    <n v="15"/>
    <x v="15"/>
    <x v="2"/>
  </r>
  <r>
    <x v="0"/>
    <d v="2022-05-27T00:00:00"/>
    <x v="0"/>
    <x v="32"/>
    <n v="1"/>
    <s v="Sigma 11"/>
    <s v="Larouco"/>
    <s v="Vilar de Perdizes"/>
    <n v="1"/>
    <n v="10"/>
    <x v="142"/>
    <x v="23"/>
  </r>
  <r>
    <x v="0"/>
    <d v="2022-05-28T00:00:00"/>
    <x v="0"/>
    <x v="32"/>
    <n v="1"/>
    <s v="Sigma 11"/>
    <s v="Larouco"/>
    <s v="Chaves"/>
    <n v="2"/>
    <n v="52"/>
    <x v="133"/>
    <x v="23"/>
  </r>
  <r>
    <x v="0"/>
    <d v="2022-05-29T00:00:00"/>
    <x v="0"/>
    <x v="32"/>
    <n v="1"/>
    <s v="Sigma 11"/>
    <s v="Larouco"/>
    <s v="Ervededo"/>
    <n v="1"/>
    <n v="46"/>
    <x v="170"/>
    <x v="23"/>
  </r>
  <r>
    <x v="0"/>
    <d v="2022-06-11T00:00:00"/>
    <x v="1"/>
    <x v="32"/>
    <n v="1"/>
    <s v="Sigma 11"/>
    <s v="Heimat"/>
    <s v="Baschi"/>
    <n v="1"/>
    <n v="4"/>
    <x v="38"/>
    <x v="2"/>
  </r>
  <r>
    <x v="0"/>
    <d v="2022-06-12T00:00:00"/>
    <x v="1"/>
    <x v="32"/>
    <n v="1"/>
    <s v="Sigma 11"/>
    <s v="Heimat"/>
    <s v="Fiesch"/>
    <n v="1"/>
    <n v="34"/>
    <x v="13"/>
    <x v="2"/>
  </r>
  <r>
    <x v="0"/>
    <d v="2022-06-14T00:00:00"/>
    <x v="1"/>
    <x v="32"/>
    <n v="1"/>
    <s v="Sigma 11"/>
    <s v="Heimat"/>
    <s v="Baschi"/>
    <n v="1"/>
    <n v="51"/>
    <x v="111"/>
    <x v="2"/>
  </r>
  <r>
    <x v="0"/>
    <d v="2022-06-18T00:00:00"/>
    <x v="1"/>
    <x v="32"/>
    <n v="1"/>
    <s v="Sigma 11"/>
    <s v="Heimat"/>
    <s v="Fiesch"/>
    <n v="2"/>
    <n v="13"/>
    <x v="107"/>
    <x v="2"/>
  </r>
  <r>
    <x v="0"/>
    <d v="2022-06-23T00:00:00"/>
    <x v="1"/>
    <x v="32"/>
    <n v="1"/>
    <s v="Sigma 11"/>
    <s v="Heimat"/>
    <s v="Fiesch"/>
    <m/>
    <n v="35"/>
    <x v="119"/>
    <x v="2"/>
  </r>
  <r>
    <x v="0"/>
    <d v="2022-06-25T00:00:00"/>
    <x v="1"/>
    <x v="32"/>
    <n v="1"/>
    <s v="Sigma 11"/>
    <s v="Heimat"/>
    <s v="Baschi"/>
    <n v="1"/>
    <n v="40"/>
    <x v="48"/>
    <x v="2"/>
  </r>
  <r>
    <x v="0"/>
    <d v="2022-06-29T00:00:00"/>
    <x v="1"/>
    <x v="32"/>
    <n v="1"/>
    <s v="Sigma 11"/>
    <s v="Galfera"/>
    <s v="Fiesch"/>
    <n v="2"/>
    <n v="6"/>
    <x v="197"/>
    <x v="2"/>
  </r>
  <r>
    <x v="0"/>
    <d v="2022-06-30T00:00:00"/>
    <x v="1"/>
    <x v="32"/>
    <n v="1"/>
    <s v="Sigma 11"/>
    <s v="Heimat"/>
    <s v="Fiesch"/>
    <m/>
    <n v="15"/>
    <x v="15"/>
    <x v="2"/>
  </r>
  <r>
    <x v="0"/>
    <d v="2022-07-02T00:00:00"/>
    <x v="2"/>
    <x v="32"/>
    <n v="1"/>
    <s v="Sigma 11"/>
    <s v="Galfera"/>
    <s v="Baschi"/>
    <m/>
    <n v="59"/>
    <x v="120"/>
    <x v="2"/>
  </r>
  <r>
    <x v="0"/>
    <d v="2022-07-03T00:00:00"/>
    <x v="2"/>
    <x v="32"/>
    <n v="1"/>
    <s v="Sigma 11"/>
    <s v="Heimat"/>
    <s v="Fiesch"/>
    <m/>
    <n v="10"/>
    <x v="4"/>
    <x v="2"/>
  </r>
  <r>
    <x v="0"/>
    <d v="2022-07-06T00:00:00"/>
    <x v="2"/>
    <x v="32"/>
    <n v="1"/>
    <s v="Sigma 11"/>
    <s v="Heimat"/>
    <s v="Fiesch"/>
    <n v="2"/>
    <n v="0"/>
    <x v="10"/>
    <x v="2"/>
  </r>
  <r>
    <x v="0"/>
    <d v="2022-07-11T00:00:00"/>
    <x v="2"/>
    <x v="32"/>
    <n v="1"/>
    <s v="Sigma 11"/>
    <s v="Heimat"/>
    <s v="Fiesch"/>
    <n v="1"/>
    <n v="53"/>
    <x v="98"/>
    <x v="2"/>
  </r>
  <r>
    <x v="0"/>
    <d v="2022-07-12T00:00:00"/>
    <x v="2"/>
    <x v="32"/>
    <n v="1"/>
    <s v="Sigma 11"/>
    <s v="Heimat"/>
    <s v="Fiesch"/>
    <n v="1"/>
    <n v="24"/>
    <x v="151"/>
    <x v="2"/>
  </r>
  <r>
    <x v="0"/>
    <d v="2022-07-13T00:00:00"/>
    <x v="2"/>
    <x v="32"/>
    <n v="1"/>
    <s v="Sigma 11"/>
    <s v="Heimat"/>
    <s v="Fiesch"/>
    <n v="2"/>
    <n v="37"/>
    <x v="198"/>
    <x v="2"/>
  </r>
  <r>
    <x v="0"/>
    <d v="2022-07-17T00:00:00"/>
    <x v="2"/>
    <x v="32"/>
    <n v="1"/>
    <s v="Sigma 11"/>
    <s v="Heimat"/>
    <s v="Fiesch"/>
    <n v="2"/>
    <n v="3"/>
    <x v="144"/>
    <x v="2"/>
  </r>
  <r>
    <x v="0"/>
    <d v="2022-07-18T00:00:00"/>
    <x v="2"/>
    <x v="32"/>
    <n v="1"/>
    <s v="Sigma 11"/>
    <s v="Heimat"/>
    <s v="Fiesch"/>
    <n v="2"/>
    <n v="5"/>
    <x v="65"/>
    <x v="2"/>
  </r>
  <r>
    <x v="0"/>
    <d v="2022-07-19T00:00:00"/>
    <x v="2"/>
    <x v="32"/>
    <n v="1"/>
    <s v="Sigma 11"/>
    <s v="Heimat"/>
    <s v="Fiesch"/>
    <n v="3"/>
    <n v="0"/>
    <x v="156"/>
    <x v="2"/>
  </r>
  <r>
    <x v="0"/>
    <d v="2022-07-22T00:00:00"/>
    <x v="2"/>
    <x v="32"/>
    <n v="1"/>
    <s v="Sigma 11"/>
    <s v="Heimat"/>
    <s v="Fiesch"/>
    <n v="1"/>
    <n v="27"/>
    <x v="129"/>
    <x v="2"/>
  </r>
  <r>
    <x v="0"/>
    <d v="2022-07-24T00:00:00"/>
    <x v="2"/>
    <x v="32"/>
    <n v="1"/>
    <s v="Sigma 11"/>
    <s v="Heimat"/>
    <s v="Fiesch"/>
    <n v="3"/>
    <n v="12"/>
    <x v="157"/>
    <x v="2"/>
  </r>
  <r>
    <x v="0"/>
    <d v="2022-07-25T00:00:00"/>
    <x v="2"/>
    <x v="32"/>
    <n v="1"/>
    <s v="Sigma 11"/>
    <s v="Heimat"/>
    <s v="Fiesch"/>
    <n v="1"/>
    <n v="12"/>
    <x v="88"/>
    <x v="2"/>
  </r>
  <r>
    <x v="0"/>
    <d v="2022-07-31T00:00:00"/>
    <x v="2"/>
    <x v="32"/>
    <n v="1"/>
    <s v="Sigma 11"/>
    <s v="Heimat"/>
    <s v="Fiesch"/>
    <n v="1"/>
    <n v="46"/>
    <x v="170"/>
    <x v="2"/>
  </r>
  <r>
    <x v="0"/>
    <d v="2022-08-01T00:00:00"/>
    <x v="3"/>
    <x v="32"/>
    <n v="1"/>
    <s v="Sigma 11"/>
    <s v="Galfera"/>
    <s v="Fiesch"/>
    <n v="1"/>
    <n v="37"/>
    <x v="143"/>
    <x v="2"/>
  </r>
  <r>
    <x v="0"/>
    <d v="2022-08-03T00:00:00"/>
    <x v="3"/>
    <x v="32"/>
    <n v="1"/>
    <s v="Sigma 11"/>
    <s v="Heimat"/>
    <s v="Fiesch"/>
    <n v="2"/>
    <n v="29"/>
    <x v="93"/>
    <x v="2"/>
  </r>
  <r>
    <x v="0"/>
    <d v="2022-08-04T00:00:00"/>
    <x v="3"/>
    <x v="32"/>
    <n v="1"/>
    <s v="Sigma 11"/>
    <s v="Heimat"/>
    <s v="Fiesch"/>
    <n v="1"/>
    <n v="38"/>
    <x v="128"/>
    <x v="2"/>
  </r>
  <r>
    <x v="0"/>
    <d v="2022-08-08T00:00:00"/>
    <x v="3"/>
    <x v="32"/>
    <n v="1"/>
    <s v="Sigma 11"/>
    <s v="Heimat"/>
    <s v="Fiesch"/>
    <n v="2"/>
    <n v="6"/>
    <x v="197"/>
    <x v="2"/>
  </r>
  <r>
    <x v="0"/>
    <d v="2022-08-09T00:00:00"/>
    <x v="3"/>
    <x v="32"/>
    <n v="1"/>
    <s v="Sigma 11"/>
    <s v="Galfera"/>
    <s v="Baschi"/>
    <n v="1"/>
    <n v="48"/>
    <x v="35"/>
    <x v="2"/>
  </r>
  <r>
    <x v="0"/>
    <d v="2022-08-10T00:00:00"/>
    <x v="3"/>
    <x v="32"/>
    <n v="1"/>
    <s v="Sigma 11"/>
    <s v="Heimat"/>
    <s v="Fiesch"/>
    <n v="1"/>
    <n v="43"/>
    <x v="106"/>
    <x v="2"/>
  </r>
  <r>
    <x v="0"/>
    <d v="2022-08-11T00:00:00"/>
    <x v="3"/>
    <x v="32"/>
    <n v="1"/>
    <s v="Sigma 11"/>
    <s v="Heimat"/>
    <s v="Mühle"/>
    <n v="1"/>
    <n v="26"/>
    <x v="64"/>
    <x v="2"/>
  </r>
  <r>
    <x v="0"/>
    <d v="2022-08-12T00:00:00"/>
    <x v="3"/>
    <x v="32"/>
    <n v="1"/>
    <s v="Sigma 11"/>
    <s v="Heimat"/>
    <s v="Mühle"/>
    <n v="1"/>
    <n v="13"/>
    <x v="94"/>
    <x v="2"/>
  </r>
  <r>
    <x v="0"/>
    <d v="2022-08-13T00:00:00"/>
    <x v="3"/>
    <x v="32"/>
    <n v="1"/>
    <s v="Sigma 11"/>
    <s v="Heimat"/>
    <s v="Fiesch"/>
    <n v="1"/>
    <n v="47"/>
    <x v="175"/>
    <x v="2"/>
  </r>
  <r>
    <x v="0"/>
    <d v="2022-08-16T00:00:00"/>
    <x v="3"/>
    <x v="32"/>
    <n v="1"/>
    <s v="Sigma 11"/>
    <s v="Heimat"/>
    <s v="Fiesch"/>
    <n v="1"/>
    <n v="34"/>
    <x v="13"/>
    <x v="2"/>
  </r>
  <r>
    <x v="0"/>
    <d v="2022-08-22T00:00:00"/>
    <x v="3"/>
    <x v="32"/>
    <n v="1"/>
    <s v="Sigma 11"/>
    <s v="Heimat"/>
    <s v="Ritzinger Feld"/>
    <m/>
    <n v="36"/>
    <x v="39"/>
    <x v="2"/>
  </r>
  <r>
    <x v="0"/>
    <d v="2022-08-24T00:00:00"/>
    <x v="3"/>
    <x v="32"/>
    <n v="1"/>
    <s v="Sigma 11"/>
    <s v="Motta Naluns"/>
    <s v="Scuol"/>
    <m/>
    <n v="53"/>
    <x v="137"/>
    <x v="2"/>
  </r>
  <r>
    <x v="0"/>
    <d v="2022-08-25T00:00:00"/>
    <x v="3"/>
    <x v="32"/>
    <n v="1"/>
    <s v="Sigma 11"/>
    <s v="Motta Naluns"/>
    <s v="Scuol"/>
    <n v="1"/>
    <n v="8"/>
    <x v="54"/>
    <x v="2"/>
  </r>
  <r>
    <x v="0"/>
    <d v="2022-08-28T00:00:00"/>
    <x v="3"/>
    <x v="32"/>
    <n v="1"/>
    <s v="Sigma 11"/>
    <s v="Heimat"/>
    <s v="Ernen"/>
    <n v="2"/>
    <n v="20"/>
    <x v="130"/>
    <x v="2"/>
  </r>
  <r>
    <x v="0"/>
    <d v="2022-08-29T00:00:00"/>
    <x v="3"/>
    <x v="32"/>
    <n v="1"/>
    <s v="Sigma 11"/>
    <s v="Heimat"/>
    <s v="Fiesch"/>
    <n v="1"/>
    <n v="52"/>
    <x v="105"/>
    <x v="2"/>
  </r>
  <r>
    <x v="0"/>
    <d v="2022-09-03T00:00:00"/>
    <x v="4"/>
    <x v="32"/>
    <n v="1"/>
    <s v="Sigma 11"/>
    <s v="Sopelana (Bilbao)"/>
    <s v="Sopelana (Bilbao)"/>
    <m/>
    <n v="35"/>
    <x v="119"/>
    <x v="37"/>
  </r>
  <r>
    <x v="0"/>
    <d v="2022-09-04T00:00:00"/>
    <x v="4"/>
    <x v="32"/>
    <n v="1"/>
    <s v="Sigma 11"/>
    <s v="Ager Raudoral"/>
    <s v="Ager"/>
    <n v="1"/>
    <n v="37"/>
    <x v="143"/>
    <x v="37"/>
  </r>
  <r>
    <x v="0"/>
    <d v="2022-09-05T00:00:00"/>
    <x v="4"/>
    <x v="32"/>
    <n v="1"/>
    <s v="Sigma 11"/>
    <s v="Ager Montsec"/>
    <s v="Ager"/>
    <n v="1"/>
    <n v="41"/>
    <x v="76"/>
    <x v="37"/>
  </r>
  <r>
    <x v="0"/>
    <d v="2022-09-05T00:00:00"/>
    <x v="4"/>
    <x v="32"/>
    <n v="0"/>
    <s v="Sigma 11"/>
    <s v="Ager Montsec"/>
    <s v="Ager"/>
    <n v="1"/>
    <n v="32"/>
    <x v="32"/>
    <x v="37"/>
  </r>
  <r>
    <x v="0"/>
    <d v="2022-09-06T00:00:00"/>
    <x v="4"/>
    <x v="32"/>
    <n v="1"/>
    <s v="Sigma 11"/>
    <s v="Castejon de SOS (Liri)"/>
    <s v="Castejon"/>
    <n v="1"/>
    <n v="33"/>
    <x v="159"/>
    <x v="37"/>
  </r>
  <r>
    <x v="0"/>
    <d v="2022-09-07T00:00:00"/>
    <x v="4"/>
    <x v="32"/>
    <n v="1"/>
    <s v="Sigma 11"/>
    <s v="Castejon de SOS (Liri)"/>
    <s v="Castejon"/>
    <m/>
    <n v="38"/>
    <x v="17"/>
    <x v="37"/>
  </r>
  <r>
    <x v="0"/>
    <d v="2022-09-08T00:00:00"/>
    <x v="4"/>
    <x v="32"/>
    <n v="1"/>
    <s v="Sigma 11"/>
    <s v="Pedro Bernardo W"/>
    <s v="Lanzahita"/>
    <m/>
    <n v="49"/>
    <x v="79"/>
    <x v="37"/>
  </r>
  <r>
    <x v="0"/>
    <d v="2022-09-09T00:00:00"/>
    <x v="4"/>
    <x v="32"/>
    <n v="1"/>
    <s v="Sigma 11"/>
    <s v="Piedrahita"/>
    <s v="Muhana"/>
    <n v="2"/>
    <n v="17"/>
    <x v="70"/>
    <x v="37"/>
  </r>
  <r>
    <x v="0"/>
    <d v="2022-09-20T00:00:00"/>
    <x v="4"/>
    <x v="32"/>
    <n v="1"/>
    <s v="Sigma 11"/>
    <s v="Heimat"/>
    <s v="Baschi"/>
    <n v="1"/>
    <n v="38"/>
    <x v="128"/>
    <x v="2"/>
  </r>
  <r>
    <x v="0"/>
    <d v="2022-09-21T00:00:00"/>
    <x v="4"/>
    <x v="32"/>
    <n v="1"/>
    <s v="Sigma 11"/>
    <s v="Heimat"/>
    <s v="Baschi"/>
    <n v="1"/>
    <n v="5"/>
    <x v="45"/>
    <x v="2"/>
  </r>
  <r>
    <x v="0"/>
    <d v="2022-09-22T00:00:00"/>
    <x v="4"/>
    <x v="32"/>
    <n v="1"/>
    <s v="Sigma 11"/>
    <s v="Heimat"/>
    <s v="Baschi"/>
    <n v="1"/>
    <n v="18"/>
    <x v="87"/>
    <x v="2"/>
  </r>
  <r>
    <x v="0"/>
    <d v="2022-09-23T00:00:00"/>
    <x v="4"/>
    <x v="32"/>
    <n v="1"/>
    <s v="Sigma 11"/>
    <s v="Heimat"/>
    <s v="Fiesch"/>
    <n v="1"/>
    <n v="2"/>
    <x v="110"/>
    <x v="2"/>
  </r>
  <r>
    <x v="0"/>
    <d v="2022-10-02T00:00:00"/>
    <x v="5"/>
    <x v="32"/>
    <n v="1"/>
    <s v="Sigma 11"/>
    <s v="St Vincent Les Forts"/>
    <s v="St Vincent Les Forts"/>
    <m/>
    <n v="20"/>
    <x v="5"/>
    <x v="28"/>
  </r>
  <r>
    <x v="0"/>
    <d v="2022-10-03T00:00:00"/>
    <x v="5"/>
    <x v="32"/>
    <n v="1"/>
    <s v="Sigma 11"/>
    <s v="Chalves S"/>
    <s v="Digne de Bains"/>
    <n v="1"/>
    <n v="45"/>
    <x v="41"/>
    <x v="28"/>
  </r>
  <r>
    <x v="0"/>
    <d v="2022-10-04T00:00:00"/>
    <x v="5"/>
    <x v="32"/>
    <n v="1"/>
    <s v="Sigma 11"/>
    <s v="Montdenir - Moustiers-Sainte-Marie"/>
    <s v="St Croix du Verdon"/>
    <n v="1"/>
    <n v="51"/>
    <x v="111"/>
    <x v="28"/>
  </r>
  <r>
    <x v="0"/>
    <d v="2022-10-05T00:00:00"/>
    <x v="5"/>
    <x v="32"/>
    <n v="1"/>
    <s v="Sigma 11"/>
    <s v="Chalves S"/>
    <s v="St. André"/>
    <n v="3"/>
    <n v="39"/>
    <x v="153"/>
    <x v="28"/>
  </r>
  <r>
    <x v="0"/>
    <d v="2022-10-06T00:00:00"/>
    <x v="5"/>
    <x v="32"/>
    <n v="1"/>
    <s v="Sigma 11"/>
    <s v="Thorenc_Col de Blein"/>
    <s v="La Foux"/>
    <n v="1"/>
    <n v="32"/>
    <x v="32"/>
    <x v="28"/>
  </r>
  <r>
    <x v="0"/>
    <d v="2022-10-06T00:00:00"/>
    <x v="5"/>
    <x v="32"/>
    <n v="0"/>
    <s v="Sigma 11"/>
    <s v="Chalves W"/>
    <s v="St. André"/>
    <n v="1"/>
    <n v="4"/>
    <x v="38"/>
    <x v="28"/>
  </r>
  <r>
    <x v="0"/>
    <d v="2022-10-07T00:00:00"/>
    <x v="5"/>
    <x v="32"/>
    <n v="1"/>
    <s v="Sigma 11"/>
    <s v="Chalves S"/>
    <s v="Digne de Bains (Sportplatz)"/>
    <n v="1"/>
    <n v="58"/>
    <x v="104"/>
    <x v="28"/>
  </r>
  <r>
    <x v="0"/>
    <d v="2022-10-11T00:00:00"/>
    <x v="5"/>
    <x v="32"/>
    <n v="1"/>
    <s v="Sigma 11"/>
    <s v="Heimat"/>
    <s v="Fiesch"/>
    <m/>
    <n v="35"/>
    <x v="119"/>
    <x v="2"/>
  </r>
  <r>
    <x v="0"/>
    <d v="2022-10-17T00:00:00"/>
    <x v="5"/>
    <x v="32"/>
    <n v="1"/>
    <s v="Sigma 11"/>
    <s v="Heimat"/>
    <s v="Fiesch"/>
    <m/>
    <n v="43"/>
    <x v="118"/>
    <x v="2"/>
  </r>
  <r>
    <x v="0"/>
    <d v="2022-10-18T00:00:00"/>
    <x v="5"/>
    <x v="32"/>
    <n v="1"/>
    <s v="Sigma 11"/>
    <s v="Heimat"/>
    <s v="Fiesch"/>
    <n v="2"/>
    <n v="19"/>
    <x v="154"/>
    <x v="2"/>
  </r>
  <r>
    <x v="0"/>
    <d v="2022-10-25T00:00:00"/>
    <x v="5"/>
    <x v="32"/>
    <n v="1"/>
    <s v="Sigma 11"/>
    <s v="Heimat"/>
    <s v="Fiesch"/>
    <m/>
    <n v="33"/>
    <x v="59"/>
    <x v="2"/>
  </r>
  <r>
    <x v="0"/>
    <d v="2022-10-29T00:00:00"/>
    <x v="5"/>
    <x v="32"/>
    <n v="1"/>
    <s v="Sigma 11"/>
    <s v="Heimat"/>
    <s v="Fiesch"/>
    <n v="2"/>
    <n v="17"/>
    <x v="70"/>
    <x v="2"/>
  </r>
  <r>
    <x v="0"/>
    <d v="2022-10-30T00:00:00"/>
    <x v="5"/>
    <x v="32"/>
    <n v="1"/>
    <s v="Sigma 11"/>
    <s v="Heimat"/>
    <s v="Ritzinger Feld"/>
    <n v="1"/>
    <n v="21"/>
    <x v="140"/>
    <x v="2"/>
  </r>
  <r>
    <x v="0"/>
    <d v="2022-12-18T00:00:00"/>
    <x v="10"/>
    <x v="32"/>
    <n v="1"/>
    <s v="Sigma 11"/>
    <s v="Heimat"/>
    <s v="Fiesch"/>
    <m/>
    <n v="28"/>
    <x v="63"/>
    <x v="2"/>
  </r>
  <r>
    <x v="0"/>
    <d v="2022-12-28T00:00:00"/>
    <x v="10"/>
    <x v="32"/>
    <n v="1"/>
    <s v="Sigma 11"/>
    <s v="Heimat"/>
    <s v="Fiesch"/>
    <m/>
    <n v="56"/>
    <x v="68"/>
    <x v="2"/>
  </r>
  <r>
    <x v="0"/>
    <d v="2023-01-06T00:00:00"/>
    <x v="11"/>
    <x v="33"/>
    <n v="1"/>
    <s v="Sigma 11"/>
    <s v="Heimat"/>
    <s v="Baschi"/>
    <n v="1"/>
    <n v="49"/>
    <x v="126"/>
    <x v="2"/>
  </r>
  <r>
    <x v="0"/>
    <d v="2023-01-07T00:00:00"/>
    <x v="11"/>
    <x v="33"/>
    <n v="1"/>
    <s v="Sigma 11"/>
    <s v="Heimat"/>
    <s v="Baschi"/>
    <n v="1"/>
    <n v="8"/>
    <x v="54"/>
    <x v="2"/>
  </r>
  <r>
    <x v="0"/>
    <d v="2023-01-29T00:00:00"/>
    <x v="11"/>
    <x v="33"/>
    <n v="1"/>
    <s v="Sigma 11"/>
    <s v="Heimat"/>
    <s v="Fiesch"/>
    <m/>
    <n v="19"/>
    <x v="20"/>
    <x v="2"/>
  </r>
  <r>
    <x v="0"/>
    <d v="2023-02-16T00:00:00"/>
    <x v="7"/>
    <x v="33"/>
    <n v="1"/>
    <s v="Sigma 11"/>
    <s v="Heimat"/>
    <s v="Baschi"/>
    <n v="1"/>
    <n v="10"/>
    <x v="142"/>
    <x v="2"/>
  </r>
  <r>
    <x v="0"/>
    <d v="2023-02-20T00:00:00"/>
    <x v="7"/>
    <x v="33"/>
    <n v="1"/>
    <s v="Sigma 11"/>
    <s v="Heimat"/>
    <s v="Fiesch"/>
    <m/>
    <n v="44"/>
    <x v="99"/>
    <x v="2"/>
  </r>
  <r>
    <x v="0"/>
    <d v="2023-02-21T00:00:00"/>
    <x v="7"/>
    <x v="33"/>
    <n v="1"/>
    <s v="Sigma 11"/>
    <s v="Heimat"/>
    <s v="Baschi"/>
    <n v="1"/>
    <n v="32"/>
    <x v="32"/>
    <x v="2"/>
  </r>
  <r>
    <x v="0"/>
    <d v="2023-02-28T00:00:00"/>
    <x v="7"/>
    <x v="33"/>
    <n v="1"/>
    <s v="Sigma 11"/>
    <s v="Spikboden"/>
    <s v="Sand"/>
    <n v="1"/>
    <n v="35"/>
    <x v="43"/>
    <x v="45"/>
  </r>
  <r>
    <x v="0"/>
    <d v="2023-02-28T00:00:00"/>
    <x v="7"/>
    <x v="33"/>
    <n v="0"/>
    <s v="Sigma 11"/>
    <s v="Ahornach"/>
    <s v="St Georgen"/>
    <n v="1"/>
    <n v="42"/>
    <x v="145"/>
    <x v="45"/>
  </r>
  <r>
    <x v="0"/>
    <d v="2023-03-01T00:00:00"/>
    <x v="8"/>
    <x v="33"/>
    <n v="1"/>
    <s v="Sigma 11"/>
    <s v="Ahornach"/>
    <s v="Sand"/>
    <m/>
    <n v="9"/>
    <x v="22"/>
    <x v="45"/>
  </r>
  <r>
    <x v="0"/>
    <d v="2023-03-02T00:00:00"/>
    <x v="8"/>
    <x v="33"/>
    <n v="1"/>
    <s v="Sigma 11"/>
    <s v="Spikboden"/>
    <s v="Sand"/>
    <m/>
    <n v="42"/>
    <x v="66"/>
    <x v="45"/>
  </r>
  <r>
    <x v="0"/>
    <d v="2023-03-03T00:00:00"/>
    <x v="8"/>
    <x v="33"/>
    <n v="1"/>
    <s v="Sigma 11"/>
    <s v="Spitzbühel"/>
    <s v="Kastelruth"/>
    <n v="1"/>
    <n v="41"/>
    <x v="76"/>
    <x v="45"/>
  </r>
  <r>
    <x v="0"/>
    <d v="2023-03-18T00:00:00"/>
    <x v="8"/>
    <x v="33"/>
    <n v="1"/>
    <s v="Sigma 11"/>
    <s v="Heimat"/>
    <s v="Baschi"/>
    <m/>
    <n v="56"/>
    <x v="68"/>
    <x v="2"/>
  </r>
  <r>
    <x v="0"/>
    <d v="2023-03-20T00:00:00"/>
    <x v="8"/>
    <x v="33"/>
    <n v="1"/>
    <s v="Sigma 11"/>
    <s v="Heimat"/>
    <s v="Mühle"/>
    <m/>
    <n v="58"/>
    <x v="95"/>
    <x v="2"/>
  </r>
  <r>
    <x v="0"/>
    <d v="2023-03-22T00:00:00"/>
    <x v="8"/>
    <x v="33"/>
    <n v="1"/>
    <s v="Sigma 11"/>
    <s v="Heimat"/>
    <s v="Baschi"/>
    <n v="1"/>
    <n v="39"/>
    <x v="166"/>
    <x v="2"/>
  </r>
  <r>
    <x v="0"/>
    <d v="2023-03-28T00:00:00"/>
    <x v="8"/>
    <x v="33"/>
    <n v="1"/>
    <s v="Sigma 11"/>
    <s v="Heimat"/>
    <s v="Fiesch"/>
    <m/>
    <n v="32"/>
    <x v="23"/>
    <x v="2"/>
  </r>
  <r>
    <x v="0"/>
    <d v="2023-04-10T00:00:00"/>
    <x v="9"/>
    <x v="33"/>
    <n v="1"/>
    <s v="Sigma 11"/>
    <s v="Heimat"/>
    <s v="Fiesch"/>
    <n v="1"/>
    <n v="43"/>
    <x v="106"/>
    <x v="2"/>
  </r>
  <r>
    <x v="1"/>
    <d v="2023-04-14T00:00:00"/>
    <x v="9"/>
    <x v="33"/>
    <n v="1"/>
    <s v="Sigma 11"/>
    <s v="San Fermo"/>
    <s v="San Fermo"/>
    <m/>
    <n v="9"/>
    <x v="22"/>
    <x v="30"/>
  </r>
  <r>
    <x v="1"/>
    <d v="2023-04-14T00:00:00"/>
    <x v="9"/>
    <x v="33"/>
    <n v="0"/>
    <s v="Sigma 11"/>
    <s v="San Fermo"/>
    <s v="San Fermo"/>
    <m/>
    <n v="22"/>
    <x v="42"/>
    <x v="30"/>
  </r>
  <r>
    <x v="1"/>
    <d v="2023-04-14T00:00:00"/>
    <x v="9"/>
    <x v="33"/>
    <n v="0"/>
    <s v="Sigma 11"/>
    <s v="San Fermo"/>
    <s v="San Fermo"/>
    <m/>
    <n v="30"/>
    <x v="8"/>
    <x v="30"/>
  </r>
  <r>
    <x v="1"/>
    <d v="2023-04-15T00:00:00"/>
    <x v="9"/>
    <x v="33"/>
    <n v="1"/>
    <s v="Sigma 11"/>
    <s v="San Fermo"/>
    <s v="San Fermo"/>
    <m/>
    <n v="8"/>
    <x v="3"/>
    <x v="30"/>
  </r>
  <r>
    <x v="1"/>
    <d v="2023-04-15T00:00:00"/>
    <x v="9"/>
    <x v="33"/>
    <n v="0"/>
    <s v="Sigma 11"/>
    <s v="San Fermo"/>
    <s v="San Fermo"/>
    <m/>
    <n v="17"/>
    <x v="26"/>
    <x v="30"/>
  </r>
  <r>
    <x v="1"/>
    <d v="2023-04-15T00:00:00"/>
    <x v="9"/>
    <x v="33"/>
    <n v="0"/>
    <s v="Sigma 11"/>
    <s v="San Fermo"/>
    <s v="San Fermo"/>
    <m/>
    <n v="18"/>
    <x v="57"/>
    <x v="30"/>
  </r>
  <r>
    <x v="1"/>
    <d v="2023-04-16T00:00:00"/>
    <x v="9"/>
    <x v="33"/>
    <n v="1"/>
    <s v="Sigma 11"/>
    <s v="San Fermo"/>
    <s v="Bauernhof"/>
    <m/>
    <n v="51"/>
    <x v="21"/>
    <x v="30"/>
  </r>
  <r>
    <x v="0"/>
    <d v="2023-04-18T00:00:00"/>
    <x v="9"/>
    <x v="33"/>
    <n v="1"/>
    <s v="Sigma 11"/>
    <s v="Heimat"/>
    <s v="Kapelle"/>
    <m/>
    <n v="29"/>
    <x v="85"/>
    <x v="2"/>
  </r>
  <r>
    <x v="0"/>
    <d v="2023-04-19T00:00:00"/>
    <x v="9"/>
    <x v="33"/>
    <n v="1"/>
    <s v="Sigma 11"/>
    <s v="Heimat"/>
    <s v="Fiesch"/>
    <n v="1"/>
    <n v="38"/>
    <x v="128"/>
    <x v="2"/>
  </r>
  <r>
    <x v="0"/>
    <d v="2023-04-21T00:00:00"/>
    <x v="9"/>
    <x v="33"/>
    <n v="1"/>
    <s v="Artik R"/>
    <s v="Hohwald"/>
    <s v="Lehn"/>
    <m/>
    <n v="12"/>
    <x v="6"/>
    <x v="2"/>
  </r>
  <r>
    <x v="1"/>
    <d v="2023-04-23T00:00:00"/>
    <x v="9"/>
    <x v="33"/>
    <n v="1"/>
    <s v="Artik R"/>
    <s v="Allmend"/>
    <s v="Allmend"/>
    <m/>
    <n v="0"/>
    <x v="30"/>
    <x v="46"/>
  </r>
  <r>
    <x v="0"/>
    <d v="2023-04-26T00:00:00"/>
    <x v="9"/>
    <x v="33"/>
    <n v="1"/>
    <s v="Artik R"/>
    <s v="Heimat"/>
    <s v="Fiesch"/>
    <n v="1"/>
    <n v="19"/>
    <x v="53"/>
    <x v="47"/>
  </r>
  <r>
    <x v="0"/>
    <d v="2023-04-27T00:00:00"/>
    <x v="9"/>
    <x v="33"/>
    <n v="1"/>
    <s v="Artik R"/>
    <s v="Heimat"/>
    <s v="Fiesch"/>
    <n v="1"/>
    <n v="42"/>
    <x v="145"/>
    <x v="47"/>
  </r>
  <r>
    <x v="0"/>
    <d v="2023-04-30T00:00:00"/>
    <x v="9"/>
    <x v="33"/>
    <n v="1"/>
    <s v="Artik R"/>
    <s v="Heimat"/>
    <s v="Fiesch"/>
    <m/>
    <n v="14"/>
    <x v="11"/>
    <x v="2"/>
  </r>
  <r>
    <x v="2"/>
    <d v="2023-05-03T00:00:00"/>
    <x v="0"/>
    <x v="33"/>
    <n v="0"/>
    <s v="Gasballon HB-QKF"/>
    <s v="Augsburg DE"/>
    <s v="Rovasenda I"/>
    <n v="9"/>
    <n v="0"/>
    <x v="199"/>
    <x v="2"/>
  </r>
  <r>
    <x v="0"/>
    <d v="2023-05-05T00:00:00"/>
    <x v="0"/>
    <x v="33"/>
    <n v="1"/>
    <s v="Artik R"/>
    <s v="Heimat"/>
    <s v="Fiesch"/>
    <n v="1"/>
    <n v="13"/>
    <x v="94"/>
    <x v="2"/>
  </r>
  <r>
    <x v="0"/>
    <d v="2023-05-06T00:00:00"/>
    <x v="0"/>
    <x v="33"/>
    <n v="1"/>
    <s v="Artik R"/>
    <s v="Heimat"/>
    <s v="Fiesch"/>
    <n v="1"/>
    <n v="38"/>
    <x v="128"/>
    <x v="2"/>
  </r>
  <r>
    <x v="0"/>
    <d v="2023-05-07T00:00:00"/>
    <x v="0"/>
    <x v="33"/>
    <n v="1"/>
    <s v="Artik R"/>
    <s v="Heimat"/>
    <s v="Fiesch"/>
    <m/>
    <n v="25"/>
    <x v="52"/>
    <x v="2"/>
  </r>
  <r>
    <x v="0"/>
    <d v="2023-05-18T00:00:00"/>
    <x v="0"/>
    <x v="33"/>
    <n v="1"/>
    <s v="Artik R"/>
    <s v="Heimat"/>
    <s v="Fiesch"/>
    <m/>
    <n v="16"/>
    <x v="19"/>
    <x v="2"/>
  </r>
  <r>
    <x v="0"/>
    <d v="2023-05-19T00:00:00"/>
    <x v="0"/>
    <x v="33"/>
    <n v="1"/>
    <s v="Artik R"/>
    <s v="Heimat"/>
    <s v="Fiesch"/>
    <m/>
    <n v="29"/>
    <x v="85"/>
    <x v="2"/>
  </r>
  <r>
    <x v="0"/>
    <d v="2023-05-22T00:00:00"/>
    <x v="0"/>
    <x v="33"/>
    <n v="1"/>
    <s v="Artik R"/>
    <s v="Riederalp"/>
    <s v="Fiesch"/>
    <n v="1"/>
    <n v="36"/>
    <x v="55"/>
    <x v="2"/>
  </r>
  <r>
    <x v="0"/>
    <d v="2023-05-23T00:00:00"/>
    <x v="0"/>
    <x v="33"/>
    <n v="1"/>
    <s v="Artik R"/>
    <s v="Riederalp"/>
    <s v="Fiesch"/>
    <n v="1"/>
    <n v="13"/>
    <x v="94"/>
    <x v="2"/>
  </r>
  <r>
    <x v="0"/>
    <d v="2023-05-26T00:00:00"/>
    <x v="0"/>
    <x v="33"/>
    <n v="1"/>
    <s v="Artik R"/>
    <s v="Heimat"/>
    <s v="Fiesch"/>
    <n v="2"/>
    <n v="8"/>
    <x v="78"/>
    <x v="2"/>
  </r>
  <r>
    <x v="0"/>
    <d v="2023-05-27T00:00:00"/>
    <x v="0"/>
    <x v="33"/>
    <n v="1"/>
    <s v="Artik R"/>
    <s v="Galfera"/>
    <s v="Fiesch"/>
    <n v="1"/>
    <n v="41"/>
    <x v="76"/>
    <x v="2"/>
  </r>
  <r>
    <x v="0"/>
    <d v="2023-05-28T00:00:00"/>
    <x v="0"/>
    <x v="33"/>
    <n v="1"/>
    <s v="Artik R"/>
    <s v="Galfera"/>
    <s v="Baschi"/>
    <n v="1"/>
    <n v="6"/>
    <x v="44"/>
    <x v="2"/>
  </r>
  <r>
    <x v="0"/>
    <d v="2023-06-01T00:00:00"/>
    <x v="1"/>
    <x v="33"/>
    <n v="1"/>
    <s v="Artik R"/>
    <s v="Stierenberg"/>
    <s v="Farnern"/>
    <m/>
    <n v="43"/>
    <x v="118"/>
    <x v="2"/>
  </r>
  <r>
    <x v="0"/>
    <d v="2023-06-04T00:00:00"/>
    <x v="1"/>
    <x v="33"/>
    <n v="1"/>
    <s v="Artik R"/>
    <s v="Praia de Gralha"/>
    <s v="Praia de Gralha"/>
    <m/>
    <n v="16"/>
    <x v="19"/>
    <x v="23"/>
  </r>
  <r>
    <x v="0"/>
    <d v="2023-06-04T00:00:00"/>
    <x v="1"/>
    <x v="33"/>
    <n v="0"/>
    <s v="Artik R"/>
    <s v="Praia de Gralha"/>
    <s v="Praia de Gralha"/>
    <m/>
    <n v="24"/>
    <x v="61"/>
    <x v="23"/>
  </r>
  <r>
    <x v="0"/>
    <d v="2023-06-04T00:00:00"/>
    <x v="1"/>
    <x v="33"/>
    <n v="0"/>
    <s v="Artik R"/>
    <s v="Praia de Gralha"/>
    <s v="Praia de Gralha"/>
    <m/>
    <n v="17"/>
    <x v="26"/>
    <x v="23"/>
  </r>
  <r>
    <x v="0"/>
    <d v="2023-06-05T00:00:00"/>
    <x v="1"/>
    <x v="33"/>
    <n v="1"/>
    <s v="Artik R"/>
    <s v="Linhares"/>
    <s v="Linhares"/>
    <n v="1"/>
    <n v="1"/>
    <x v="31"/>
    <x v="23"/>
  </r>
  <r>
    <x v="0"/>
    <d v="2023-06-05T00:00:00"/>
    <x v="1"/>
    <x v="33"/>
    <n v="0"/>
    <s v="Artik R"/>
    <s v="Linhares"/>
    <s v="Linhares"/>
    <m/>
    <n v="12"/>
    <x v="6"/>
    <x v="23"/>
  </r>
  <r>
    <x v="0"/>
    <d v="2023-06-05T00:00:00"/>
    <x v="1"/>
    <x v="33"/>
    <n v="0"/>
    <s v="Artik R"/>
    <s v="Linhares"/>
    <s v="Linhares"/>
    <m/>
    <n v="28"/>
    <x v="63"/>
    <x v="23"/>
  </r>
  <r>
    <x v="0"/>
    <d v="2023-06-06T00:00:00"/>
    <x v="1"/>
    <x v="33"/>
    <n v="1"/>
    <s v="Artik R"/>
    <s v="Praia de Gralha"/>
    <s v="Praia de Gralha"/>
    <m/>
    <n v="5"/>
    <x v="2"/>
    <x v="23"/>
  </r>
  <r>
    <x v="0"/>
    <d v="2023-06-08T00:00:00"/>
    <x v="1"/>
    <x v="33"/>
    <n v="1"/>
    <s v="Artik R"/>
    <s v="Matalascanas"/>
    <s v="Matalascanas"/>
    <m/>
    <n v="49"/>
    <x v="79"/>
    <x v="23"/>
  </r>
  <r>
    <x v="0"/>
    <d v="2023-06-09T00:00:00"/>
    <x v="1"/>
    <x v="33"/>
    <n v="1"/>
    <s v="Artik R"/>
    <s v="Matalascanas"/>
    <s v="Matalascanas"/>
    <n v="2"/>
    <n v="13"/>
    <x v="107"/>
    <x v="23"/>
  </r>
  <r>
    <x v="0"/>
    <d v="2023-06-10T00:00:00"/>
    <x v="1"/>
    <x v="33"/>
    <n v="1"/>
    <s v="Artik R"/>
    <s v="Castelo de Vide"/>
    <s v="Castelo de Vide"/>
    <m/>
    <n v="36"/>
    <x v="39"/>
    <x v="23"/>
  </r>
  <r>
    <x v="0"/>
    <d v="2023-06-16T00:00:00"/>
    <x v="1"/>
    <x v="33"/>
    <n v="1"/>
    <s v="Artik R"/>
    <s v="Klabiniai"/>
    <s v="Klabiniai"/>
    <m/>
    <n v="10"/>
    <x v="4"/>
    <x v="36"/>
  </r>
  <r>
    <x v="0"/>
    <d v="2023-06-16T00:00:00"/>
    <x v="1"/>
    <x v="33"/>
    <n v="0"/>
    <s v="Artik R"/>
    <s v="Klabiniai"/>
    <s v="Klabiniai"/>
    <m/>
    <n v="18"/>
    <x v="57"/>
    <x v="36"/>
  </r>
  <r>
    <x v="0"/>
    <d v="2023-06-17T00:00:00"/>
    <x v="1"/>
    <x v="33"/>
    <n v="1"/>
    <s v="Artik R"/>
    <s v="Medeisiai"/>
    <s v="Kalbutiskes"/>
    <n v="1"/>
    <n v="43"/>
    <x v="106"/>
    <x v="36"/>
  </r>
  <r>
    <x v="0"/>
    <d v="2023-06-18T00:00:00"/>
    <x v="1"/>
    <x v="33"/>
    <n v="1"/>
    <s v="Artik R"/>
    <s v="Daugavpils"/>
    <s v="Daugavpils"/>
    <n v="1"/>
    <n v="3"/>
    <x v="25"/>
    <x v="36"/>
  </r>
  <r>
    <x v="0"/>
    <d v="2023-06-19T00:00:00"/>
    <x v="1"/>
    <x v="33"/>
    <n v="1"/>
    <s v="Artik R"/>
    <s v="Daugavpils"/>
    <s v="Daugavpils"/>
    <m/>
    <n v="12"/>
    <x v="6"/>
    <x v="36"/>
  </r>
  <r>
    <x v="0"/>
    <d v="2023-06-19T00:00:00"/>
    <x v="1"/>
    <x v="33"/>
    <n v="0"/>
    <s v="Artik R"/>
    <s v="Daugavpils"/>
    <s v="Daugavpils"/>
    <m/>
    <n v="13"/>
    <x v="18"/>
    <x v="36"/>
  </r>
  <r>
    <x v="0"/>
    <d v="2023-06-20T00:00:00"/>
    <x v="1"/>
    <x v="33"/>
    <n v="1"/>
    <s v="Artik R"/>
    <s v="Gulbene"/>
    <s v="Pociems"/>
    <n v="5"/>
    <n v="42"/>
    <x v="200"/>
    <x v="36"/>
  </r>
  <r>
    <x v="0"/>
    <d v="2023-06-21T00:00:00"/>
    <x v="1"/>
    <x v="33"/>
    <n v="1"/>
    <s v="Artik R"/>
    <s v="Gulbene"/>
    <s v="Burtnieki"/>
    <n v="4"/>
    <n v="29"/>
    <x v="201"/>
    <x v="36"/>
  </r>
  <r>
    <x v="0"/>
    <d v="2023-06-22T00:00:00"/>
    <x v="1"/>
    <x v="33"/>
    <n v="1"/>
    <s v="Artik R"/>
    <s v="Dreverna"/>
    <s v="Dreverna"/>
    <m/>
    <n v="7"/>
    <x v="1"/>
    <x v="36"/>
  </r>
  <r>
    <x v="0"/>
    <d v="2023-06-23T00:00:00"/>
    <x v="1"/>
    <x v="33"/>
    <n v="1"/>
    <s v="Artik R"/>
    <s v="Miegenai"/>
    <s v="Leliunai"/>
    <n v="3"/>
    <n v="30"/>
    <x v="202"/>
    <x v="36"/>
  </r>
  <r>
    <x v="0"/>
    <d v="2023-06-28T00:00:00"/>
    <x v="1"/>
    <x v="33"/>
    <n v="1"/>
    <s v="Artik R"/>
    <s v="Heimat"/>
    <s v="Fiesch"/>
    <m/>
    <n v="16"/>
    <x v="19"/>
    <x v="2"/>
  </r>
  <r>
    <x v="0"/>
    <d v="2023-06-28T00:00:00"/>
    <x v="1"/>
    <x v="33"/>
    <n v="0"/>
    <s v="Artik R"/>
    <s v="Heimat"/>
    <s v="Münster"/>
    <m/>
    <n v="56"/>
    <x v="68"/>
    <x v="2"/>
  </r>
  <r>
    <x v="0"/>
    <d v="2023-06-29T00:00:00"/>
    <x v="1"/>
    <x v="33"/>
    <n v="1"/>
    <s v="Artik R"/>
    <s v="Heimat"/>
    <s v="Baschi"/>
    <m/>
    <n v="41"/>
    <x v="115"/>
    <x v="2"/>
  </r>
  <r>
    <x v="0"/>
    <d v="2023-07-04T00:00:00"/>
    <x v="2"/>
    <x v="33"/>
    <n v="1"/>
    <s v="Artik R"/>
    <s v="Heimat"/>
    <s v="Baschi"/>
    <n v="1"/>
    <n v="1"/>
    <x v="31"/>
    <x v="2"/>
  </r>
  <r>
    <x v="0"/>
    <d v="2023-07-07T00:00:00"/>
    <x v="2"/>
    <x v="33"/>
    <n v="1"/>
    <s v="Artik R"/>
    <s v="Galfera"/>
    <s v="Baschi"/>
    <n v="2"/>
    <n v="0"/>
    <x v="10"/>
    <x v="2"/>
  </r>
  <r>
    <x v="0"/>
    <d v="2023-07-09T00:00:00"/>
    <x v="2"/>
    <x v="33"/>
    <n v="1"/>
    <s v="Artik R"/>
    <s v="Galfera"/>
    <s v="Disentis"/>
    <n v="3"/>
    <n v="26"/>
    <x v="203"/>
    <x v="2"/>
  </r>
  <r>
    <x v="0"/>
    <d v="2023-07-10T00:00:00"/>
    <x v="2"/>
    <x v="33"/>
    <n v="1"/>
    <s v="Artik R"/>
    <s v="Galfera"/>
    <s v="Fiesch"/>
    <n v="1"/>
    <n v="4"/>
    <x v="38"/>
    <x v="2"/>
  </r>
  <r>
    <x v="0"/>
    <d v="2023-07-11T00:00:00"/>
    <x v="2"/>
    <x v="33"/>
    <n v="1"/>
    <s v="Artik R"/>
    <s v="Heimat"/>
    <s v="Baschi"/>
    <n v="1"/>
    <n v="13"/>
    <x v="94"/>
    <x v="2"/>
  </r>
  <r>
    <x v="0"/>
    <d v="2023-07-20T00:00:00"/>
    <x v="2"/>
    <x v="33"/>
    <n v="1"/>
    <s v="Artik R"/>
    <s v="Heimat"/>
    <s v="Baschi"/>
    <n v="1"/>
    <n v="27"/>
    <x v="129"/>
    <x v="2"/>
  </r>
  <r>
    <x v="0"/>
    <d v="2023-07-22T00:00:00"/>
    <x v="2"/>
    <x v="33"/>
    <n v="1"/>
    <s v="Artik R"/>
    <s v="Heimat"/>
    <s v="Fiesch"/>
    <m/>
    <n v="45"/>
    <x v="27"/>
    <x v="2"/>
  </r>
  <r>
    <x v="0"/>
    <d v="2023-07-27T00:00:00"/>
    <x v="2"/>
    <x v="33"/>
    <n v="1"/>
    <s v="Artik R"/>
    <s v="Heimat"/>
    <s v="Baschi"/>
    <n v="1"/>
    <n v="33"/>
    <x v="159"/>
    <x v="2"/>
  </r>
  <r>
    <x v="0"/>
    <d v="2023-07-28T00:00:00"/>
    <x v="2"/>
    <x v="33"/>
    <n v="1"/>
    <s v="Artik R"/>
    <s v="Heimat"/>
    <s v="Baschi"/>
    <n v="1"/>
    <n v="0"/>
    <x v="47"/>
    <x v="2"/>
  </r>
  <r>
    <x v="0"/>
    <d v="2023-07-31T00:00:00"/>
    <x v="2"/>
    <x v="33"/>
    <n v="1"/>
    <s v="Artik R"/>
    <s v="Heimat"/>
    <s v="Ritzinger Feld"/>
    <n v="1"/>
    <n v="23"/>
    <x v="102"/>
    <x v="2"/>
  </r>
  <r>
    <x v="0"/>
    <d v="2023-08-04T00:00:00"/>
    <x v="3"/>
    <x v="33"/>
    <n v="1"/>
    <s v="Artik R"/>
    <s v="Heimat"/>
    <s v="Baschi"/>
    <m/>
    <n v="53"/>
    <x v="137"/>
    <x v="2"/>
  </r>
  <r>
    <x v="0"/>
    <d v="2023-08-08T00:00:00"/>
    <x v="3"/>
    <x v="33"/>
    <n v="1"/>
    <s v="Artik R"/>
    <s v="Heimat"/>
    <s v="Fiesch"/>
    <m/>
    <n v="46"/>
    <x v="141"/>
    <x v="2"/>
  </r>
  <r>
    <x v="0"/>
    <d v="2023-08-09T00:00:00"/>
    <x v="3"/>
    <x v="33"/>
    <n v="1"/>
    <s v="Artik R"/>
    <s v="Heimat"/>
    <s v="Fiesch"/>
    <m/>
    <n v="36"/>
    <x v="39"/>
    <x v="2"/>
  </r>
  <r>
    <x v="0"/>
    <d v="2023-08-10T00:00:00"/>
    <x v="3"/>
    <x v="33"/>
    <n v="1"/>
    <s v="Artik R"/>
    <s v="Galfera"/>
    <s v="Baschi"/>
    <n v="1"/>
    <n v="10"/>
    <x v="142"/>
    <x v="2"/>
  </r>
  <r>
    <x v="0"/>
    <d v="2023-08-11T00:00:00"/>
    <x v="3"/>
    <x v="33"/>
    <n v="1"/>
    <s v="Artik R"/>
    <s v="Galfera"/>
    <s v="Interlaken"/>
    <n v="4"/>
    <n v="56"/>
    <x v="204"/>
    <x v="2"/>
  </r>
  <r>
    <x v="0"/>
    <d v="2023-08-12T00:00:00"/>
    <x v="3"/>
    <x v="33"/>
    <n v="1"/>
    <s v="Artik R"/>
    <s v="Steibenkreuz"/>
    <s v="Baschi"/>
    <n v="2"/>
    <n v="1"/>
    <x v="62"/>
    <x v="2"/>
  </r>
  <r>
    <x v="0"/>
    <d v="2023-08-13T00:00:00"/>
    <x v="3"/>
    <x v="33"/>
    <n v="1"/>
    <s v="Artik R"/>
    <s v="Steibenkreuz"/>
    <s v="Ritzinger Feld"/>
    <n v="2"/>
    <n v="20"/>
    <x v="130"/>
    <x v="2"/>
  </r>
  <r>
    <x v="0"/>
    <d v="2023-08-14T00:00:00"/>
    <x v="3"/>
    <x v="33"/>
    <n v="1"/>
    <s v="Artik R"/>
    <s v="Steibenkreuz"/>
    <s v="Ritzinger Feld"/>
    <m/>
    <n v="33"/>
    <x v="59"/>
    <x v="2"/>
  </r>
  <r>
    <x v="0"/>
    <d v="2023-08-15T00:00:00"/>
    <x v="3"/>
    <x v="33"/>
    <n v="1"/>
    <s v="Artik R"/>
    <s v="Steibenkreuz"/>
    <s v="Baschi"/>
    <n v="1"/>
    <n v="27"/>
    <x v="129"/>
    <x v="2"/>
  </r>
  <r>
    <x v="0"/>
    <d v="2023-08-18T00:00:00"/>
    <x v="3"/>
    <x v="33"/>
    <n v="1"/>
    <s v="Artik R"/>
    <s v="Steibenkreuz"/>
    <s v="Baschi"/>
    <n v="1"/>
    <n v="32"/>
    <x v="32"/>
    <x v="2"/>
  </r>
  <r>
    <x v="0"/>
    <d v="2023-08-19T00:00:00"/>
    <x v="3"/>
    <x v="33"/>
    <n v="1"/>
    <s v="Artik R"/>
    <s v="Galfera"/>
    <s v="Fiesch"/>
    <n v="1"/>
    <n v="31"/>
    <x v="24"/>
    <x v="2"/>
  </r>
  <r>
    <x v="0"/>
    <d v="2023-08-21T00:00:00"/>
    <x v="3"/>
    <x v="33"/>
    <n v="1"/>
    <s v="Artik R"/>
    <s v="Galfera"/>
    <s v="Fiesch"/>
    <m/>
    <n v="13"/>
    <x v="18"/>
    <x v="2"/>
  </r>
  <r>
    <x v="0"/>
    <d v="2023-08-21T00:00:00"/>
    <x v="3"/>
    <x v="33"/>
    <n v="0"/>
    <s v="Artik R"/>
    <s v="Cret du Midi"/>
    <s v="Becs de Bosson"/>
    <m/>
    <n v="30"/>
    <x v="8"/>
    <x v="2"/>
  </r>
  <r>
    <x v="0"/>
    <d v="2023-08-21T00:00:00"/>
    <x v="3"/>
    <x v="33"/>
    <n v="0"/>
    <s v="Artik R"/>
    <s v="Becs de Bosson"/>
    <s v="Chalais"/>
    <m/>
    <n v="48"/>
    <x v="135"/>
    <x v="2"/>
  </r>
  <r>
    <x v="0"/>
    <d v="2023-08-22T00:00:00"/>
    <x v="3"/>
    <x v="33"/>
    <n v="1"/>
    <s v="Artik R"/>
    <s v="Steibenkreuz"/>
    <s v="Airolo"/>
    <n v="2"/>
    <n v="14"/>
    <x v="146"/>
    <x v="2"/>
  </r>
  <r>
    <x v="0"/>
    <d v="2023-08-23T00:00:00"/>
    <x v="3"/>
    <x v="33"/>
    <n v="1"/>
    <s v="Artik R"/>
    <s v="Steibenkreuz"/>
    <s v="Baschi"/>
    <n v="1"/>
    <n v="11"/>
    <x v="60"/>
    <x v="2"/>
  </r>
  <r>
    <x v="0"/>
    <d v="2023-08-24T00:00:00"/>
    <x v="3"/>
    <x v="33"/>
    <n v="1"/>
    <s v="Artik R"/>
    <s v="Heimat"/>
    <s v="Fiesch"/>
    <n v="1"/>
    <n v="53"/>
    <x v="98"/>
    <x v="2"/>
  </r>
  <r>
    <x v="0"/>
    <d v="2023-09-04T00:00:00"/>
    <x v="4"/>
    <x v="33"/>
    <n v="1"/>
    <s v="Artik R"/>
    <s v="Berga Primera Mari"/>
    <s v="Berga"/>
    <n v="1"/>
    <m/>
    <x v="47"/>
    <x v="32"/>
  </r>
  <r>
    <x v="0"/>
    <d v="2023-09-05T00:00:00"/>
    <x v="4"/>
    <x v="33"/>
    <n v="1"/>
    <s v="Artik R"/>
    <s v="Berga Serrat de la Figuera"/>
    <s v="Espunyola"/>
    <n v="2"/>
    <n v="13"/>
    <x v="107"/>
    <x v="32"/>
  </r>
  <r>
    <x v="0"/>
    <d v="2023-09-06T00:00:00"/>
    <x v="4"/>
    <x v="33"/>
    <n v="1"/>
    <s v="Artik R"/>
    <s v="Ager Monsec d'Ares"/>
    <s v="Tremp"/>
    <n v="3"/>
    <n v="2"/>
    <x v="205"/>
    <x v="32"/>
  </r>
  <r>
    <x v="0"/>
    <d v="2023-09-07T00:00:00"/>
    <x v="4"/>
    <x v="33"/>
    <n v="1"/>
    <s v="Artik R"/>
    <s v="Castejon de SOS (Liri)"/>
    <s v="Castejon de SOS (Liri)"/>
    <n v="1"/>
    <n v="29"/>
    <x v="155"/>
    <x v="32"/>
  </r>
  <r>
    <x v="0"/>
    <d v="2023-09-07T00:00:00"/>
    <x v="4"/>
    <x v="33"/>
    <n v="0"/>
    <s v="Artik R"/>
    <s v="Castejon de SOS (Liri)"/>
    <s v="Castejon de sos"/>
    <m/>
    <n v="52"/>
    <x v="37"/>
    <x v="32"/>
  </r>
  <r>
    <x v="0"/>
    <d v="2023-09-08T00:00:00"/>
    <x v="4"/>
    <x v="33"/>
    <n v="1"/>
    <s v="Artik R"/>
    <s v="Loarre"/>
    <s v="Loarre"/>
    <m/>
    <n v="21"/>
    <x v="97"/>
    <x v="32"/>
  </r>
  <r>
    <x v="0"/>
    <d v="2023-09-08T00:00:00"/>
    <x v="4"/>
    <x v="33"/>
    <n v="0"/>
    <s v="Artik R"/>
    <s v="Loarre"/>
    <s v="Murillo"/>
    <m/>
    <n v="43"/>
    <x v="118"/>
    <x v="32"/>
  </r>
  <r>
    <x v="0"/>
    <d v="2023-09-10T00:00:00"/>
    <x v="4"/>
    <x v="33"/>
    <n v="1"/>
    <s v="Artik R"/>
    <s v="Barcina de los Mon"/>
    <s v="Navas"/>
    <m/>
    <n v="14"/>
    <x v="11"/>
    <x v="32"/>
  </r>
  <r>
    <x v="0"/>
    <d v="2023-09-10T00:00:00"/>
    <x v="4"/>
    <x v="33"/>
    <n v="0"/>
    <s v="Artik R"/>
    <s v="Barcina de los Mon"/>
    <s v="La Parte de Bureba"/>
    <m/>
    <n v="46"/>
    <x v="141"/>
    <x v="32"/>
  </r>
  <r>
    <x v="0"/>
    <d v="2023-09-12T00:00:00"/>
    <x v="4"/>
    <x v="33"/>
    <n v="1"/>
    <s v="Artik R"/>
    <s v="Piedrehita Pena Negra"/>
    <s v="Horcajo Medianero"/>
    <n v="3"/>
    <n v="13"/>
    <x v="206"/>
    <x v="37"/>
  </r>
  <r>
    <x v="0"/>
    <d v="2023-09-13T00:00:00"/>
    <x v="4"/>
    <x v="33"/>
    <n v="1"/>
    <s v="Artik R"/>
    <s v="Pedro Bernardo East"/>
    <s v="Tejeda de Tietar"/>
    <n v="4"/>
    <n v="15"/>
    <x v="207"/>
    <x v="37"/>
  </r>
  <r>
    <x v="0"/>
    <d v="2023-09-14T00:00:00"/>
    <x v="4"/>
    <x v="33"/>
    <n v="1"/>
    <s v="Artik R"/>
    <s v="Pedro Bernardo East"/>
    <s v="Lanzahita"/>
    <m/>
    <n v="26"/>
    <x v="134"/>
    <x v="37"/>
  </r>
  <r>
    <x v="0"/>
    <d v="2023-09-15T00:00:00"/>
    <x v="4"/>
    <x v="33"/>
    <n v="1"/>
    <s v="Artik R"/>
    <s v="Cebreros Avila"/>
    <s v="Cebreros"/>
    <m/>
    <n v="23"/>
    <x v="92"/>
    <x v="37"/>
  </r>
  <r>
    <x v="0"/>
    <d v="2023-09-20T00:00:00"/>
    <x v="4"/>
    <x v="33"/>
    <n v="1"/>
    <s v="Artik R"/>
    <s v="Heimat"/>
    <s v="Baschi"/>
    <m/>
    <n v="42"/>
    <x v="66"/>
    <x v="2"/>
  </r>
  <r>
    <x v="0"/>
    <d v="2023-09-24T00:00:00"/>
    <x v="4"/>
    <x v="33"/>
    <n v="1"/>
    <s v="Artik R"/>
    <s v="Heimat"/>
    <s v="Fiesch"/>
    <n v="1"/>
    <n v="4"/>
    <x v="38"/>
    <x v="2"/>
  </r>
  <r>
    <x v="0"/>
    <d v="2023-09-25T00:00:00"/>
    <x v="4"/>
    <x v="33"/>
    <n v="1"/>
    <s v="Artik R"/>
    <s v="Heimat"/>
    <s v="Fiesch"/>
    <m/>
    <n v="43"/>
    <x v="118"/>
    <x v="2"/>
  </r>
  <r>
    <x v="0"/>
    <d v="2023-09-28T00:00:00"/>
    <x v="4"/>
    <x v="33"/>
    <n v="1"/>
    <s v="Pi2 27"/>
    <s v="Messersee"/>
    <s v="Binn"/>
    <m/>
    <n v="7"/>
    <x v="1"/>
    <x v="2"/>
  </r>
  <r>
    <x v="0"/>
    <d v="2023-09-30T00:00:00"/>
    <x v="4"/>
    <x v="33"/>
    <n v="1"/>
    <s v="Artik R"/>
    <s v="Courtet"/>
    <s v="Courtet"/>
    <m/>
    <n v="59"/>
    <x v="120"/>
    <x v="48"/>
  </r>
  <r>
    <x v="0"/>
    <d v="2023-10-01T00:00:00"/>
    <x v="5"/>
    <x v="33"/>
    <n v="1"/>
    <s v="Artik R"/>
    <s v="Les Richards"/>
    <s v="Les Richards"/>
    <n v="1"/>
    <n v="52"/>
    <x v="105"/>
    <x v="48"/>
  </r>
  <r>
    <x v="0"/>
    <d v="2023-10-02T00:00:00"/>
    <x v="5"/>
    <x v="33"/>
    <n v="1"/>
    <s v="Artik R"/>
    <s v="Puy Aillaud"/>
    <s v="Valiouise"/>
    <n v="2"/>
    <n v="35"/>
    <x v="108"/>
    <x v="48"/>
  </r>
  <r>
    <x v="0"/>
    <d v="2023-10-03T00:00:00"/>
    <x v="5"/>
    <x v="33"/>
    <n v="1"/>
    <s v="Artik R"/>
    <s v="St Vincent Les Forts"/>
    <s v="St Vincent Les Forts"/>
    <m/>
    <n v="26"/>
    <x v="134"/>
    <x v="48"/>
  </r>
  <r>
    <x v="0"/>
    <d v="2023-10-03T00:00:00"/>
    <x v="5"/>
    <x v="33"/>
    <n v="0"/>
    <s v="Artik R"/>
    <s v="St Vincent Les Forts"/>
    <s v="St Vincent Les Forts"/>
    <m/>
    <n v="27"/>
    <x v="34"/>
    <x v="48"/>
  </r>
  <r>
    <x v="0"/>
    <d v="2023-10-04T00:00:00"/>
    <x v="5"/>
    <x v="33"/>
    <n v="1"/>
    <s v="Artik R"/>
    <s v="Chalves S"/>
    <s v="St. André"/>
    <n v="4"/>
    <n v="18"/>
    <x v="208"/>
    <x v="48"/>
  </r>
  <r>
    <x v="0"/>
    <d v="2023-10-05T00:00:00"/>
    <x v="5"/>
    <x v="33"/>
    <n v="1"/>
    <s v="Artik R"/>
    <s v="Chalves S"/>
    <s v="St. André"/>
    <n v="2"/>
    <n v="30"/>
    <x v="77"/>
    <x v="48"/>
  </r>
  <r>
    <x v="0"/>
    <d v="2023-10-06T00:00:00"/>
    <x v="5"/>
    <x v="33"/>
    <n v="1"/>
    <s v="Artik R"/>
    <s v="Montdenir - Moustiers-Sainte-Marie"/>
    <s v="See"/>
    <n v="2"/>
    <n v="38"/>
    <x v="82"/>
    <x v="48"/>
  </r>
  <r>
    <x v="0"/>
    <d v="2023-10-08T00:00:00"/>
    <x v="5"/>
    <x v="33"/>
    <n v="1"/>
    <s v="Artik R"/>
    <s v="Heimat"/>
    <s v="Ritzinger Feld"/>
    <n v="1"/>
    <n v="37"/>
    <x v="143"/>
    <x v="2"/>
  </r>
  <r>
    <x v="0"/>
    <d v="2023-10-09T00:00:00"/>
    <x v="5"/>
    <x v="33"/>
    <n v="1"/>
    <s v="Artik R"/>
    <s v="Heimat"/>
    <s v="Fiesch"/>
    <m/>
    <n v="53"/>
    <x v="137"/>
    <x v="2"/>
  </r>
  <r>
    <x v="0"/>
    <d v="2023-10-10T00:00:00"/>
    <x v="5"/>
    <x v="33"/>
    <n v="1"/>
    <s v="Artik R"/>
    <s v="Heimat"/>
    <s v="Baschi"/>
    <n v="1"/>
    <n v="17"/>
    <x v="73"/>
    <x v="2"/>
  </r>
  <r>
    <x v="0"/>
    <d v="2023-10-11T00:00:00"/>
    <x v="5"/>
    <x v="33"/>
    <n v="1"/>
    <s v="Artik R"/>
    <s v="Heimat"/>
    <s v="Baschi"/>
    <n v="1"/>
    <n v="40"/>
    <x v="48"/>
    <x v="2"/>
  </r>
  <r>
    <x v="0"/>
    <d v="2023-10-12T00:00:00"/>
    <x v="5"/>
    <x v="33"/>
    <n v="1"/>
    <s v="Artik R"/>
    <s v="Heimat"/>
    <s v="Ritzinger Feld"/>
    <m/>
    <n v="33"/>
    <x v="59"/>
    <x v="2"/>
  </r>
  <r>
    <x v="0"/>
    <d v="2023-10-21T00:00:00"/>
    <x v="5"/>
    <x v="33"/>
    <n v="1"/>
    <s v="Pi2 27"/>
    <s v="Heimat"/>
    <s v="Fiesch"/>
    <m/>
    <n v="10"/>
    <x v="4"/>
    <x v="2"/>
  </r>
  <r>
    <x v="0"/>
    <d v="2023-10-22T00:00:00"/>
    <x v="5"/>
    <x v="33"/>
    <n v="1"/>
    <s v="Artik R"/>
    <s v="Heimat"/>
    <s v="Ritzinger Feld"/>
    <n v="1"/>
    <n v="39"/>
    <x v="166"/>
    <x v="2"/>
  </r>
  <r>
    <x v="0"/>
    <d v="2023-10-28T00:00:00"/>
    <x v="5"/>
    <x v="33"/>
    <n v="1"/>
    <s v="Artik R"/>
    <s v="Heimat"/>
    <s v="Ritzinger Feld"/>
    <m/>
    <n v="35"/>
    <x v="119"/>
    <x v="2"/>
  </r>
  <r>
    <x v="0"/>
    <d v="2023-11-05T00:00:00"/>
    <x v="6"/>
    <x v="33"/>
    <n v="1"/>
    <s v="Artik R"/>
    <s v="Castala"/>
    <s v="Castala"/>
    <n v="1"/>
    <n v="7"/>
    <x v="136"/>
    <x v="49"/>
  </r>
  <r>
    <x v="0"/>
    <d v="2023-11-06T00:00:00"/>
    <x v="6"/>
    <x v="33"/>
    <n v="1"/>
    <s v="Artik R"/>
    <s v="Cenes de la Vega 2"/>
    <s v="Granada"/>
    <n v="1"/>
    <n v="16"/>
    <x v="100"/>
    <x v="49"/>
  </r>
  <r>
    <x v="0"/>
    <d v="2023-11-07T00:00:00"/>
    <x v="6"/>
    <x v="33"/>
    <n v="1"/>
    <s v="Artik R"/>
    <s v="Cerro de Irtabo"/>
    <s v="Almunecar"/>
    <n v="1"/>
    <n v="30"/>
    <x v="9"/>
    <x v="49"/>
  </r>
  <r>
    <x v="0"/>
    <d v="2023-11-08T00:00:00"/>
    <x v="6"/>
    <x v="33"/>
    <n v="1"/>
    <s v="Artik R"/>
    <s v="Orgiva"/>
    <s v="Orgiva"/>
    <m/>
    <n v="35"/>
    <x v="119"/>
    <x v="49"/>
  </r>
  <r>
    <x v="0"/>
    <d v="2023-11-08T00:00:00"/>
    <x v="6"/>
    <x v="33"/>
    <n v="0"/>
    <s v="Artik R"/>
    <s v="Alfamar"/>
    <s v="Almunecar"/>
    <m/>
    <n v="9"/>
    <x v="22"/>
    <x v="49"/>
  </r>
  <r>
    <x v="0"/>
    <d v="2023-11-09T00:00:00"/>
    <x v="6"/>
    <x v="33"/>
    <n v="1"/>
    <s v="Artik R"/>
    <s v="La Herradu"/>
    <s v="La Herradu"/>
    <m/>
    <n v="36"/>
    <x v="39"/>
    <x v="49"/>
  </r>
  <r>
    <x v="0"/>
    <d v="2023-11-10T00:00:00"/>
    <x v="6"/>
    <x v="33"/>
    <n v="1"/>
    <s v="Artik R"/>
    <s v="Castala"/>
    <s v="Castala"/>
    <m/>
    <n v="21"/>
    <x v="97"/>
    <x v="49"/>
  </r>
  <r>
    <x v="0"/>
    <d v="2023-12-07T00:00:00"/>
    <x v="10"/>
    <x v="33"/>
    <n v="1"/>
    <s v="Artik R"/>
    <s v="Heimat"/>
    <s v="Fiesch"/>
    <m/>
    <n v="18"/>
    <x v="57"/>
    <x v="2"/>
  </r>
  <r>
    <x v="0"/>
    <d v="2023-12-17T00:00:00"/>
    <x v="10"/>
    <x v="33"/>
    <n v="1"/>
    <s v="Artik R"/>
    <s v="Steibenkreuz"/>
    <s v="Fiesch"/>
    <m/>
    <n v="20"/>
    <x v="5"/>
    <x v="2"/>
  </r>
  <r>
    <x v="0"/>
    <d v="2023-12-18T00:00:00"/>
    <x v="10"/>
    <x v="33"/>
    <n v="1"/>
    <s v="Artik R"/>
    <s v="Steibenkreuz"/>
    <s v="Fiesch"/>
    <m/>
    <n v="39"/>
    <x v="131"/>
    <x v="2"/>
  </r>
  <r>
    <x v="0"/>
    <d v="2023-12-19T00:00:00"/>
    <x v="10"/>
    <x v="33"/>
    <n v="1"/>
    <s v="Artik R"/>
    <s v="Steibenkreuz"/>
    <s v="Baschi"/>
    <m/>
    <n v="40"/>
    <x v="33"/>
    <x v="2"/>
  </r>
  <r>
    <x v="0"/>
    <d v="2023-12-27T00:00:00"/>
    <x v="10"/>
    <x v="33"/>
    <n v="1"/>
    <s v="Artik R"/>
    <s v="Steibenkreuz"/>
    <s v="Baschi"/>
    <m/>
    <n v="25"/>
    <x v="52"/>
    <x v="2"/>
  </r>
  <r>
    <x v="0"/>
    <d v="2024-01-12T00:00:00"/>
    <x v="11"/>
    <x v="34"/>
    <n v="1"/>
    <s v="Artik R"/>
    <s v="Heimat"/>
    <s v="Fiesch"/>
    <m/>
    <n v="32"/>
    <x v="23"/>
    <x v="2"/>
  </r>
  <r>
    <x v="0"/>
    <d v="2024-01-13T00:00:00"/>
    <x v="11"/>
    <x v="34"/>
    <n v="1"/>
    <s v="Artik R"/>
    <s v="Steibenkreuz"/>
    <s v="Baschi"/>
    <m/>
    <n v="26"/>
    <x v="134"/>
    <x v="2"/>
  </r>
  <r>
    <x v="0"/>
    <d v="2024-01-20T00:00:00"/>
    <x v="11"/>
    <x v="34"/>
    <n v="1"/>
    <s v="Artik R"/>
    <s v="Heimat"/>
    <s v="Fiesch"/>
    <m/>
    <n v="16"/>
    <x v="19"/>
    <x v="2"/>
  </r>
  <r>
    <x v="0"/>
    <d v="2024-01-28T00:00:00"/>
    <x v="11"/>
    <x v="34"/>
    <n v="1"/>
    <s v="Artik R"/>
    <s v="Steibenkreuz"/>
    <s v="Baschi"/>
    <m/>
    <n v="58"/>
    <x v="95"/>
    <x v="2"/>
  </r>
  <r>
    <x v="0"/>
    <d v="2024-01-29T00:00:00"/>
    <x v="11"/>
    <x v="34"/>
    <n v="1"/>
    <s v="Artik R"/>
    <s v="Steibenkreuz"/>
    <s v="Fiesch"/>
    <n v="1"/>
    <n v="25"/>
    <x v="113"/>
    <x v="2"/>
  </r>
  <r>
    <x v="0"/>
    <d v="2024-02-04T00:00:00"/>
    <x v="7"/>
    <x v="34"/>
    <n v="1"/>
    <s v="Artik R"/>
    <s v="Heimat"/>
    <s v="Baschi"/>
    <n v="1"/>
    <n v="7"/>
    <x v="136"/>
    <x v="2"/>
  </r>
  <r>
    <x v="0"/>
    <d v="2024-02-05T00:00:00"/>
    <x v="7"/>
    <x v="34"/>
    <n v="1"/>
    <s v="Artik R"/>
    <s v="Heimat"/>
    <s v="Ulrichen"/>
    <n v="1"/>
    <n v="8"/>
    <x v="54"/>
    <x v="2"/>
  </r>
  <r>
    <x v="0"/>
    <d v="2024-02-13T00:00:00"/>
    <x v="7"/>
    <x v="34"/>
    <n v="1"/>
    <s v="Artik R"/>
    <s v="Heimat"/>
    <s v="Baschi"/>
    <n v="1"/>
    <n v="12"/>
    <x v="88"/>
    <x v="2"/>
  </r>
  <r>
    <x v="0"/>
    <d v="2024-02-14T00:00:00"/>
    <x v="7"/>
    <x v="34"/>
    <n v="1"/>
    <s v="Artik R"/>
    <s v="Heimat"/>
    <s v="Baschi"/>
    <n v="1"/>
    <n v="14"/>
    <x v="149"/>
    <x v="2"/>
  </r>
  <r>
    <x v="0"/>
    <d v="2024-02-21T00:00:00"/>
    <x v="7"/>
    <x v="34"/>
    <n v="1"/>
    <s v="Artik R"/>
    <s v="Heimat"/>
    <s v="Ritzinger Feld"/>
    <n v="1"/>
    <n v="16"/>
    <x v="100"/>
    <x v="2"/>
  </r>
  <r>
    <x v="0"/>
    <d v="2024-02-24T00:00:00"/>
    <x v="7"/>
    <x v="34"/>
    <n v="1"/>
    <s v="Artik R"/>
    <s v="Steibenkreuz"/>
    <s v="Baschi"/>
    <m/>
    <n v="24"/>
    <x v="61"/>
    <x v="2"/>
  </r>
  <r>
    <x v="0"/>
    <d v="2024-03-07T00:00:00"/>
    <x v="8"/>
    <x v="34"/>
    <n v="1"/>
    <s v="Artik R"/>
    <s v="Heimat"/>
    <s v="Fiesch"/>
    <m/>
    <n v="25"/>
    <x v="52"/>
    <x v="2"/>
  </r>
  <r>
    <x v="0"/>
    <d v="2024-03-11T00:00:00"/>
    <x v="8"/>
    <x v="34"/>
    <n v="1"/>
    <s v="Artik R"/>
    <s v="Heimat"/>
    <s v="Fiesch"/>
    <m/>
    <n v="26"/>
    <x v="134"/>
    <x v="2"/>
  </r>
  <r>
    <x v="0"/>
    <d v="2024-03-14T00:00:00"/>
    <x v="8"/>
    <x v="34"/>
    <n v="1"/>
    <s v="Artik R"/>
    <s v="Heimat"/>
    <s v="Niederwald"/>
    <m/>
    <n v="56"/>
    <x v="68"/>
    <x v="2"/>
  </r>
  <r>
    <x v="0"/>
    <d v="2024-03-15T00:00:00"/>
    <x v="8"/>
    <x v="34"/>
    <n v="1"/>
    <s v="Artik R"/>
    <s v="Heimat"/>
    <s v="Baschi"/>
    <m/>
    <n v="22"/>
    <x v="42"/>
    <x v="2"/>
  </r>
  <r>
    <x v="0"/>
    <d v="2024-03-19T00:00:00"/>
    <x v="8"/>
    <x v="34"/>
    <n v="1"/>
    <s v="Artik R"/>
    <s v="Heimat"/>
    <s v="Baschi"/>
    <n v="1"/>
    <n v="14"/>
    <x v="149"/>
    <x v="2"/>
  </r>
  <r>
    <x v="0"/>
    <d v="2024-03-20T00:00:00"/>
    <x v="8"/>
    <x v="34"/>
    <n v="1"/>
    <s v="Artik R"/>
    <s v="Heimat"/>
    <s v="Baschi"/>
    <n v="1"/>
    <n v="24"/>
    <x v="151"/>
    <x v="2"/>
  </r>
  <r>
    <x v="0"/>
    <d v="2024-03-22T00:00:00"/>
    <x v="8"/>
    <x v="34"/>
    <n v="1"/>
    <s v="Artik R"/>
    <s v="Heimat"/>
    <s v="Baschi"/>
    <n v="1"/>
    <n v="7"/>
    <x v="136"/>
    <x v="2"/>
  </r>
  <r>
    <x v="0"/>
    <d v="2024-04-06T00:00:00"/>
    <x v="9"/>
    <x v="34"/>
    <n v="1"/>
    <s v="Artik R"/>
    <s v="Ätna"/>
    <s v="Mascali"/>
    <n v="1"/>
    <n v="10"/>
    <x v="142"/>
    <x v="50"/>
  </r>
  <r>
    <x v="0"/>
    <d v="2024-04-07T00:00:00"/>
    <x v="9"/>
    <x v="34"/>
    <n v="1"/>
    <s v="Artik R"/>
    <s v="Pizzo Calabro 1"/>
    <s v="Pizzo Calabro 1"/>
    <n v="1"/>
    <n v="34"/>
    <x v="13"/>
    <x v="50"/>
  </r>
  <r>
    <x v="0"/>
    <d v="2024-04-07T00:00:00"/>
    <x v="9"/>
    <x v="34"/>
    <n v="0"/>
    <s v="Artik R"/>
    <s v="Pizzo Calabro 1"/>
    <s v="Pizzo Calabro"/>
    <n v="1"/>
    <n v="3"/>
    <x v="25"/>
    <x v="50"/>
  </r>
  <r>
    <x v="0"/>
    <d v="2024-04-08T00:00:00"/>
    <x v="9"/>
    <x v="34"/>
    <n v="1"/>
    <s v="Artik R"/>
    <s v="Certosa di Padula"/>
    <s v="Padula"/>
    <n v="1"/>
    <n v="22"/>
    <x v="91"/>
    <x v="50"/>
  </r>
  <r>
    <x v="0"/>
    <d v="2024-04-08T00:00:00"/>
    <x v="9"/>
    <x v="34"/>
    <n v="0"/>
    <s v="Artik R"/>
    <s v="Monte Coccovello"/>
    <s v="Villammare"/>
    <m/>
    <n v="27"/>
    <x v="34"/>
    <x v="50"/>
  </r>
  <r>
    <x v="0"/>
    <d v="2024-04-09T00:00:00"/>
    <x v="9"/>
    <x v="34"/>
    <n v="1"/>
    <s v="Artik R"/>
    <s v="Monte Coccovello"/>
    <s v="Sapri"/>
    <n v="1"/>
    <n v="7"/>
    <x v="136"/>
    <x v="50"/>
  </r>
  <r>
    <x v="0"/>
    <d v="2024-04-10T00:00:00"/>
    <x v="9"/>
    <x v="34"/>
    <n v="1"/>
    <s v="Artik R"/>
    <s v="Atrigna"/>
    <s v="Atrigna"/>
    <n v="1"/>
    <n v="11"/>
    <x v="60"/>
    <x v="50"/>
  </r>
  <r>
    <x v="0"/>
    <d v="2024-04-11T00:00:00"/>
    <x v="9"/>
    <x v="34"/>
    <n v="1"/>
    <s v="Artik R"/>
    <s v="Monte di Capaccio Vecchio"/>
    <s v="Capo di Fiume"/>
    <m/>
    <n v="17"/>
    <x v="26"/>
    <x v="50"/>
  </r>
  <r>
    <x v="0"/>
    <d v="2024-04-12T00:00:00"/>
    <x v="9"/>
    <x v="34"/>
    <n v="1"/>
    <s v="Artik R"/>
    <s v="San Donato Val di Comino"/>
    <s v="Alvito"/>
    <n v="1"/>
    <n v="41"/>
    <x v="76"/>
    <x v="50"/>
  </r>
  <r>
    <x v="0"/>
    <d v="2024-04-13T00:00:00"/>
    <x v="9"/>
    <x v="34"/>
    <n v="1"/>
    <s v="Artik R"/>
    <s v="Campitello Matese"/>
    <s v="Alife"/>
    <n v="1"/>
    <n v="17"/>
    <x v="73"/>
    <x v="51"/>
  </r>
  <r>
    <x v="0"/>
    <d v="2024-04-14T00:00:00"/>
    <x v="9"/>
    <x v="34"/>
    <n v="1"/>
    <s v="Artik R"/>
    <s v="Cassino 1"/>
    <s v="Cassino"/>
    <n v="2"/>
    <n v="36"/>
    <x v="138"/>
    <x v="51"/>
  </r>
  <r>
    <x v="0"/>
    <d v="2024-04-15T00:00:00"/>
    <x v="9"/>
    <x v="34"/>
    <n v="1"/>
    <s v="Artik R"/>
    <s v="Norma"/>
    <s v="Norma"/>
    <m/>
    <n v="19"/>
    <x v="20"/>
    <x v="51"/>
  </r>
  <r>
    <x v="0"/>
    <d v="2024-04-16T00:00:00"/>
    <x v="9"/>
    <x v="34"/>
    <n v="1"/>
    <s v="Artik R"/>
    <s v="Monte Capanne 1"/>
    <s v="Orzignano"/>
    <m/>
    <n v="23"/>
    <x v="92"/>
    <x v="51"/>
  </r>
  <r>
    <x v="0"/>
    <d v="2024-04-17T00:00:00"/>
    <x v="9"/>
    <x v="34"/>
    <n v="1"/>
    <s v="Artik R"/>
    <s v="Monte Capanne 2"/>
    <s v="Orzignano"/>
    <m/>
    <n v="11"/>
    <x v="14"/>
    <x v="51"/>
  </r>
  <r>
    <x v="0"/>
    <d v="2024-04-19T00:00:00"/>
    <x v="9"/>
    <x v="34"/>
    <n v="1"/>
    <s v="Artik R"/>
    <s v="Monfestino"/>
    <s v="Zocca"/>
    <n v="1"/>
    <n v="21"/>
    <x v="140"/>
    <x v="51"/>
  </r>
  <r>
    <x v="1"/>
    <d v="2024-04-29T00:00:00"/>
    <x v="9"/>
    <x v="34"/>
    <n v="1"/>
    <s v="Artik R"/>
    <s v="Col de la Forclaz"/>
    <s v="Camping"/>
    <m/>
    <n v="8"/>
    <x v="3"/>
    <x v="52"/>
  </r>
  <r>
    <x v="1"/>
    <d v="2024-04-29T00:00:00"/>
    <x v="9"/>
    <x v="34"/>
    <n v="0"/>
    <s v="Sigma 11"/>
    <s v="Col de la Forclaz"/>
    <s v="Camping"/>
    <m/>
    <n v="8"/>
    <x v="3"/>
    <x v="52"/>
  </r>
  <r>
    <x v="1"/>
    <d v="2024-04-29T00:00:00"/>
    <x v="9"/>
    <x v="34"/>
    <n v="0"/>
    <s v="Sigma 11"/>
    <s v="Col de la Forclaz"/>
    <s v="Camping"/>
    <m/>
    <n v="8"/>
    <x v="3"/>
    <x v="52"/>
  </r>
  <r>
    <x v="1"/>
    <d v="2024-05-01T00:00:00"/>
    <x v="0"/>
    <x v="34"/>
    <n v="1"/>
    <s v="Artik R"/>
    <s v="Col de la Forclaz"/>
    <s v="Camping"/>
    <m/>
    <n v="8"/>
    <x v="3"/>
    <x v="52"/>
  </r>
  <r>
    <x v="1"/>
    <d v="2024-05-01T00:00:00"/>
    <x v="0"/>
    <x v="34"/>
    <n v="0"/>
    <s v="Artik R"/>
    <s v="Col de la Forclaz"/>
    <s v="Camping"/>
    <m/>
    <n v="8"/>
    <x v="3"/>
    <x v="52"/>
  </r>
  <r>
    <x v="1"/>
    <d v="2024-05-01T00:00:00"/>
    <x v="0"/>
    <x v="34"/>
    <n v="0"/>
    <s v="Artik R"/>
    <s v="Col de la Forclaz"/>
    <s v="Camping"/>
    <m/>
    <n v="8"/>
    <x v="3"/>
    <x v="52"/>
  </r>
  <r>
    <x v="0"/>
    <d v="2024-05-09T00:00:00"/>
    <x v="0"/>
    <x v="34"/>
    <n v="1"/>
    <s v="Artik R"/>
    <s v="Riederalp Mitte"/>
    <s v="Ritzinger Feld"/>
    <n v="1"/>
    <n v="43"/>
    <x v="106"/>
    <x v="2"/>
  </r>
  <r>
    <x v="0"/>
    <d v="2024-05-10T00:00:00"/>
    <x v="0"/>
    <x v="34"/>
    <n v="1"/>
    <s v="Artik R"/>
    <s v="Riederalp Mitte"/>
    <s v="Fiesch"/>
    <n v="1"/>
    <n v="38"/>
    <x v="128"/>
    <x v="2"/>
  </r>
  <r>
    <x v="0"/>
    <d v="2024-05-11T00:00:00"/>
    <x v="0"/>
    <x v="34"/>
    <n v="1"/>
    <s v="Artik R"/>
    <s v="Riederalp Mitte"/>
    <s v="Fiesch"/>
    <n v="1"/>
    <n v="40"/>
    <x v="48"/>
    <x v="2"/>
  </r>
  <r>
    <x v="0"/>
    <d v="2024-05-12T00:00:00"/>
    <x v="0"/>
    <x v="34"/>
    <n v="1"/>
    <s v="Artik R"/>
    <s v="Heimat"/>
    <s v="Fiesch"/>
    <n v="1"/>
    <n v="21"/>
    <x v="140"/>
    <x v="2"/>
  </r>
  <r>
    <x v="0"/>
    <d v="2024-05-17T00:00:00"/>
    <x v="0"/>
    <x v="34"/>
    <n v="1"/>
    <s v="Artik R"/>
    <s v="Riederalp Mitte"/>
    <s v="Fiesch"/>
    <m/>
    <n v="35"/>
    <x v="119"/>
    <x v="2"/>
  </r>
  <r>
    <x v="0"/>
    <d v="2024-05-19T00:00:00"/>
    <x v="0"/>
    <x v="34"/>
    <n v="1"/>
    <s v="Artik R"/>
    <s v="Riederalp Mitte"/>
    <s v="Baschi"/>
    <n v="1"/>
    <n v="5"/>
    <x v="45"/>
    <x v="2"/>
  </r>
  <r>
    <x v="0"/>
    <d v="2024-05-22T00:00:00"/>
    <x v="0"/>
    <x v="34"/>
    <n v="1"/>
    <s v="Artik R"/>
    <s v="Heimat"/>
    <s v="Baschi"/>
    <m/>
    <n v="42"/>
    <x v="66"/>
    <x v="2"/>
  </r>
  <r>
    <x v="0"/>
    <d v="2024-05-26T00:00:00"/>
    <x v="0"/>
    <x v="34"/>
    <n v="1"/>
    <s v="Artik R"/>
    <s v="First"/>
    <s v="Interlaken"/>
    <m/>
    <n v="54"/>
    <x v="28"/>
    <x v="2"/>
  </r>
  <r>
    <x v="0"/>
    <d v="2024-05-29T00:00:00"/>
    <x v="0"/>
    <x v="34"/>
    <n v="1"/>
    <s v="Artik R"/>
    <s v="Sierra de Lijar W"/>
    <s v="Landeplatz West"/>
    <m/>
    <n v="10"/>
    <x v="4"/>
    <x v="53"/>
  </r>
  <r>
    <x v="0"/>
    <d v="2024-05-30T00:00:00"/>
    <x v="0"/>
    <x v="34"/>
    <n v="1"/>
    <s v="Artik R"/>
    <s v="Sierra de Lijar SW"/>
    <s v="Landeplatz Süd"/>
    <n v="1"/>
    <n v="20"/>
    <x v="46"/>
    <x v="53"/>
  </r>
  <r>
    <x v="0"/>
    <d v="2024-05-30T00:00:00"/>
    <x v="0"/>
    <x v="34"/>
    <n v="0"/>
    <s v="Artik R"/>
    <s v="Sierra de Lijar W"/>
    <s v="Olvera Hotel"/>
    <n v="1"/>
    <n v="15"/>
    <x v="56"/>
    <x v="53"/>
  </r>
  <r>
    <x v="0"/>
    <d v="2024-05-31T00:00:00"/>
    <x v="0"/>
    <x v="34"/>
    <n v="1"/>
    <s v="Artik R"/>
    <s v="Sierra de Lijar SW"/>
    <s v="Montecorto"/>
    <n v="1"/>
    <n v="1"/>
    <x v="31"/>
    <x v="53"/>
  </r>
  <r>
    <x v="0"/>
    <d v="2024-05-31T00:00:00"/>
    <x v="0"/>
    <x v="34"/>
    <n v="0"/>
    <s v="Artik R"/>
    <s v="Sierra de Lijar W"/>
    <s v="Landeplatz West"/>
    <n v="1"/>
    <n v="18"/>
    <x v="87"/>
    <x v="53"/>
  </r>
  <r>
    <x v="0"/>
    <d v="2024-06-02T00:00:00"/>
    <x v="1"/>
    <x v="34"/>
    <n v="1"/>
    <s v="Artik R"/>
    <s v="Matalascanas"/>
    <s v="Matalascanas"/>
    <n v="2"/>
    <n v="20"/>
    <x v="130"/>
    <x v="53"/>
  </r>
  <r>
    <x v="0"/>
    <d v="2024-06-03T00:00:00"/>
    <x v="1"/>
    <x v="34"/>
    <n v="1"/>
    <s v="Artik R"/>
    <s v="Matalascanas"/>
    <s v="Strand"/>
    <m/>
    <n v="28"/>
    <x v="63"/>
    <x v="53"/>
  </r>
  <r>
    <x v="0"/>
    <d v="2024-06-04T00:00:00"/>
    <x v="1"/>
    <x v="34"/>
    <n v="1"/>
    <s v="Artik R"/>
    <s v="Praia da Gralha"/>
    <s v="Praia da Gralha"/>
    <m/>
    <n v="2"/>
    <x v="16"/>
    <x v="53"/>
  </r>
  <r>
    <x v="0"/>
    <d v="2024-06-04T00:00:00"/>
    <x v="1"/>
    <x v="34"/>
    <n v="0"/>
    <s v="Artik R"/>
    <s v="Praia da Gralha"/>
    <s v="Praia da Gralha"/>
    <m/>
    <n v="13"/>
    <x v="18"/>
    <x v="53"/>
  </r>
  <r>
    <x v="0"/>
    <d v="2024-06-04T00:00:00"/>
    <x v="1"/>
    <x v="34"/>
    <n v="0"/>
    <s v="Artik R"/>
    <s v="Praia da Gralha"/>
    <s v="Salgado"/>
    <m/>
    <n v="40"/>
    <x v="33"/>
    <x v="53"/>
  </r>
  <r>
    <x v="0"/>
    <d v="2024-06-05T00:00:00"/>
    <x v="1"/>
    <x v="34"/>
    <n v="1"/>
    <s v="Artik R"/>
    <s v="Praia da Gralha"/>
    <s v="Salgado"/>
    <n v="1"/>
    <n v="48"/>
    <x v="35"/>
    <x v="53"/>
  </r>
  <r>
    <x v="0"/>
    <d v="2024-06-06T00:00:00"/>
    <x v="1"/>
    <x v="34"/>
    <n v="1"/>
    <s v="Artik R"/>
    <s v="Castelo de Vide"/>
    <s v="Castelo de Vide"/>
    <m/>
    <n v="6"/>
    <x v="0"/>
    <x v="53"/>
  </r>
  <r>
    <x v="0"/>
    <d v="2024-06-13T00:00:00"/>
    <x v="1"/>
    <x v="34"/>
    <n v="1"/>
    <s v="Artik R"/>
    <s v="Dovydiskai"/>
    <s v="Dovydiskai"/>
    <m/>
    <n v="15"/>
    <x v="15"/>
    <x v="36"/>
  </r>
  <r>
    <x v="0"/>
    <d v="2024-06-13T00:00:00"/>
    <x v="1"/>
    <x v="34"/>
    <n v="0"/>
    <s v="Artik R"/>
    <s v="Dovydiskai"/>
    <s v="Vidisklai"/>
    <m/>
    <n v="57"/>
    <x v="49"/>
    <x v="36"/>
  </r>
  <r>
    <x v="0"/>
    <d v="2024-06-14T00:00:00"/>
    <x v="1"/>
    <x v="34"/>
    <n v="1"/>
    <s v="Artik R"/>
    <s v="Genetiniai"/>
    <s v="Genetiniai"/>
    <m/>
    <n v="14"/>
    <x v="11"/>
    <x v="36"/>
  </r>
  <r>
    <x v="0"/>
    <d v="2024-06-14T00:00:00"/>
    <x v="1"/>
    <x v="34"/>
    <n v="0"/>
    <s v="Artik R"/>
    <s v="Genetiniai"/>
    <s v="Kartanai"/>
    <m/>
    <n v="41"/>
    <x v="115"/>
    <x v="36"/>
  </r>
  <r>
    <x v="0"/>
    <d v="2024-06-15T00:00:00"/>
    <x v="1"/>
    <x v="34"/>
    <n v="1"/>
    <s v="Artik R"/>
    <s v="Genetiniai"/>
    <s v="Silagalys"/>
    <m/>
    <n v="34"/>
    <x v="50"/>
    <x v="36"/>
  </r>
  <r>
    <x v="0"/>
    <d v="2024-06-15T00:00:00"/>
    <x v="1"/>
    <x v="34"/>
    <n v="0"/>
    <s v="Artik R"/>
    <s v="Genetiniai"/>
    <s v="Veizelis"/>
    <m/>
    <n v="49"/>
    <x v="79"/>
    <x v="36"/>
  </r>
  <r>
    <x v="0"/>
    <d v="2024-06-16T00:00:00"/>
    <x v="1"/>
    <x v="34"/>
    <n v="1"/>
    <s v="Artik R"/>
    <s v="Klabiniai"/>
    <s v="Katerial"/>
    <m/>
    <n v="57"/>
    <x v="49"/>
    <x v="36"/>
  </r>
  <r>
    <x v="0"/>
    <d v="2024-06-16T00:00:00"/>
    <x v="1"/>
    <x v="34"/>
    <n v="0"/>
    <s v="Artik R"/>
    <s v="Klabiniai"/>
    <s v="Azuozerial"/>
    <m/>
    <n v="40"/>
    <x v="33"/>
    <x v="36"/>
  </r>
  <r>
    <x v="0"/>
    <d v="2024-06-17T00:00:00"/>
    <x v="1"/>
    <x v="34"/>
    <n v="1"/>
    <s v="Artik R"/>
    <s v="Saugos"/>
    <s v="Bruzai"/>
    <m/>
    <n v="21"/>
    <x v="97"/>
    <x v="36"/>
  </r>
  <r>
    <x v="0"/>
    <d v="2024-06-17T00:00:00"/>
    <x v="1"/>
    <x v="34"/>
    <n v="0"/>
    <s v="MacPara Verve 27"/>
    <s v="Deverna"/>
    <s v="Dreverna"/>
    <m/>
    <n v="19"/>
    <x v="20"/>
    <x v="36"/>
  </r>
  <r>
    <x v="0"/>
    <d v="2024-06-18T00:00:00"/>
    <x v="1"/>
    <x v="34"/>
    <n v="1"/>
    <s v="Artik R"/>
    <s v="Saugos"/>
    <s v="Zagatpurviai"/>
    <m/>
    <n v="16"/>
    <x v="19"/>
    <x v="36"/>
  </r>
  <r>
    <x v="0"/>
    <d v="2024-06-18T00:00:00"/>
    <x v="1"/>
    <x v="34"/>
    <n v="0"/>
    <s v="Artik R"/>
    <s v="Saugos"/>
    <s v="Razmai"/>
    <m/>
    <n v="30"/>
    <x v="8"/>
    <x v="36"/>
  </r>
  <r>
    <x v="0"/>
    <d v="2024-06-18T00:00:00"/>
    <x v="1"/>
    <x v="34"/>
    <n v="0"/>
    <s v="Artik R"/>
    <s v="Deverna"/>
    <s v="Deverna"/>
    <m/>
    <n v="19"/>
    <x v="20"/>
    <x v="36"/>
  </r>
  <r>
    <x v="0"/>
    <d v="2024-06-20T00:00:00"/>
    <x v="1"/>
    <x v="34"/>
    <n v="1"/>
    <s v="Artik R"/>
    <s v="Karkie"/>
    <s v="Karkie"/>
    <m/>
    <n v="43"/>
    <x v="118"/>
    <x v="36"/>
  </r>
  <r>
    <x v="0"/>
    <d v="2024-06-21T00:00:00"/>
    <x v="1"/>
    <x v="34"/>
    <n v="1"/>
    <s v="Artik R"/>
    <s v="Saugos"/>
    <s v="Pernarava"/>
    <n v="3"/>
    <n v="0"/>
    <x v="156"/>
    <x v="36"/>
  </r>
  <r>
    <x v="0"/>
    <d v="2024-06-24T00:00:00"/>
    <x v="1"/>
    <x v="34"/>
    <n v="1"/>
    <s v="Artik R"/>
    <s v="Heimat"/>
    <s v="Ritzinger Feld"/>
    <n v="1"/>
    <n v="2"/>
    <x v="110"/>
    <x v="2"/>
  </r>
  <r>
    <x v="0"/>
    <d v="2024-06-25T00:00:00"/>
    <x v="1"/>
    <x v="34"/>
    <n v="1"/>
    <s v="Artik R"/>
    <s v="Heimat"/>
    <s v="Ritzinger Feld"/>
    <n v="1"/>
    <n v="25"/>
    <x v="113"/>
    <x v="2"/>
  </r>
  <r>
    <x v="0"/>
    <d v="2024-06-27T00:00:00"/>
    <x v="1"/>
    <x v="34"/>
    <n v="1"/>
    <s v="Artik R"/>
    <s v="Heimat"/>
    <s v="Baschi"/>
    <n v="1"/>
    <n v="4"/>
    <x v="38"/>
    <x v="2"/>
  </r>
  <r>
    <x v="0"/>
    <d v="2024-06-28T00:00:00"/>
    <x v="1"/>
    <x v="34"/>
    <n v="1"/>
    <s v="Artik R"/>
    <s v="Heimat"/>
    <s v="Baschi"/>
    <n v="1"/>
    <n v="29"/>
    <x v="155"/>
    <x v="2"/>
  </r>
  <r>
    <x v="0"/>
    <d v="2024-07-04T00:00:00"/>
    <x v="2"/>
    <x v="34"/>
    <n v="1"/>
    <s v="Artik R"/>
    <s v="Heimat"/>
    <s v="Baschi"/>
    <m/>
    <n v="46"/>
    <x v="141"/>
    <x v="2"/>
  </r>
  <r>
    <x v="0"/>
    <d v="2024-07-05T00:00:00"/>
    <x v="2"/>
    <x v="34"/>
    <n v="1"/>
    <s v="Artik R"/>
    <s v="Heimat"/>
    <s v="Baschi"/>
    <n v="1"/>
    <n v="17"/>
    <x v="73"/>
    <x v="2"/>
  </r>
  <r>
    <x v="0"/>
    <d v="2024-07-09T00:00:00"/>
    <x v="2"/>
    <x v="34"/>
    <n v="1"/>
    <s v="Artik R"/>
    <s v="Heimat"/>
    <s v="Baschi"/>
    <m/>
    <n v="58"/>
    <x v="95"/>
    <x v="2"/>
  </r>
  <r>
    <x v="0"/>
    <d v="2024-07-11T00:00:00"/>
    <x v="2"/>
    <x v="34"/>
    <n v="1"/>
    <s v="Artik R"/>
    <s v="Heimat"/>
    <s v="Baschi"/>
    <n v="1"/>
    <n v="3"/>
    <x v="25"/>
    <x v="2"/>
  </r>
  <r>
    <x v="0"/>
    <d v="2024-07-13T00:00:00"/>
    <x v="2"/>
    <x v="34"/>
    <n v="1"/>
    <s v="Artik R"/>
    <s v="Heimat"/>
    <s v="Baschi"/>
    <n v="1"/>
    <n v="36"/>
    <x v="55"/>
    <x v="2"/>
  </r>
  <r>
    <x v="0"/>
    <d v="2024-07-14T00:00:00"/>
    <x v="2"/>
    <x v="34"/>
    <n v="1"/>
    <s v="Artik R"/>
    <s v="Heimat"/>
    <s v="Ritzinger Feld"/>
    <n v="1"/>
    <n v="15"/>
    <x v="56"/>
    <x v="2"/>
  </r>
  <r>
    <x v="0"/>
    <d v="2024-07-15T00:00:00"/>
    <x v="2"/>
    <x v="34"/>
    <n v="1"/>
    <s v="Artik R"/>
    <s v="Heimat"/>
    <s v="Obergestlen"/>
    <n v="1"/>
    <n v="22"/>
    <x v="91"/>
    <x v="2"/>
  </r>
  <r>
    <x v="0"/>
    <d v="2024-07-17T00:00:00"/>
    <x v="2"/>
    <x v="34"/>
    <n v="1"/>
    <s v="Artik R"/>
    <s v="Heimat"/>
    <s v="Baschi"/>
    <n v="1"/>
    <n v="31"/>
    <x v="24"/>
    <x v="2"/>
  </r>
  <r>
    <x v="0"/>
    <d v="2024-07-18T00:00:00"/>
    <x v="2"/>
    <x v="34"/>
    <n v="1"/>
    <s v="Artik R"/>
    <s v="Galfera"/>
    <s v="Baschi"/>
    <n v="1"/>
    <n v="1"/>
    <x v="31"/>
    <x v="2"/>
  </r>
  <r>
    <x v="0"/>
    <d v="2024-07-19T00:00:00"/>
    <x v="2"/>
    <x v="34"/>
    <n v="1"/>
    <s v="Artik R"/>
    <s v="Heimat"/>
    <s v="Ritzinger Feld"/>
    <m/>
    <n v="50"/>
    <x v="40"/>
    <x v="2"/>
  </r>
  <r>
    <x v="0"/>
    <d v="2024-07-20T00:00:00"/>
    <x v="2"/>
    <x v="34"/>
    <n v="1"/>
    <s v="Artik R"/>
    <s v="Galfera"/>
    <s v="Baschi"/>
    <n v="1"/>
    <n v="7"/>
    <x v="136"/>
    <x v="2"/>
  </r>
  <r>
    <x v="0"/>
    <d v="2024-07-23T00:00:00"/>
    <x v="2"/>
    <x v="34"/>
    <n v="1"/>
    <s v="Artik R"/>
    <s v="Steibenkreuz"/>
    <s v="Baschi"/>
    <m/>
    <n v="28"/>
    <x v="63"/>
    <x v="2"/>
  </r>
  <r>
    <x v="0"/>
    <d v="2024-07-24T00:00:00"/>
    <x v="2"/>
    <x v="34"/>
    <n v="1"/>
    <s v="Artik R"/>
    <s v="Galfera"/>
    <s v="Baschi"/>
    <n v="1"/>
    <n v="0"/>
    <x v="47"/>
    <x v="2"/>
  </r>
  <r>
    <x v="0"/>
    <d v="2024-07-25T00:00:00"/>
    <x v="2"/>
    <x v="34"/>
    <n v="1"/>
    <s v="Artik R"/>
    <s v="Heimat"/>
    <s v="Baschi"/>
    <n v="1"/>
    <n v="36"/>
    <x v="55"/>
    <x v="2"/>
  </r>
  <r>
    <x v="0"/>
    <d v="2024-07-26T00:00:00"/>
    <x v="2"/>
    <x v="34"/>
    <n v="1"/>
    <s v="Artik R"/>
    <s v="Heimat"/>
    <s v="Obergestlen"/>
    <n v="1"/>
    <n v="13"/>
    <x v="94"/>
    <x v="2"/>
  </r>
  <r>
    <x v="0"/>
    <d v="2024-07-27T00:00:00"/>
    <x v="2"/>
    <x v="34"/>
    <n v="1"/>
    <s v="Artik R"/>
    <s v="Heimat"/>
    <s v="Baschi"/>
    <m/>
    <n v="45"/>
    <x v="27"/>
    <x v="2"/>
  </r>
  <r>
    <x v="4"/>
    <d v="2024-07-29T00:00:00"/>
    <x v="2"/>
    <x v="34"/>
    <n v="1"/>
    <s v="BiBeta 4"/>
    <s v="Galfera"/>
    <s v="Ritzinger Feld"/>
    <n v="1"/>
    <n v="7"/>
    <x v="136"/>
    <x v="2"/>
  </r>
  <r>
    <x v="0"/>
    <d v="2024-07-30T00:00:00"/>
    <x v="2"/>
    <x v="34"/>
    <n v="1"/>
    <s v="Artik R"/>
    <s v="Heimat"/>
    <s v="Baschi"/>
    <n v="2"/>
    <n v="1"/>
    <x v="62"/>
    <x v="2"/>
  </r>
  <r>
    <x v="0"/>
    <d v="2024-07-31T00:00:00"/>
    <x v="2"/>
    <x v="34"/>
    <n v="1"/>
    <s v="Artik R"/>
    <s v="Heimat"/>
    <s v="Obergestlen"/>
    <m/>
    <n v="53"/>
    <x v="137"/>
    <x v="2"/>
  </r>
  <r>
    <x v="0"/>
    <d v="2024-08-04T00:00:00"/>
    <x v="3"/>
    <x v="34"/>
    <n v="1"/>
    <s v="Artik R"/>
    <s v="Galfera"/>
    <s v="Fiesch"/>
    <n v="1"/>
    <n v="5"/>
    <x v="45"/>
    <x v="2"/>
  </r>
  <r>
    <x v="0"/>
    <d v="2024-08-05T00:00:00"/>
    <x v="3"/>
    <x v="34"/>
    <n v="1"/>
    <s v="Artik R"/>
    <s v="Heimat"/>
    <s v="Ritzinger Feld"/>
    <n v="2"/>
    <n v="32"/>
    <x v="176"/>
    <x v="2"/>
  </r>
  <r>
    <x v="0"/>
    <d v="2024-08-06T00:00:00"/>
    <x v="3"/>
    <x v="34"/>
    <n v="1"/>
    <s v="Artik R"/>
    <s v="Heimat"/>
    <s v="Baschi"/>
    <n v="1"/>
    <n v="54"/>
    <x v="96"/>
    <x v="2"/>
  </r>
  <r>
    <x v="0"/>
    <d v="2024-08-08T00:00:00"/>
    <x v="3"/>
    <x v="34"/>
    <n v="1"/>
    <s v="Sigma 11"/>
    <s v="Heimat"/>
    <s v="Ritzinger Feld"/>
    <n v="1"/>
    <n v="46"/>
    <x v="170"/>
    <x v="2"/>
  </r>
  <r>
    <x v="0"/>
    <d v="2024-08-09T00:00:00"/>
    <x v="3"/>
    <x v="34"/>
    <n v="1"/>
    <s v="Sigma 11"/>
    <s v="Heimat"/>
    <s v="Baschi"/>
    <n v="2"/>
    <n v="5"/>
    <x v="65"/>
    <x v="2"/>
  </r>
  <r>
    <x v="0"/>
    <d v="2024-08-10T00:00:00"/>
    <x v="3"/>
    <x v="34"/>
    <n v="1"/>
    <s v="Sigma 11"/>
    <s v="Heimat"/>
    <s v="Interlaken"/>
    <n v="4"/>
    <n v="52"/>
    <x v="209"/>
    <x v="2"/>
  </r>
  <r>
    <x v="0"/>
    <d v="2024-08-11T00:00:00"/>
    <x v="3"/>
    <x v="34"/>
    <n v="1"/>
    <s v="Sigma 11"/>
    <s v="Heimat"/>
    <s v="Ritzinger Feld"/>
    <n v="2"/>
    <n v="13"/>
    <x v="107"/>
    <x v="2"/>
  </r>
  <r>
    <x v="0"/>
    <d v="2024-08-12T00:00:00"/>
    <x v="3"/>
    <x v="34"/>
    <n v="1"/>
    <s v="Sigma 11"/>
    <s v="Heimat"/>
    <s v="Fiesch"/>
    <n v="2"/>
    <n v="18"/>
    <x v="139"/>
    <x v="2"/>
  </r>
  <r>
    <x v="0"/>
    <d v="2024-08-13T00:00:00"/>
    <x v="3"/>
    <x v="34"/>
    <n v="1"/>
    <s v="Sigma 11"/>
    <s v="Galfera"/>
    <s v="Baschi"/>
    <n v="1"/>
    <n v="6"/>
    <x v="44"/>
    <x v="2"/>
  </r>
  <r>
    <x v="0"/>
    <d v="2024-08-14T00:00:00"/>
    <x v="3"/>
    <x v="34"/>
    <n v="1"/>
    <s v="Sigma 11"/>
    <s v="Heimat"/>
    <s v="Fiesch"/>
    <m/>
    <n v="13"/>
    <x v="18"/>
    <x v="2"/>
  </r>
  <r>
    <x v="0"/>
    <d v="2024-08-15T00:00:00"/>
    <x v="3"/>
    <x v="34"/>
    <n v="1"/>
    <s v="Sigma 11"/>
    <s v="Heimat"/>
    <s v="Baschi"/>
    <n v="1"/>
    <n v="55"/>
    <x v="148"/>
    <x v="2"/>
  </r>
  <r>
    <x v="0"/>
    <d v="2024-08-16T00:00:00"/>
    <x v="3"/>
    <x v="34"/>
    <n v="1"/>
    <s v="Sigma 11"/>
    <s v="Heimat"/>
    <s v="Baschi"/>
    <n v="1"/>
    <n v="12"/>
    <x v="88"/>
    <x v="2"/>
  </r>
  <r>
    <x v="0"/>
    <d v="2024-08-20T00:00:00"/>
    <x v="3"/>
    <x v="34"/>
    <n v="1"/>
    <s v="Artik R"/>
    <s v="Galfera"/>
    <s v="Baschi"/>
    <n v="2"/>
    <n v="15"/>
    <x v="81"/>
    <x v="2"/>
  </r>
  <r>
    <x v="0"/>
    <d v="2024-08-22T00:00:00"/>
    <x v="3"/>
    <x v="34"/>
    <n v="1"/>
    <s v="Artik R"/>
    <s v="Heimat"/>
    <s v="Ritzinger Feld"/>
    <m/>
    <n v="44"/>
    <x v="99"/>
    <x v="2"/>
  </r>
  <r>
    <x v="0"/>
    <d v="2024-08-24T00:00:00"/>
    <x v="3"/>
    <x v="34"/>
    <n v="1"/>
    <s v="Artik R"/>
    <s v="Heimat"/>
    <s v="Fiesch"/>
    <m/>
    <n v="50"/>
    <x v="40"/>
    <x v="2"/>
  </r>
  <r>
    <x v="0"/>
    <d v="2024-08-26T00:00:00"/>
    <x v="3"/>
    <x v="34"/>
    <n v="1"/>
    <s v="Artik R"/>
    <s v="Heimat"/>
    <s v="Ritzinger Feld"/>
    <n v="1"/>
    <n v="9"/>
    <x v="116"/>
    <x v="2"/>
  </r>
  <r>
    <x v="0"/>
    <d v="2024-08-27T00:00:00"/>
    <x v="3"/>
    <x v="34"/>
    <n v="1"/>
    <s v="Artik R"/>
    <s v="Heimat"/>
    <s v="Baschi"/>
    <m/>
    <n v="58"/>
    <x v="95"/>
    <x v="2"/>
  </r>
  <r>
    <x v="0"/>
    <d v="2024-08-28T00:00:00"/>
    <x v="3"/>
    <x v="34"/>
    <n v="1"/>
    <s v="Artik R"/>
    <s v="Galfera"/>
    <s v="Baschi"/>
    <n v="1"/>
    <n v="18"/>
    <x v="87"/>
    <x v="2"/>
  </r>
  <r>
    <x v="0"/>
    <d v="2024-08-29T00:00:00"/>
    <x v="3"/>
    <x v="34"/>
    <n v="1"/>
    <s v="Artik R"/>
    <s v="Galfera"/>
    <s v="Ritzinger Feld"/>
    <n v="2"/>
    <n v="40"/>
    <x v="86"/>
    <x v="2"/>
  </r>
  <r>
    <x v="0"/>
    <d v="2024-08-30T00:00:00"/>
    <x v="3"/>
    <x v="34"/>
    <n v="1"/>
    <s v="Artik R"/>
    <s v="Galfera"/>
    <s v="Baschi"/>
    <n v="2"/>
    <n v="37"/>
    <x v="198"/>
    <x v="2"/>
  </r>
  <r>
    <x v="0"/>
    <d v="2024-08-31T00:00:00"/>
    <x v="3"/>
    <x v="34"/>
    <n v="1"/>
    <s v="Artik R"/>
    <s v="Heimat"/>
    <s v="Mühle"/>
    <n v="1"/>
    <n v="4"/>
    <x v="38"/>
    <x v="2"/>
  </r>
  <r>
    <x v="0"/>
    <d v="2024-09-01T00:00:00"/>
    <x v="4"/>
    <x v="34"/>
    <n v="1"/>
    <s v="Artik R"/>
    <s v="Heimat"/>
    <s v="Fiesch"/>
    <n v="2"/>
    <n v="5"/>
    <x v="65"/>
    <x v="2"/>
  </r>
  <r>
    <x v="0"/>
    <d v="2024-09-03T00:00:00"/>
    <x v="4"/>
    <x v="34"/>
    <n v="1"/>
    <s v="Artik R"/>
    <s v="Heimat"/>
    <s v="Fiesch"/>
    <m/>
    <n v="17"/>
    <x v="26"/>
    <x v="2"/>
  </r>
  <r>
    <x v="0"/>
    <d v="2024-09-06T00:00:00"/>
    <x v="4"/>
    <x v="34"/>
    <n v="1"/>
    <s v="Artik R"/>
    <s v="Galfera"/>
    <s v="Baschi"/>
    <m/>
    <n v="59"/>
    <x v="120"/>
    <x v="2"/>
  </r>
  <r>
    <x v="0"/>
    <d v="2024-09-18T00:00:00"/>
    <x v="4"/>
    <x v="34"/>
    <n v="1"/>
    <s v="Artik R"/>
    <s v="Heimat"/>
    <s v="Baschi"/>
    <m/>
    <n v="39"/>
    <x v="131"/>
    <x v="2"/>
  </r>
  <r>
    <x v="0"/>
    <d v="2024-09-19T00:00:00"/>
    <x v="4"/>
    <x v="34"/>
    <n v="1"/>
    <s v="Artik R"/>
    <s v="Heimat"/>
    <s v="Baschi"/>
    <m/>
    <n v="59"/>
    <x v="120"/>
    <x v="2"/>
  </r>
  <r>
    <x v="0"/>
    <d v="2024-09-20T00:00:00"/>
    <x v="4"/>
    <x v="34"/>
    <n v="1"/>
    <s v="Artik R"/>
    <s v="Heimat"/>
    <s v="Ritzinger Feld"/>
    <n v="1"/>
    <n v="21"/>
    <x v="140"/>
    <x v="2"/>
  </r>
  <r>
    <x v="0"/>
    <d v="2021-09-21T00:00:00"/>
    <x v="4"/>
    <x v="31"/>
    <n v="1"/>
    <s v="Artik R"/>
    <s v="Santa Maria West"/>
    <s v="Santa Maria"/>
    <m/>
    <n v="16"/>
    <x v="19"/>
    <x v="54"/>
  </r>
  <r>
    <x v="0"/>
    <d v="2024-09-21T00:00:00"/>
    <x v="4"/>
    <x v="34"/>
    <n v="1"/>
    <s v="Artik R"/>
    <s v="Santa Maria West"/>
    <s v="Santa Maria"/>
    <m/>
    <n v="23"/>
    <x v="92"/>
    <x v="54"/>
  </r>
  <r>
    <x v="0"/>
    <d v="2024-09-22T00:00:00"/>
    <x v="4"/>
    <x v="34"/>
    <n v="1"/>
    <s v="Flow Fusion"/>
    <s v="Santa Maria Süd"/>
    <s v="Santa Maria"/>
    <m/>
    <n v="12"/>
    <x v="6"/>
    <x v="54"/>
  </r>
  <r>
    <x v="0"/>
    <d v="2024-09-25T00:00:00"/>
    <x v="4"/>
    <x v="34"/>
    <n v="1"/>
    <s v="Artik R"/>
    <s v="Heimat"/>
    <s v="Fiesch"/>
    <m/>
    <n v="18"/>
    <x v="57"/>
    <x v="2"/>
  </r>
  <r>
    <x v="0"/>
    <d v="2024-09-29T00:00:00"/>
    <x v="4"/>
    <x v="34"/>
    <n v="1"/>
    <s v="Artik R"/>
    <s v="Puy Aillaud"/>
    <s v="Valiouise"/>
    <n v="1"/>
    <n v="41"/>
    <x v="76"/>
    <x v="48"/>
  </r>
  <r>
    <x v="0"/>
    <d v="2024-09-30T00:00:00"/>
    <x v="4"/>
    <x v="34"/>
    <n v="1"/>
    <s v="Artik R"/>
    <s v="St Vincent Les Forts"/>
    <s v="St Vincent Les Forts"/>
    <m/>
    <n v="22"/>
    <x v="42"/>
    <x v="48"/>
  </r>
  <r>
    <x v="0"/>
    <d v="2024-09-30T00:00:00"/>
    <x v="4"/>
    <x v="34"/>
    <n v="0"/>
    <s v="Artik R"/>
    <s v="St Vincent Les Forts"/>
    <s v="Lac du Sainte-Croix NO"/>
    <n v="1"/>
    <n v="15"/>
    <x v="56"/>
    <x v="48"/>
  </r>
  <r>
    <x v="0"/>
    <d v="2024-10-01T00:00:00"/>
    <x v="5"/>
    <x v="34"/>
    <n v="1"/>
    <s v="Artik R"/>
    <s v="Les Richards"/>
    <s v="Les Richards"/>
    <m/>
    <n v="9"/>
    <x v="22"/>
    <x v="48"/>
  </r>
  <r>
    <x v="0"/>
    <d v="2024-10-02T00:00:00"/>
    <x v="5"/>
    <x v="34"/>
    <n v="1"/>
    <s v="Artik R"/>
    <s v="Les Richards"/>
    <s v="Les Richards"/>
    <n v="1"/>
    <n v="6"/>
    <x v="44"/>
    <x v="48"/>
  </r>
  <r>
    <x v="0"/>
    <d v="2024-10-02T00:00:00"/>
    <x v="5"/>
    <x v="34"/>
    <n v="0"/>
    <s v="Artik R"/>
    <s v="Les Richards"/>
    <s v="Ancelle"/>
    <m/>
    <n v="45"/>
    <x v="27"/>
    <x v="48"/>
  </r>
  <r>
    <x v="0"/>
    <d v="2024-10-03T00:00:00"/>
    <x v="5"/>
    <x v="34"/>
    <n v="1"/>
    <s v="Artik R"/>
    <s v="Chalves W"/>
    <s v="St. André"/>
    <n v="1"/>
    <n v="31"/>
    <x v="24"/>
    <x v="48"/>
  </r>
  <r>
    <x v="0"/>
    <d v="2024-10-03T00:00:00"/>
    <x v="5"/>
    <x v="34"/>
    <n v="0"/>
    <s v="Artik R"/>
    <s v="Chalves W"/>
    <s v="St. André"/>
    <m/>
    <n v="41"/>
    <x v="115"/>
    <x v="48"/>
  </r>
  <r>
    <x v="0"/>
    <d v="2024-10-04T00:00:00"/>
    <x v="5"/>
    <x v="34"/>
    <n v="1"/>
    <s v="Artik R"/>
    <s v="Montdenir - Moustiers-Sainte-Marie"/>
    <s v="St. Croix du Verdon"/>
    <n v="1"/>
    <n v="20"/>
    <x v="46"/>
    <x v="48"/>
  </r>
  <r>
    <x v="0"/>
    <d v="2024-10-05T00:00:00"/>
    <x v="5"/>
    <x v="34"/>
    <n v="1"/>
    <s v="Artik R"/>
    <s v="Chalves W"/>
    <s v="St. André"/>
    <n v="1"/>
    <n v="26"/>
    <x v="64"/>
    <x v="48"/>
  </r>
  <r>
    <x v="0"/>
    <d v="2024-10-09T00:00:00"/>
    <x v="5"/>
    <x v="34"/>
    <n v="1"/>
    <s v="Artik R"/>
    <s v="Chalwes S"/>
    <s v="St. André"/>
    <m/>
    <n v="9"/>
    <x v="22"/>
    <x v="28"/>
  </r>
  <r>
    <x v="0"/>
    <d v="2024-10-09T00:00:00"/>
    <x v="5"/>
    <x v="34"/>
    <n v="0"/>
    <s v="Artik R"/>
    <s v="Chalves S"/>
    <s v="St. André"/>
    <m/>
    <n v="25"/>
    <x v="52"/>
    <x v="28"/>
  </r>
  <r>
    <x v="0"/>
    <d v="2024-10-10T00:00:00"/>
    <x v="5"/>
    <x v="34"/>
    <n v="1"/>
    <s v="Sigma 12 DLS"/>
    <s v="St. Jean de Montclar"/>
    <s v="Col St. Jean"/>
    <m/>
    <n v="8"/>
    <x v="3"/>
    <x v="28"/>
  </r>
  <r>
    <x v="0"/>
    <d v="2024-10-10T00:00:00"/>
    <x v="5"/>
    <x v="34"/>
    <n v="0"/>
    <s v="Sigma 12 DLS"/>
    <s v="St Vincent Les Forts"/>
    <s v="St Vincent Les Forts"/>
    <m/>
    <n v="24"/>
    <x v="61"/>
    <x v="28"/>
  </r>
  <r>
    <x v="0"/>
    <d v="2024-10-11T00:00:00"/>
    <x v="5"/>
    <x v="34"/>
    <n v="1"/>
    <s v="Sigma 12 DLS"/>
    <s v="Chalves S"/>
    <s v="Tartonne"/>
    <n v="1"/>
    <n v="12"/>
    <x v="88"/>
    <x v="28"/>
  </r>
  <r>
    <x v="0"/>
    <d v="2024-10-11T00:00:00"/>
    <x v="5"/>
    <x v="34"/>
    <n v="0"/>
    <s v="Sigma 12 DLS"/>
    <s v="Chalves W"/>
    <s v="St. André"/>
    <n v="1"/>
    <n v="13"/>
    <x v="94"/>
    <x v="28"/>
  </r>
  <r>
    <x v="0"/>
    <d v="2024-10-12T00:00:00"/>
    <x v="5"/>
    <x v="34"/>
    <n v="1"/>
    <s v="Sigma 12 DLS"/>
    <s v="Chalves S"/>
    <s v="St. André"/>
    <n v="1"/>
    <n v="40"/>
    <x v="48"/>
    <x v="28"/>
  </r>
  <r>
    <x v="0"/>
    <d v="2024-10-19T00:00:00"/>
    <x v="5"/>
    <x v="34"/>
    <n v="1"/>
    <s v="Artik R"/>
    <s v="Steibenkreuz"/>
    <s v="Münster"/>
    <m/>
    <n v="17"/>
    <x v="26"/>
    <x v="2"/>
  </r>
  <r>
    <x v="0"/>
    <d v="2024-10-23T00:00:00"/>
    <x v="5"/>
    <x v="34"/>
    <n v="1"/>
    <s v="Artik R"/>
    <s v="Heimat"/>
    <s v="Baschi"/>
    <m/>
    <n v="39"/>
    <x v="131"/>
    <x v="2"/>
  </r>
  <r>
    <x v="0"/>
    <d v="2024-10-27T00:00:00"/>
    <x v="5"/>
    <x v="34"/>
    <n v="1"/>
    <s v="Artik R"/>
    <s v="Montelano"/>
    <s v="Montelano"/>
    <n v="1"/>
    <n v="31"/>
    <x v="24"/>
    <x v="55"/>
  </r>
  <r>
    <x v="0"/>
    <d v="2024-10-27T00:00:00"/>
    <x v="5"/>
    <x v="34"/>
    <n v="0"/>
    <s v="Artik R"/>
    <s v="Montelano"/>
    <s v="Montelano"/>
    <n v="1"/>
    <n v="9"/>
    <x v="116"/>
    <x v="55"/>
  </r>
  <r>
    <x v="0"/>
    <d v="2024-10-31T00:00:00"/>
    <x v="5"/>
    <x v="34"/>
    <n v="1"/>
    <s v="Artik R"/>
    <s v="Heimat"/>
    <s v="Ritzinger Feld"/>
    <n v="1"/>
    <n v="17"/>
    <x v="73"/>
    <x v="2"/>
  </r>
  <r>
    <x v="0"/>
    <d v="2024-11-01T00:00:00"/>
    <x v="6"/>
    <x v="34"/>
    <n v="1"/>
    <s v="Artik R"/>
    <s v="Heimat"/>
    <s v="Fiesch"/>
    <m/>
    <n v="19"/>
    <x v="20"/>
    <x v="2"/>
  </r>
  <r>
    <x v="0"/>
    <d v="2024-11-02T00:00:00"/>
    <x v="6"/>
    <x v="34"/>
    <n v="1"/>
    <s v="Pi2 27"/>
    <s v="Steibenkreuz"/>
    <s v="Fiesch"/>
    <m/>
    <n v="13"/>
    <x v="18"/>
    <x v="2"/>
  </r>
  <r>
    <x v="0"/>
    <d v="2024-11-03T00:00:00"/>
    <x v="6"/>
    <x v="34"/>
    <n v="1"/>
    <s v="Artik R"/>
    <s v="Torrent"/>
    <s v="Susten"/>
    <m/>
    <n v="50"/>
    <x v="40"/>
    <x v="2"/>
  </r>
  <r>
    <x v="0"/>
    <d v="2024-11-04T00:00:00"/>
    <x v="6"/>
    <x v="34"/>
    <n v="1"/>
    <s v="Sigma 12 DLS"/>
    <s v="Heimat"/>
    <s v="Fiesch"/>
    <m/>
    <n v="15"/>
    <x v="15"/>
    <x v="2"/>
  </r>
  <r>
    <x v="0"/>
    <d v="2024-11-05T00:00:00"/>
    <x v="6"/>
    <x v="34"/>
    <n v="1"/>
    <s v="Sigma 11"/>
    <s v="Heimat"/>
    <s v="Fiesch"/>
    <n v="1"/>
    <n v="9"/>
    <x v="116"/>
    <x v="2"/>
  </r>
  <r>
    <x v="0"/>
    <d v="2024-11-07T00:00:00"/>
    <x v="6"/>
    <x v="34"/>
    <n v="1"/>
    <s v="Sigma 11"/>
    <s v="Heimat"/>
    <s v="Fiesch"/>
    <n v="1"/>
    <n v="7"/>
    <x v="136"/>
    <x v="2"/>
  </r>
  <r>
    <x v="0"/>
    <d v="2024-11-08T00:00:00"/>
    <x v="6"/>
    <x v="34"/>
    <n v="1"/>
    <s v="Sigma 11"/>
    <s v="Heimat"/>
    <s v="Ritzinger Feld"/>
    <n v="1"/>
    <n v="46"/>
    <x v="170"/>
    <x v="2"/>
  </r>
  <r>
    <x v="0"/>
    <d v="2024-11-09T00:00:00"/>
    <x v="6"/>
    <x v="34"/>
    <n v="1"/>
    <s v="Sigma 11"/>
    <s v="Heimat"/>
    <s v="Fiesch"/>
    <m/>
    <n v="19"/>
    <x v="20"/>
    <x v="2"/>
  </r>
  <r>
    <x v="0"/>
    <d v="2024-11-10T00:00:00"/>
    <x v="6"/>
    <x v="34"/>
    <n v="1"/>
    <s v="Sigma 11"/>
    <s v="Heimat"/>
    <s v="Fiesch"/>
    <n v="2"/>
    <n v="16"/>
    <x v="196"/>
    <x v="2"/>
  </r>
  <r>
    <x v="0"/>
    <d v="2024-11-11T00:00:00"/>
    <x v="6"/>
    <x v="34"/>
    <n v="1"/>
    <s v="Sigma 11"/>
    <s v="Heimat"/>
    <s v="Fiesch"/>
    <m/>
    <n v="40"/>
    <x v="33"/>
    <x v="2"/>
  </r>
  <r>
    <x v="0"/>
    <d v="2024-11-15T00:00:00"/>
    <x v="6"/>
    <x v="34"/>
    <n v="1"/>
    <s v="Pi2 27"/>
    <s v="Eggebiel"/>
    <s v="Fiesch"/>
    <m/>
    <n v="10"/>
    <x v="4"/>
    <x v="2"/>
  </r>
  <r>
    <x v="0"/>
    <d v="2024-11-16T00:00:00"/>
    <x v="6"/>
    <x v="34"/>
    <n v="1"/>
    <s v="Sigma 11"/>
    <s v="Heimat"/>
    <s v="Ritzinger Feld"/>
    <m/>
    <n v="32"/>
    <x v="23"/>
    <x v="2"/>
  </r>
  <r>
    <x v="0"/>
    <d v="2024-11-27T00:00:00"/>
    <x v="6"/>
    <x v="34"/>
    <n v="1"/>
    <s v="Sigma 11"/>
    <s v="Heimat"/>
    <s v="Oberwald"/>
    <n v="1"/>
    <n v="9"/>
    <x v="116"/>
    <x v="2"/>
  </r>
  <r>
    <x v="0"/>
    <d v="2024-12-01T00:00:00"/>
    <x v="10"/>
    <x v="34"/>
    <n v="1"/>
    <s v="Sigma 11"/>
    <s v="Heimat"/>
    <s v="Ritzinger Feld"/>
    <m/>
    <n v="47"/>
    <x v="132"/>
    <x v="2"/>
  </r>
  <r>
    <x v="0"/>
    <d v="2024-12-11T00:00:00"/>
    <x v="10"/>
    <x v="34"/>
    <n v="1"/>
    <s v="Sigma 11"/>
    <s v="Heimat"/>
    <s v="Fiesch"/>
    <m/>
    <n v="40"/>
    <x v="33"/>
    <x v="2"/>
  </r>
  <r>
    <x v="0"/>
    <d v="2024-12-12T00:00:00"/>
    <x v="10"/>
    <x v="34"/>
    <n v="1"/>
    <s v="Sigma 11"/>
    <s v="Heimat"/>
    <s v="Fiesch"/>
    <m/>
    <n v="30"/>
    <x v="8"/>
    <x v="2"/>
  </r>
  <r>
    <x v="0"/>
    <d v="2024-12-13T00:00:00"/>
    <x v="10"/>
    <x v="34"/>
    <n v="1"/>
    <s v="Sigma 11"/>
    <s v="Heimat"/>
    <s v="Baschi"/>
    <m/>
    <n v="56"/>
    <x v="68"/>
    <x v="2"/>
  </r>
  <r>
    <x v="0"/>
    <d v="2024-12-16T00:00:00"/>
    <x v="10"/>
    <x v="34"/>
    <n v="1"/>
    <s v="Artik R"/>
    <s v="Heimat"/>
    <s v="Fiesch"/>
    <m/>
    <n v="21"/>
    <x v="97"/>
    <x v="2"/>
  </r>
  <r>
    <x v="0"/>
    <d v="2024-12-28T00:00:00"/>
    <x v="10"/>
    <x v="34"/>
    <n v="1"/>
    <s v="Sigma 11"/>
    <s v="Heimat"/>
    <s v="Baschi"/>
    <n v="1"/>
    <n v="22"/>
    <x v="91"/>
    <x v="2"/>
  </r>
  <r>
    <x v="0"/>
    <d v="2024-12-29T00:00:00"/>
    <x v="10"/>
    <x v="34"/>
    <n v="1"/>
    <s v="Sigma 11"/>
    <s v="Heimat"/>
    <s v="Fiesch"/>
    <m/>
    <n v="53"/>
    <x v="137"/>
    <x v="2"/>
  </r>
  <r>
    <x v="0"/>
    <d v="2024-12-30T00:00:00"/>
    <x v="10"/>
    <x v="34"/>
    <n v="1"/>
    <s v="Sigma 11"/>
    <s v="Heimat"/>
    <s v="Baschi"/>
    <n v="1"/>
    <n v="49"/>
    <x v="126"/>
    <x v="2"/>
  </r>
  <r>
    <x v="0"/>
    <d v="2024-12-31T00:00:00"/>
    <x v="10"/>
    <x v="34"/>
    <n v="1"/>
    <s v="Sigma 11"/>
    <s v="Heimat"/>
    <s v="Fiesch"/>
    <n v="1"/>
    <n v="38"/>
    <x v="128"/>
    <x v="2"/>
  </r>
  <r>
    <x v="0"/>
    <d v="2025-01-14T00:00:00"/>
    <x v="11"/>
    <x v="35"/>
    <n v="1"/>
    <s v="Sigma 11"/>
    <s v="Heimat"/>
    <s v="Fiesch"/>
    <n v="1"/>
    <n v="2"/>
    <x v="110"/>
    <x v="2"/>
  </r>
  <r>
    <x v="0"/>
    <d v="2025-01-16T00:00:00"/>
    <x v="11"/>
    <x v="35"/>
    <n v="1"/>
    <s v="Sigma 11"/>
    <s v="Heimat"/>
    <s v="Fiesch"/>
    <m/>
    <n v="49"/>
    <x v="79"/>
    <x v="2"/>
  </r>
  <r>
    <x v="0"/>
    <d v="2025-01-17T00:00:00"/>
    <x v="11"/>
    <x v="35"/>
    <n v="1"/>
    <s v="Sigma 11"/>
    <s v="Heimat"/>
    <s v="Fiesch"/>
    <m/>
    <n v="26"/>
    <x v="134"/>
    <x v="2"/>
  </r>
  <r>
    <x v="0"/>
    <d v="2025-01-21T00:00:00"/>
    <x v="11"/>
    <x v="35"/>
    <n v="1"/>
    <s v="Sigma 11"/>
    <s v="Heimat"/>
    <s v="Baschi"/>
    <n v="1"/>
    <n v="17"/>
    <x v="73"/>
    <x v="2"/>
  </r>
  <r>
    <x v="0"/>
    <d v="2025-02-02T00:00:00"/>
    <x v="7"/>
    <x v="35"/>
    <n v="1"/>
    <s v="Sigma 11"/>
    <s v="Heimat"/>
    <s v="Fiesch"/>
    <n v="1"/>
    <n v="38"/>
    <x v="128"/>
    <x v="2"/>
  </r>
  <r>
    <x v="0"/>
    <d v="2025-02-03T00:00:00"/>
    <x v="7"/>
    <x v="35"/>
    <n v="1"/>
    <s v="Sigma 11"/>
    <s v="Heimat"/>
    <s v="Fiesch"/>
    <m/>
    <n v="28"/>
    <x v="63"/>
    <x v="2"/>
  </r>
  <r>
    <x v="0"/>
    <d v="2025-02-04T00:00:00"/>
    <x v="7"/>
    <x v="35"/>
    <n v="1"/>
    <s v="Sigma 11"/>
    <s v="Heimat"/>
    <s v="Ritzinger Feld"/>
    <m/>
    <n v="51"/>
    <x v="21"/>
    <x v="2"/>
  </r>
  <r>
    <x v="0"/>
    <d v="2025-02-05T00:00:00"/>
    <x v="7"/>
    <x v="35"/>
    <n v="1"/>
    <s v="Sigma 11"/>
    <s v="Heimat"/>
    <s v="Fiesch"/>
    <n v="1"/>
    <n v="34"/>
    <x v="13"/>
    <x v="2"/>
  </r>
  <r>
    <x v="0"/>
    <d v="2025-02-06T00:00:00"/>
    <x v="7"/>
    <x v="35"/>
    <n v="1"/>
    <s v="Sigma 11"/>
    <s v="Heimat"/>
    <s v="Baschi"/>
    <n v="1"/>
    <n v="29"/>
    <x v="155"/>
    <x v="2"/>
  </r>
  <r>
    <x v="0"/>
    <d v="2025-02-12T00:00:00"/>
    <x v="7"/>
    <x v="35"/>
    <n v="1"/>
    <s v="Sigma 11"/>
    <s v="Heimat"/>
    <s v="Fiesch"/>
    <m/>
    <n v="56"/>
    <x v="68"/>
    <x v="2"/>
  </r>
  <r>
    <x v="0"/>
    <d v="2025-02-15T00:00:00"/>
    <x v="7"/>
    <x v="35"/>
    <n v="1"/>
    <s v="Sigma 11"/>
    <s v="Heimat"/>
    <s v="Fiesch"/>
    <n v="1"/>
    <n v="5"/>
    <x v="45"/>
    <x v="2"/>
  </r>
  <r>
    <x v="0"/>
    <d v="2025-02-17T00:00:00"/>
    <x v="7"/>
    <x v="35"/>
    <n v="1"/>
    <s v="Sigma 11"/>
    <s v="Heimat"/>
    <s v="Obergestlen"/>
    <n v="1"/>
    <n v="1"/>
    <x v="31"/>
    <x v="2"/>
  </r>
  <r>
    <x v="0"/>
    <d v="2025-02-18T00:00:00"/>
    <x v="7"/>
    <x v="35"/>
    <n v="1"/>
    <s v="Sigma 12 DLS"/>
    <s v="Heimat"/>
    <s v="Baschi"/>
    <n v="1"/>
    <n v="3"/>
    <x v="25"/>
    <x v="2"/>
  </r>
  <r>
    <x v="0"/>
    <d v="2025-02-19T00:00:00"/>
    <x v="7"/>
    <x v="35"/>
    <n v="1"/>
    <s v="Sigma 12 DLS"/>
    <s v="Heimat"/>
    <s v="Baschi"/>
    <n v="1"/>
    <n v="15"/>
    <x v="56"/>
    <x v="2"/>
  </r>
  <r>
    <x v="0"/>
    <d v="2025-02-20T00:00:00"/>
    <x v="7"/>
    <x v="35"/>
    <n v="1"/>
    <s v="Sigma 12 DLS"/>
    <s v="Heimat"/>
    <s v="Fiesch"/>
    <n v="1"/>
    <n v="47"/>
    <x v="175"/>
    <x v="2"/>
  </r>
  <r>
    <x v="0"/>
    <d v="2025-02-21T00:00:00"/>
    <x v="7"/>
    <x v="35"/>
    <n v="1"/>
    <s v="Sigma 12 DLS"/>
    <s v="Heimat"/>
    <s v="Baschi"/>
    <m/>
    <n v="48"/>
    <x v="135"/>
    <x v="2"/>
  </r>
  <r>
    <x v="0"/>
    <d v="2025-02-23T00:00:00"/>
    <x v="7"/>
    <x v="35"/>
    <n v="1"/>
    <s v="Sigma 12 DLS"/>
    <s v="Heimat"/>
    <s v="Fiesch"/>
    <n v="2"/>
    <n v="0"/>
    <x v="10"/>
    <x v="2"/>
  </r>
  <r>
    <x v="0"/>
    <d v="2025-02-24T00:00:00"/>
    <x v="7"/>
    <x v="35"/>
    <n v="1"/>
    <s v="Sigma 12 DLS"/>
    <s v="Heimat"/>
    <s v="Fiesch"/>
    <m/>
    <n v="31"/>
    <x v="103"/>
    <x v="2"/>
  </r>
  <r>
    <x v="0"/>
    <d v="2025-02-28T00:00:00"/>
    <x v="7"/>
    <x v="35"/>
    <n v="1"/>
    <s v="Sigma 12 DLS"/>
    <s v="Heimat"/>
    <s v="Baschi"/>
    <n v="1"/>
    <n v="11"/>
    <x v="60"/>
    <x v="2"/>
  </r>
  <r>
    <x v="0"/>
    <d v="2025-03-02T00:00:00"/>
    <x v="8"/>
    <x v="35"/>
    <n v="1"/>
    <s v="Sigma 12 DLS"/>
    <s v="Heimat"/>
    <s v="Fiesch"/>
    <n v="2"/>
    <n v="22"/>
    <x v="161"/>
    <x v="2"/>
  </r>
  <r>
    <x v="0"/>
    <d v="2025-03-03T00:00:00"/>
    <x v="8"/>
    <x v="35"/>
    <n v="1"/>
    <s v="Sigma 12 DLS"/>
    <s v="Steibenkreuz"/>
    <s v="Fiesch"/>
    <n v="1"/>
    <n v="19"/>
    <x v="53"/>
    <x v="2"/>
  </r>
  <r>
    <x v="0"/>
    <d v="2025-03-04T00:00:00"/>
    <x v="8"/>
    <x v="35"/>
    <n v="1"/>
    <s v="Sigma 12 DLS"/>
    <s v="Heimat"/>
    <s v="Fiesch"/>
    <n v="1"/>
    <n v="7"/>
    <x v="136"/>
    <x v="2"/>
  </r>
  <r>
    <x v="0"/>
    <d v="2025-03-11T00:00:00"/>
    <x v="8"/>
    <x v="35"/>
    <n v="1"/>
    <s v="Sigma 12 DLS"/>
    <s v="Heimat"/>
    <s v="Baschi"/>
    <m/>
    <n v="52"/>
    <x v="37"/>
    <x v="2"/>
  </r>
  <r>
    <x v="0"/>
    <d v="2025-03-17T00:00:00"/>
    <x v="8"/>
    <x v="35"/>
    <n v="1"/>
    <s v="Sigma 12 DLS"/>
    <s v="Heimat"/>
    <s v="Ritzinger Feld"/>
    <m/>
    <n v="51"/>
    <x v="21"/>
    <x v="2"/>
  </r>
  <r>
    <x v="0"/>
    <d v="2025-03-19T00:00:00"/>
    <x v="8"/>
    <x v="35"/>
    <n v="1"/>
    <s v="Sigma 12 DLS"/>
    <s v="Heimat"/>
    <s v="Ritzinger Feld"/>
    <m/>
    <n v="49"/>
    <x v="79"/>
    <x v="2"/>
  </r>
  <r>
    <x v="0"/>
    <d v="2025-03-20T00:00:00"/>
    <x v="8"/>
    <x v="35"/>
    <n v="1"/>
    <s v="Sigma 12 DLS"/>
    <s v="Heimat"/>
    <s v="Baschi"/>
    <m/>
    <n v="43"/>
    <x v="118"/>
    <x v="2"/>
  </r>
  <r>
    <x v="0"/>
    <d v="2025-03-24T00:00:00"/>
    <x v="8"/>
    <x v="35"/>
    <n v="1"/>
    <s v="Sigma 12 DLS"/>
    <s v="Heimat"/>
    <s v="Münster"/>
    <m/>
    <n v="46"/>
    <x v="141"/>
    <x v="2"/>
  </r>
  <r>
    <x v="0"/>
    <d v="2025-03-25T00:00:00"/>
    <x v="8"/>
    <x v="35"/>
    <n v="1"/>
    <s v="Sigma 12 DLS"/>
    <s v="Heimat"/>
    <s v="Baschi"/>
    <n v="1"/>
    <n v="15"/>
    <x v="56"/>
    <x v="2"/>
  </r>
  <r>
    <x v="0"/>
    <d v="2025-03-27T00:00:00"/>
    <x v="8"/>
    <x v="35"/>
    <n v="1"/>
    <s v="Sigma 12 DLS"/>
    <s v="San Fermo"/>
    <s v="Villongo"/>
    <n v="1"/>
    <n v="20"/>
    <x v="46"/>
    <x v="56"/>
  </r>
  <r>
    <x v="0"/>
    <d v="2025-03-28T00:00:00"/>
    <x v="8"/>
    <x v="35"/>
    <n v="1"/>
    <s v="Sigma 12 DLS"/>
    <s v="Caltrano Monte Forao"/>
    <s v="Glavenale"/>
    <m/>
    <n v="52"/>
    <x v="37"/>
    <x v="56"/>
  </r>
  <r>
    <x v="0"/>
    <d v="2025-03-29T00:00:00"/>
    <x v="8"/>
    <x v="35"/>
    <n v="1"/>
    <s v="Sigma 12 DLS"/>
    <s v="San Fermo"/>
    <s v="Casazza"/>
    <m/>
    <n v="31"/>
    <x v="103"/>
    <x v="56"/>
  </r>
  <r>
    <x v="0"/>
    <d v="2025-03-30T00:00:00"/>
    <x v="8"/>
    <x v="35"/>
    <n v="1"/>
    <s v="Sigma 12 DLS"/>
    <s v="Santa Elisabetta"/>
    <s v="Colleretto Giacosa"/>
    <n v="1"/>
    <n v="32"/>
    <x v="32"/>
    <x v="56"/>
  </r>
  <r>
    <x v="0"/>
    <d v="2025-03-31T00:00:00"/>
    <x v="8"/>
    <x v="35"/>
    <n v="1"/>
    <s v="Sigma 12 DLS"/>
    <s v="Santa Elisabetta"/>
    <s v="Colleretto Giacosa"/>
    <n v="1"/>
    <n v="54"/>
    <x v="96"/>
    <x v="56"/>
  </r>
  <r>
    <x v="0"/>
    <d v="2025-04-01T00:00:00"/>
    <x v="9"/>
    <x v="35"/>
    <n v="1"/>
    <s v="Sigma 12 DLS"/>
    <s v="Santa Elisabetta"/>
    <s v="Salto"/>
    <m/>
    <n v="30"/>
    <x v="8"/>
    <x v="56"/>
  </r>
  <r>
    <x v="1"/>
    <d v="2025-04-02T00:00:00"/>
    <x v="9"/>
    <x v="35"/>
    <n v="0"/>
    <s v="Sigma 12 DLS"/>
    <s v="San Fermo"/>
    <s v="San Fermo"/>
    <m/>
    <n v="12"/>
    <x v="6"/>
    <x v="56"/>
  </r>
  <r>
    <x v="1"/>
    <d v="2025-04-02T00:00:00"/>
    <x v="9"/>
    <x v="35"/>
    <n v="0"/>
    <s v="Sigma 12 DLS"/>
    <s v="San Fermo"/>
    <s v="San Fermo"/>
    <m/>
    <n v="2"/>
    <x v="16"/>
    <x v="56"/>
  </r>
  <r>
    <x v="1"/>
    <d v="2025-04-02T00:00:00"/>
    <x v="9"/>
    <x v="35"/>
    <n v="0"/>
    <s v="Sigma 12 DLS"/>
    <s v="San Fermo"/>
    <s v="San Fermo"/>
    <m/>
    <n v="1"/>
    <x v="210"/>
    <x v="56"/>
  </r>
  <r>
    <x v="0"/>
    <d v="2025-04-02T00:00:00"/>
    <x v="9"/>
    <x v="35"/>
    <n v="1"/>
    <s v="Sigma 12 DLS"/>
    <s v="San Fermo"/>
    <s v="San Fermo"/>
    <m/>
    <n v="18"/>
    <x v="57"/>
    <x v="56"/>
  </r>
  <r>
    <x v="0"/>
    <d v="2025-04-02T00:00:00"/>
    <x v="9"/>
    <x v="35"/>
    <n v="0"/>
    <s v="Sigma 12 DLS"/>
    <s v="San Fermo"/>
    <s v="San Fermo"/>
    <m/>
    <n v="33"/>
    <x v="59"/>
    <x v="56"/>
  </r>
  <r>
    <x v="0"/>
    <d v="2025-04-02T00:00:00"/>
    <x v="9"/>
    <x v="35"/>
    <n v="0"/>
    <s v="Sigma 12 DLS"/>
    <s v="San Fermo"/>
    <s v="Casazza"/>
    <m/>
    <n v="30"/>
    <x v="8"/>
    <x v="56"/>
  </r>
  <r>
    <x v="0"/>
    <d v="2025-04-03T00:00:00"/>
    <x v="9"/>
    <x v="35"/>
    <n v="1"/>
    <s v="Sigma 12 DLS"/>
    <s v="Norma"/>
    <s v="Doganella di Ninfa"/>
    <n v="1"/>
    <n v="9"/>
    <x v="116"/>
    <x v="57"/>
  </r>
  <r>
    <x v="0"/>
    <d v="2025-04-04T00:00:00"/>
    <x v="9"/>
    <x v="35"/>
    <n v="1"/>
    <s v="Sigma 12 DLS"/>
    <s v="Norma"/>
    <s v="Doganella di Ninfa"/>
    <n v="2"/>
    <n v="16"/>
    <x v="196"/>
    <x v="57"/>
  </r>
  <r>
    <x v="0"/>
    <d v="2025-04-04T00:00:00"/>
    <x v="9"/>
    <x v="35"/>
    <n v="0"/>
    <s v="Sigma 12 DLS"/>
    <s v="Norma"/>
    <s v="Doganella di Ninfa"/>
    <n v="1"/>
    <n v="58"/>
    <x v="104"/>
    <x v="57"/>
  </r>
  <r>
    <x v="0"/>
    <d v="2025-04-05T00:00:00"/>
    <x v="9"/>
    <x v="35"/>
    <n v="1"/>
    <s v="Sigma 12 DLS"/>
    <s v="Poggio Bustone alto"/>
    <s v="Poggio Bustone"/>
    <n v="2"/>
    <n v="2"/>
    <x v="152"/>
    <x v="57"/>
  </r>
  <r>
    <x v="0"/>
    <d v="2025-04-07T00:00:00"/>
    <x v="9"/>
    <x v="35"/>
    <n v="1"/>
    <s v="Sigma 12 DLS"/>
    <s v="Norma"/>
    <s v="Doganella di Ninfa"/>
    <n v="1"/>
    <n v="36"/>
    <x v="55"/>
    <x v="57"/>
  </r>
  <r>
    <x v="0"/>
    <d v="2025-04-07T00:00:00"/>
    <x v="9"/>
    <x v="35"/>
    <n v="0"/>
    <s v="Sigma 12 DLS"/>
    <s v="Norma"/>
    <s v="Doganella di Ninfa"/>
    <n v="1"/>
    <n v="43"/>
    <x v="106"/>
    <x v="57"/>
  </r>
  <r>
    <x v="0"/>
    <d v="2025-04-08T00:00:00"/>
    <x v="9"/>
    <x v="35"/>
    <n v="1"/>
    <s v="Sigma 12 DLS"/>
    <s v="Terelle Cassino Monte"/>
    <s v="Terelle Casino"/>
    <n v="1"/>
    <n v="15"/>
    <x v="56"/>
    <x v="57"/>
  </r>
  <r>
    <x v="0"/>
    <d v="2025-04-09T00:00:00"/>
    <x v="9"/>
    <x v="35"/>
    <n v="1"/>
    <s v="Sigma 12 DLS"/>
    <s v="Calvisi"/>
    <s v="Telese terme Hotel"/>
    <n v="3"/>
    <n v="12"/>
    <x v="157"/>
    <x v="57"/>
  </r>
  <r>
    <x v="0"/>
    <d v="2025-04-11T00:00:00"/>
    <x v="9"/>
    <x v="35"/>
    <n v="1"/>
    <s v="Sigma 12 DLS"/>
    <s v="Heimat"/>
    <s v="Fiesch"/>
    <n v="1"/>
    <n v="22"/>
    <x v="91"/>
    <x v="2"/>
  </r>
  <r>
    <x v="0"/>
    <d v="2025-04-21T00:00:00"/>
    <x v="9"/>
    <x v="35"/>
    <n v="1"/>
    <s v="Sigma 12 DLS"/>
    <s v="Heimat"/>
    <s v="Ritzinger Feld"/>
    <m/>
    <n v="26"/>
    <x v="134"/>
    <x v="2"/>
  </r>
  <r>
    <x v="0"/>
    <d v="2025-04-22T00:00:00"/>
    <x v="9"/>
    <x v="35"/>
    <n v="1"/>
    <s v="Sigma 12 DLS"/>
    <s v="Riederalp Mitte"/>
    <s v="Ritzinger Feld"/>
    <n v="1"/>
    <n v="45"/>
    <x v="41"/>
    <x v="2"/>
  </r>
  <r>
    <x v="0"/>
    <d v="2025-04-26T00:00:00"/>
    <x v="9"/>
    <x v="35"/>
    <n v="1"/>
    <s v="Sigma 12 DLS"/>
    <s v="Heimat"/>
    <s v="Fiesch"/>
    <n v="2"/>
    <n v="24"/>
    <x v="12"/>
    <x v="2"/>
  </r>
  <r>
    <x v="0"/>
    <d v="2025-04-27T00:00:00"/>
    <x v="9"/>
    <x v="35"/>
    <n v="1"/>
    <s v="Sigma 12 DLS"/>
    <s v="Heimat"/>
    <s v="Fiesch"/>
    <m/>
    <n v="19"/>
    <x v="20"/>
    <x v="2"/>
  </r>
  <r>
    <x v="0"/>
    <d v="2025-04-28T00:00:00"/>
    <x v="9"/>
    <x v="35"/>
    <n v="1"/>
    <s v="Sigma 12 DLS"/>
    <s v="Riederalp Mitte"/>
    <s v="Geschinen"/>
    <n v="1"/>
    <n v="2"/>
    <x v="110"/>
    <x v="2"/>
  </r>
  <r>
    <x v="0"/>
    <d v="2025-04-29T00:00:00"/>
    <x v="9"/>
    <x v="35"/>
    <n v="1"/>
    <s v="Sigma 12 DLS"/>
    <s v="Heimat"/>
    <s v="Ritzinger Feld"/>
    <n v="1"/>
    <n v="32"/>
    <x v="32"/>
    <x v="2"/>
  </r>
  <r>
    <x v="0"/>
    <d v="2025-05-01T00:00:00"/>
    <x v="0"/>
    <x v="35"/>
    <n v="1"/>
    <s v="Sigma 12 DLS"/>
    <s v="Heimat"/>
    <s v="Fiesch"/>
    <n v="2"/>
    <n v="29"/>
    <x v="93"/>
    <x v="2"/>
  </r>
  <r>
    <x v="0"/>
    <d v="2025-05-02T00:00:00"/>
    <x v="0"/>
    <x v="35"/>
    <n v="1"/>
    <s v="Sigma 12 DLS"/>
    <s v="Heimat"/>
    <s v="Ritzinger Feld"/>
    <n v="1"/>
    <n v="36"/>
    <x v="55"/>
    <x v="2"/>
  </r>
  <r>
    <x v="0"/>
    <d v="2025-05-10T00:00:00"/>
    <x v="0"/>
    <x v="35"/>
    <n v="1"/>
    <s v="Sigma 12 DLS"/>
    <s v="Heimat"/>
    <s v="Ritzinger Feld"/>
    <n v="1"/>
    <n v="30"/>
    <x v="9"/>
    <x v="2"/>
  </r>
  <r>
    <x v="0"/>
    <d v="2025-05-11T00:00:00"/>
    <x v="0"/>
    <x v="35"/>
    <n v="1"/>
    <s v="Sigma 12 DLS"/>
    <s v="Heimat"/>
    <s v="Ritzinger Feld"/>
    <m/>
    <n v="53"/>
    <x v="137"/>
    <x v="2"/>
  </r>
  <r>
    <x v="0"/>
    <d v="2025-05-14T00:00:00"/>
    <x v="0"/>
    <x v="35"/>
    <n v="1"/>
    <s v="Sigma 12 DLS"/>
    <s v="Riederalp Mitte"/>
    <s v="Ritzinger Feld"/>
    <n v="1"/>
    <n v="30"/>
    <x v="9"/>
    <x v="2"/>
  </r>
  <r>
    <x v="0"/>
    <d v="2025-05-17T00:00:00"/>
    <x v="0"/>
    <x v="35"/>
    <n v="1"/>
    <s v="Sigma 12 DLS"/>
    <s v="Heimat"/>
    <s v="Fiesch"/>
    <m/>
    <n v="22"/>
    <x v="42"/>
    <x v="2"/>
  </r>
  <r>
    <x v="0"/>
    <d v="2025-05-18T00:00:00"/>
    <x v="0"/>
    <x v="35"/>
    <n v="1"/>
    <s v="Sigma 12 DLS"/>
    <s v="Heimat"/>
    <s v="Ritzinger Feld"/>
    <n v="1"/>
    <n v="6"/>
    <x v="44"/>
    <x v="2"/>
  </r>
  <r>
    <x v="0"/>
    <d v="2025-05-19T00:00:00"/>
    <x v="0"/>
    <x v="35"/>
    <n v="1"/>
    <s v="Sigma 12 DLS"/>
    <s v="Riederalp Mitte"/>
    <s v="Fiesch"/>
    <m/>
    <n v="56"/>
    <x v="68"/>
    <x v="2"/>
  </r>
  <r>
    <x v="0"/>
    <d v="2025-05-21T00:00:00"/>
    <x v="0"/>
    <x v="35"/>
    <n v="1"/>
    <s v="Sigma 11"/>
    <s v="Canete la Real"/>
    <s v="Canete la Real"/>
    <m/>
    <n v="9"/>
    <x v="22"/>
    <x v="53"/>
  </r>
  <r>
    <x v="0"/>
    <d v="2025-05-22T00:00:00"/>
    <x v="0"/>
    <x v="35"/>
    <n v="1"/>
    <s v="Sigma 11"/>
    <s v="El Bosque Top"/>
    <s v="El Bosque"/>
    <n v="1"/>
    <n v="43"/>
    <x v="106"/>
    <x v="53"/>
  </r>
  <r>
    <x v="0"/>
    <d v="2025-05-23T00:00:00"/>
    <x v="0"/>
    <x v="35"/>
    <n v="1"/>
    <s v="Sigma 11"/>
    <s v="Sierra de Lijar W"/>
    <s v="Landeplatz West"/>
    <m/>
    <n v="18"/>
    <x v="57"/>
    <x v="53"/>
  </r>
  <r>
    <x v="0"/>
    <d v="2025-05-24T00:00:00"/>
    <x v="0"/>
    <x v="35"/>
    <n v="1"/>
    <s v="Sigma 11"/>
    <s v="Sierra de Lijar SW"/>
    <s v="Ronda"/>
    <n v="2"/>
    <n v="8"/>
    <x v="78"/>
    <x v="53"/>
  </r>
  <r>
    <x v="0"/>
    <d v="2025-05-25T00:00:00"/>
    <x v="0"/>
    <x v="35"/>
    <n v="1"/>
    <s v="Sigma 11"/>
    <s v="Sierra de Lijar SW"/>
    <s v="El Bosque"/>
    <n v="2"/>
    <n v="18"/>
    <x v="139"/>
    <x v="53"/>
  </r>
  <r>
    <x v="0"/>
    <d v="2025-05-27T00:00:00"/>
    <x v="0"/>
    <x v="35"/>
    <n v="1"/>
    <s v="Sigma 11"/>
    <s v="Castelo de Vide"/>
    <s v="Montalvao"/>
    <n v="1"/>
    <n v="43"/>
    <x v="106"/>
    <x v="53"/>
  </r>
  <r>
    <x v="0"/>
    <d v="2025-05-28T00:00:00"/>
    <x v="0"/>
    <x v="35"/>
    <n v="1"/>
    <s v="Sigma 11"/>
    <s v="Linhares"/>
    <s v="Carrapichana"/>
    <n v="1"/>
    <n v="49"/>
    <x v="126"/>
    <x v="53"/>
  </r>
  <r>
    <x v="0"/>
    <d v="2025-05-28T00:00:00"/>
    <x v="0"/>
    <x v="35"/>
    <n v="0"/>
    <s v="Sigma 11"/>
    <s v="Linhares"/>
    <s v="Linhares"/>
    <m/>
    <n v="30"/>
    <x v="8"/>
    <x v="53"/>
  </r>
  <r>
    <x v="0"/>
    <d v="2025-05-29T00:00:00"/>
    <x v="0"/>
    <x v="35"/>
    <n v="1"/>
    <s v="Sigma 11"/>
    <s v="Praia da Gralha"/>
    <s v="Praia da Gralha"/>
    <m/>
    <n v="22"/>
    <x v="42"/>
    <x v="53"/>
  </r>
  <r>
    <x v="0"/>
    <d v="2025-05-29T00:00:00"/>
    <x v="0"/>
    <x v="35"/>
    <n v="0"/>
    <s v="Sigma 11"/>
    <s v="Praia da Gralha"/>
    <s v="Praia da Gralha"/>
    <m/>
    <n v="11"/>
    <x v="14"/>
    <x v="53"/>
  </r>
  <r>
    <x v="0"/>
    <d v="2025-05-29T00:00:00"/>
    <x v="0"/>
    <x v="35"/>
    <n v="0"/>
    <s v="Sigma 11"/>
    <s v="Praia da Gralha"/>
    <s v="Praia da Gralha"/>
    <n v="1"/>
    <n v="5"/>
    <x v="45"/>
    <x v="53"/>
  </r>
  <r>
    <x v="0"/>
    <d v="2025-05-31T00:00:00"/>
    <x v="0"/>
    <x v="35"/>
    <n v="1"/>
    <s v="Sigma 11"/>
    <s v="Heimat"/>
    <s v="Baschi"/>
    <n v="1"/>
    <n v="29"/>
    <x v="155"/>
    <x v="2"/>
  </r>
  <r>
    <x v="0"/>
    <d v="2025-06-18T00:00:00"/>
    <x v="1"/>
    <x v="35"/>
    <n v="1"/>
    <s v="Sigma 12 DLS"/>
    <s v="Heimat"/>
    <s v="Baschi"/>
    <n v="1"/>
    <n v="21"/>
    <x v="140"/>
    <x v="2"/>
  </r>
  <r>
    <x v="0"/>
    <d v="2025-06-19T00:00:00"/>
    <x v="1"/>
    <x v="35"/>
    <n v="1"/>
    <s v="Sigma 12 DLS"/>
    <s v="Heimat"/>
    <s v="Fiesch"/>
    <n v="2"/>
    <n v="2"/>
    <x v="152"/>
    <x v="2"/>
  </r>
  <r>
    <x v="0"/>
    <d v="2025-06-02T00:00:00"/>
    <x v="1"/>
    <x v="35"/>
    <n v="1"/>
    <s v="Sigma 12 DLS"/>
    <s v="Heimat"/>
    <s v="Baschi"/>
    <n v="1"/>
    <n v="32"/>
    <x v="32"/>
    <x v="2"/>
  </r>
  <r>
    <x v="0"/>
    <d v="2025-06-21T00:00:00"/>
    <x v="1"/>
    <x v="35"/>
    <n v="1"/>
    <s v="Sigma 12 DLS"/>
    <s v="Heimat"/>
    <s v="Fiesch"/>
    <m/>
    <n v="20"/>
    <x v="5"/>
    <x v="2"/>
  </r>
  <r>
    <x v="0"/>
    <d v="2025-06-22T00:00:00"/>
    <x v="1"/>
    <x v="35"/>
    <n v="1"/>
    <s v="Sigma 12 DLS"/>
    <s v="Heimat"/>
    <s v="Fiesch"/>
    <n v="2"/>
    <n v="39"/>
    <x v="211"/>
    <x v="2"/>
  </r>
  <r>
    <x v="0"/>
    <d v="2025-06-24T00:00:00"/>
    <x v="1"/>
    <x v="35"/>
    <n v="1"/>
    <s v="Sigma 12 DLS"/>
    <s v="Heimat"/>
    <s v="Baschi"/>
    <n v="1"/>
    <n v="23"/>
    <x v="102"/>
    <x v="2"/>
  </r>
  <r>
    <x v="0"/>
    <d v="2025-06-25T00:00:00"/>
    <x v="1"/>
    <x v="35"/>
    <n v="1"/>
    <s v="Sigma 12 DLS"/>
    <s v="Heimat"/>
    <s v="Baschi"/>
    <n v="1"/>
    <n v="26"/>
    <x v="64"/>
    <x v="2"/>
  </r>
  <r>
    <x v="0"/>
    <d v="2025-06-27T00:00:00"/>
    <x v="1"/>
    <x v="35"/>
    <n v="1"/>
    <s v="Sigma 12 DLS"/>
    <s v="Heimat"/>
    <s v="Ritzinger Feld"/>
    <m/>
    <n v="58"/>
    <x v="95"/>
    <x v="2"/>
  </r>
  <r>
    <x v="0"/>
    <d v="2025-06-28T00:00:00"/>
    <x v="1"/>
    <x v="35"/>
    <n v="1"/>
    <s v="Sigma 12 DLS"/>
    <s v="Heimat"/>
    <s v="Baschi"/>
    <n v="1"/>
    <n v="0"/>
    <x v="47"/>
    <x v="2"/>
  </r>
  <r>
    <x v="0"/>
    <d v="2025-06-29T00:00:00"/>
    <x v="1"/>
    <x v="35"/>
    <n v="1"/>
    <s v="Sigma 12 DLS"/>
    <s v="Galfera"/>
    <s v="Fiesch"/>
    <n v="2"/>
    <n v="59"/>
    <x v="212"/>
    <x v="2"/>
  </r>
  <r>
    <x v="0"/>
    <d v="2025-07-01T00:00:00"/>
    <x v="2"/>
    <x v="35"/>
    <n v="1"/>
    <s v="Sigma 12 DLS"/>
    <s v="Heimat"/>
    <s v="Baschi"/>
    <n v="1"/>
    <n v="24"/>
    <x v="151"/>
    <x v="2"/>
  </r>
  <r>
    <x v="0"/>
    <d v="2025-07-02T00:00:00"/>
    <x v="2"/>
    <x v="35"/>
    <n v="1"/>
    <s v="Sigma 12 DLS"/>
    <s v="Heimat"/>
    <s v="Ritzinger Feld"/>
    <m/>
    <n v="42"/>
    <x v="66"/>
    <x v="2"/>
  </r>
  <r>
    <x v="0"/>
    <d v="2025-07-03T00:00:00"/>
    <x v="2"/>
    <x v="35"/>
    <n v="1"/>
    <s v="Sigma 12 DLS"/>
    <s v="Heimat"/>
    <s v="Fiesch"/>
    <m/>
    <n v="22"/>
    <x v="42"/>
    <x v="2"/>
  </r>
  <r>
    <x v="0"/>
    <d v="2025-07-05T00:00:00"/>
    <x v="2"/>
    <x v="35"/>
    <n v="1"/>
    <s v="Sigma 12 DLS"/>
    <s v="Heimat"/>
    <s v="Baschi"/>
    <m/>
    <n v="45"/>
    <x v="27"/>
    <x v="2"/>
  </r>
  <r>
    <x v="0"/>
    <d v="2025-07-06T00:00:00"/>
    <x v="2"/>
    <x v="35"/>
    <n v="1"/>
    <s v="Pi2 27"/>
    <s v="Bieligerbärg"/>
    <s v="Ritzinger Feld"/>
    <m/>
    <n v="5"/>
    <x v="2"/>
    <x v="2"/>
  </r>
  <r>
    <x v="0"/>
    <d v="2025-07-10T00:00:00"/>
    <x v="2"/>
    <x v="35"/>
    <n v="1"/>
    <s v="Sigma 12 DLS"/>
    <s v="Galfera"/>
    <s v="Baschi"/>
    <n v="1"/>
    <n v="15"/>
    <x v="56"/>
    <x v="2"/>
  </r>
  <r>
    <x v="0"/>
    <d v="2025-07-11T00:00:00"/>
    <x v="2"/>
    <x v="35"/>
    <n v="1"/>
    <s v="Sigma 12 DLS"/>
    <s v="Galfera"/>
    <s v="Ritzinger Feld"/>
    <n v="1"/>
    <n v="4"/>
    <x v="38"/>
    <x v="2"/>
  </r>
  <r>
    <x v="0"/>
    <d v="2025-07-12T00:00:00"/>
    <x v="2"/>
    <x v="35"/>
    <n v="1"/>
    <s v="Sigma 12 DLS"/>
    <s v="Heimat"/>
    <s v="Baschi"/>
    <m/>
    <n v="59"/>
    <x v="120"/>
    <x v="2"/>
  </r>
  <r>
    <x v="0"/>
    <d v="2025-07-18T00:00:00"/>
    <x v="2"/>
    <x v="35"/>
    <n v="1"/>
    <s v="Sigma 12 DLS"/>
    <s v="Galfera"/>
    <s v="Baschi"/>
    <n v="1"/>
    <n v="48"/>
    <x v="35"/>
    <x v="2"/>
  </r>
  <r>
    <x v="0"/>
    <d v="2025-07-20T00:00:00"/>
    <x v="2"/>
    <x v="35"/>
    <n v="1"/>
    <s v="Sigma 12 DLS"/>
    <s v="Kobala"/>
    <s v="Gabrje"/>
    <m/>
    <n v="36"/>
    <x v="39"/>
    <x v="58"/>
  </r>
  <r>
    <x v="0"/>
    <d v="2025-07-21T00:00:00"/>
    <x v="2"/>
    <x v="35"/>
    <n v="1"/>
    <s v="Sigma 12 DLS"/>
    <s v="Kobala"/>
    <s v="Gabrje"/>
    <m/>
    <n v="15"/>
    <x v="15"/>
    <x v="58"/>
  </r>
  <r>
    <x v="0"/>
    <d v="2025-07-22T00:00:00"/>
    <x v="2"/>
    <x v="35"/>
    <n v="1"/>
    <s v="Sigma 12 DLS"/>
    <s v="Brestovica"/>
    <s v="Brestovica"/>
    <m/>
    <n v="55"/>
    <x v="84"/>
    <x v="58"/>
  </r>
  <r>
    <x v="0"/>
    <d v="2025-07-23T00:00:00"/>
    <x v="2"/>
    <x v="35"/>
    <n v="1"/>
    <s v="Sigma 12 DLS"/>
    <s v="Lijak"/>
    <s v="Lijak"/>
    <n v="2"/>
    <n v="36"/>
    <x v="138"/>
    <x v="58"/>
  </r>
  <r>
    <x v="0"/>
    <d v="2025-07-23T00:00:00"/>
    <x v="2"/>
    <x v="35"/>
    <n v="0"/>
    <s v="Sigma 12 DLS"/>
    <s v="Kovk"/>
    <s v="Dolga"/>
    <m/>
    <n v="25"/>
    <x v="52"/>
    <x v="58"/>
  </r>
  <r>
    <x v="0"/>
    <d v="2025-07-30T00:00:00"/>
    <x v="2"/>
    <x v="35"/>
    <n v="1"/>
    <s v="Sigma 12 DLS"/>
    <s v="Heimat"/>
    <s v="Baschi"/>
    <n v="1"/>
    <n v="5"/>
    <x v="45"/>
    <x v="2"/>
  </r>
  <r>
    <x v="0"/>
    <d v="2025-07-31T00:00:00"/>
    <x v="2"/>
    <x v="35"/>
    <n v="1"/>
    <s v="Sigma 12 DLS"/>
    <s v="Heimat"/>
    <s v="Ritzinger Feld"/>
    <m/>
    <n v="43"/>
    <x v="118"/>
    <x v="2"/>
  </r>
  <r>
    <x v="0"/>
    <d v="2025-08-03T00:00:00"/>
    <x v="3"/>
    <x v="35"/>
    <n v="1"/>
    <s v="Sigma 12 DLS"/>
    <s v="Heimat"/>
    <s v="Ritzinger Feld"/>
    <m/>
    <n v="51"/>
    <x v="21"/>
    <x v="2"/>
  </r>
  <r>
    <x v="0"/>
    <d v="2025-08-05T00:00:00"/>
    <x v="3"/>
    <x v="35"/>
    <n v="1"/>
    <s v="Sigma 12 DLS"/>
    <s v="Heimat"/>
    <s v="Ritzinger Feld"/>
    <n v="2"/>
    <n v="16"/>
    <x v="196"/>
    <x v="2"/>
  </r>
  <r>
    <x v="0"/>
    <d v="2025-08-06T00:00:00"/>
    <x v="3"/>
    <x v="35"/>
    <n v="1"/>
    <s v="Sigma 12 DLS"/>
    <s v="Heimat"/>
    <s v="Fiesch"/>
    <m/>
    <n v="14"/>
    <x v="11"/>
    <x v="2"/>
  </r>
  <r>
    <x v="0"/>
    <d v="2025-08-07T00:00:00"/>
    <x v="3"/>
    <x v="35"/>
    <n v="1"/>
    <s v="Sigma 12 DLS"/>
    <s v="Heimat"/>
    <s v="Baschi"/>
    <m/>
    <n v="51"/>
    <x v="21"/>
    <x v="2"/>
  </r>
  <r>
    <x v="0"/>
    <d v="2025-08-08T00:00:00"/>
    <x v="3"/>
    <x v="35"/>
    <n v="1"/>
    <s v="Sigma 12 DLS"/>
    <s v="Heimat"/>
    <s v="Baschi"/>
    <n v="1"/>
    <n v="31"/>
    <x v="24"/>
    <x v="2"/>
  </r>
  <r>
    <x v="0"/>
    <d v="2025-08-09T00:00:00"/>
    <x v="3"/>
    <x v="35"/>
    <n v="1"/>
    <s v="Sigma 12 DLS"/>
    <s v="Heimat"/>
    <s v="Ritzinger Feld"/>
    <n v="1"/>
    <n v="53"/>
    <x v="98"/>
    <x v="2"/>
  </r>
  <r>
    <x v="0"/>
    <d v="2025-08-10T00:00:00"/>
    <x v="3"/>
    <x v="35"/>
    <n v="1"/>
    <s v="Sigma 12 DLS"/>
    <s v="Galfera"/>
    <s v="Ritzinger Feld"/>
    <n v="2"/>
    <n v="17"/>
    <x v="70"/>
    <x v="2"/>
  </r>
  <r>
    <x v="0"/>
    <d v="2025-08-11T00:00:00"/>
    <x v="3"/>
    <x v="35"/>
    <n v="1"/>
    <s v="Sigma 12 DLS"/>
    <s v="Heimat"/>
    <s v="Fiesch"/>
    <n v="2"/>
    <n v="12"/>
    <x v="172"/>
    <x v="2"/>
  </r>
  <r>
    <x v="0"/>
    <d v="2025-08-12T00:00:00"/>
    <x v="3"/>
    <x v="35"/>
    <n v="1"/>
    <s v="Sigma 12 DLS"/>
    <s v="Heimat"/>
    <s v="Baschi"/>
    <n v="1"/>
    <n v="25"/>
    <x v="113"/>
    <x v="2"/>
  </r>
  <r>
    <x v="0"/>
    <d v="2025-08-13T00:00:00"/>
    <x v="3"/>
    <x v="35"/>
    <n v="1"/>
    <s v="Sigma 12 DLS"/>
    <s v="Heimat"/>
    <s v="Fiesch"/>
    <n v="1"/>
    <n v="38"/>
    <x v="128"/>
    <x v="2"/>
  </r>
  <r>
    <x v="0"/>
    <d v="2025-08-16T00:00:00"/>
    <x v="3"/>
    <x v="35"/>
    <n v="1"/>
    <s v="Sigma 12 DLS"/>
    <s v="Heimat"/>
    <s v="Ritzinger Feld"/>
    <n v="1"/>
    <n v="5"/>
    <x v="45"/>
    <x v="2"/>
  </r>
  <r>
    <x v="0"/>
    <d v="2025-08-17T00:00:00"/>
    <x v="3"/>
    <x v="35"/>
    <n v="1"/>
    <s v="Sigma 12 DLS"/>
    <s v="Steibenkreuz"/>
    <s v="Ritzinger Feld"/>
    <m/>
    <n v="48"/>
    <x v="135"/>
    <x v="2"/>
  </r>
  <r>
    <x v="0"/>
    <d v="2025-08-18T00:00:00"/>
    <x v="3"/>
    <x v="35"/>
    <n v="1"/>
    <s v="Sigma 12 DLS"/>
    <s v="Galfera"/>
    <s v="Interlaken"/>
    <n v="3"/>
    <n v="47"/>
    <x v="213"/>
    <x v="2"/>
  </r>
  <r>
    <x v="0"/>
    <d v="2025-08-19T00:00:00"/>
    <x v="3"/>
    <x v="35"/>
    <n v="1"/>
    <s v="Sigma 12 DLS"/>
    <s v="Heimat"/>
    <s v="Baschi"/>
    <n v="1"/>
    <n v="1"/>
    <x v="31"/>
    <x v="2"/>
  </r>
  <r>
    <x v="0"/>
    <d v="2025-08-22T00:00:00"/>
    <x v="3"/>
    <x v="35"/>
    <n v="1"/>
    <s v="Sigma 12 DLS"/>
    <s v="Heimat"/>
    <s v="Ritzinger Feld"/>
    <m/>
    <n v="54"/>
    <x v="28"/>
    <x v="2"/>
  </r>
  <r>
    <x v="0"/>
    <d v="2025-08-23T00:00:00"/>
    <x v="3"/>
    <x v="35"/>
    <n v="1"/>
    <s v="Sigma 12 DLS"/>
    <s v="Heimat"/>
    <s v="Baschi"/>
    <m/>
    <n v="46"/>
    <x v="141"/>
    <x v="2"/>
  </r>
  <r>
    <x v="0"/>
    <d v="2025-08-24T00:00:00"/>
    <x v="3"/>
    <x v="35"/>
    <n v="1"/>
    <s v="Sigma 12 DLS"/>
    <s v="Galfera"/>
    <s v="Fiesch"/>
    <n v="1"/>
    <n v="15"/>
    <x v="56"/>
    <x v="2"/>
  </r>
  <r>
    <x v="0"/>
    <d v="2025-08-25T00:00:00"/>
    <x v="3"/>
    <x v="35"/>
    <n v="1"/>
    <s v="Sigma 12 DLS"/>
    <s v="Heimat"/>
    <s v="Obergestlen"/>
    <n v="1"/>
    <n v="17"/>
    <x v="73"/>
    <x v="2"/>
  </r>
  <r>
    <x v="0"/>
    <d v="2025-08-26T00:00:00"/>
    <x v="3"/>
    <x v="35"/>
    <n v="1"/>
    <s v="Sigma 12 DLS"/>
    <s v="Heimat"/>
    <s v="Baschi"/>
    <n v="1"/>
    <n v="18"/>
    <x v="87"/>
    <x v="2"/>
  </r>
  <r>
    <x v="0"/>
    <d v="2025-08-30T00:00:00"/>
    <x v="3"/>
    <x v="35"/>
    <n v="1"/>
    <s v="Sigma 12 DLS"/>
    <s v="Ager"/>
    <s v="Ager"/>
    <n v="1"/>
    <n v="8"/>
    <x v="54"/>
    <x v="32"/>
  </r>
  <r>
    <x v="0"/>
    <d v="2025-08-31T00:00:00"/>
    <x v="3"/>
    <x v="35"/>
    <n v="1"/>
    <s v="Sigma 12 DLS"/>
    <s v="Ager"/>
    <s v="Tremp"/>
    <n v="1"/>
    <n v="23"/>
    <x v="102"/>
    <x v="32"/>
  </r>
  <r>
    <x v="0"/>
    <d v="2025-09-01T00:00:00"/>
    <x v="4"/>
    <x v="35"/>
    <n v="1"/>
    <s v="Sigma 12 DLS"/>
    <s v="Castejon de SOS (Liri)"/>
    <s v="Castejon de SOS (Liri)"/>
    <n v="1"/>
    <n v="18"/>
    <x v="87"/>
    <x v="32"/>
  </r>
  <r>
    <x v="0"/>
    <d v="2025-09-01T00:00:00"/>
    <x v="4"/>
    <x v="35"/>
    <n v="0"/>
    <s v="Sigma 12 DLS"/>
    <s v="Castejon de SOS (Liri)"/>
    <s v="Castejon de SOS"/>
    <n v="1"/>
    <n v="33"/>
    <x v="159"/>
    <x v="32"/>
  </r>
  <r>
    <x v="0"/>
    <d v="2025-09-02T00:00:00"/>
    <x v="4"/>
    <x v="35"/>
    <n v="1"/>
    <s v="Sigma 12 DLS"/>
    <s v="Castejon de SOS (Liri)"/>
    <s v="Castejon de SOS"/>
    <n v="2"/>
    <n v="1"/>
    <x v="62"/>
    <x v="32"/>
  </r>
  <r>
    <x v="0"/>
    <d v="2025-09-03T00:00:00"/>
    <x v="4"/>
    <x v="35"/>
    <n v="1"/>
    <s v="Sigma 12 DLS"/>
    <s v="Loare"/>
    <s v="Ayerbe"/>
    <m/>
    <n v="53"/>
    <x v="137"/>
    <x v="32"/>
  </r>
  <r>
    <x v="0"/>
    <d v="2025-09-04T00:00:00"/>
    <x v="4"/>
    <x v="35"/>
    <n v="1"/>
    <s v="Sigma 12 DLS"/>
    <s v="Sopelana (Bilbao)"/>
    <s v="Sopelana (Bilbao)"/>
    <n v="1"/>
    <n v="8"/>
    <x v="54"/>
    <x v="32"/>
  </r>
  <r>
    <x v="0"/>
    <d v="2025-09-05T00:00:00"/>
    <x v="4"/>
    <x v="35"/>
    <n v="1"/>
    <s v="Sigma 12 DLS"/>
    <s v="Urduna (Orduna)"/>
    <s v="Santa Olaja"/>
    <n v="1"/>
    <n v="11"/>
    <x v="60"/>
    <x v="32"/>
  </r>
  <r>
    <x v="0"/>
    <d v="2025-09-07T00:00:00"/>
    <x v="4"/>
    <x v="35"/>
    <n v="1"/>
    <s v="Sigma 12 DLS"/>
    <s v="Eulate"/>
    <s v="Eulate"/>
    <m/>
    <n v="24"/>
    <x v="61"/>
    <x v="37"/>
  </r>
  <r>
    <x v="0"/>
    <d v="2025-09-07T00:00:00"/>
    <x v="4"/>
    <x v="35"/>
    <n v="0"/>
    <s v="Sigma 12 DLS"/>
    <s v="Eulate"/>
    <s v="Eulate"/>
    <m/>
    <n v="52"/>
    <x v="37"/>
    <x v="37"/>
  </r>
  <r>
    <x v="0"/>
    <d v="2025-09-07T00:00:00"/>
    <x v="4"/>
    <x v="35"/>
    <n v="0"/>
    <s v="Sigma 12 DLS"/>
    <s v="Baio"/>
    <s v="Baio"/>
    <n v="1"/>
    <n v="9"/>
    <x v="116"/>
    <x v="37"/>
  </r>
  <r>
    <x v="0"/>
    <d v="2025-09-08T00:00:00"/>
    <x v="4"/>
    <x v="35"/>
    <n v="1"/>
    <s v="Sigma 12 DLS"/>
    <s v="Piedrahita"/>
    <s v="La Torre"/>
    <n v="1"/>
    <n v="47"/>
    <x v="175"/>
    <x v="37"/>
  </r>
  <r>
    <x v="0"/>
    <d v="2025-09-09T00:00:00"/>
    <x v="4"/>
    <x v="35"/>
    <n v="1"/>
    <s v="Sigma 12 DLS"/>
    <s v="Piedrahita"/>
    <s v="Mironcillo"/>
    <n v="4"/>
    <n v="22"/>
    <x v="214"/>
    <x v="37"/>
  </r>
  <r>
    <x v="0"/>
    <d v="2025-09-11T00:00:00"/>
    <x v="4"/>
    <x v="35"/>
    <n v="1"/>
    <s v="Sigma 12 DLS"/>
    <s v="Pedro Bernardo East"/>
    <s v="Lanzahita"/>
    <m/>
    <n v="44"/>
    <x v="99"/>
    <x v="37"/>
  </r>
  <r>
    <x v="0"/>
    <d v="2025-09-11T00:00:00"/>
    <x v="4"/>
    <x v="35"/>
    <n v="0"/>
    <s v="Sigma 12 DLS"/>
    <s v="Pedro Bernardo East"/>
    <s v="Prados del Maron"/>
    <m/>
    <n v="55"/>
    <x v="84"/>
    <x v="37"/>
  </r>
  <r>
    <x v="0"/>
    <d v="2025-09-12T00:00:00"/>
    <x v="4"/>
    <x v="35"/>
    <n v="1"/>
    <s v="Sigma 12 DLS"/>
    <s v="Pedro Bernardo East"/>
    <s v="El Pradejon"/>
    <n v="1"/>
    <n v="37"/>
    <x v="143"/>
    <x v="37"/>
  </r>
  <r>
    <x v="0"/>
    <d v="2025-09-18T00:00:00"/>
    <x v="4"/>
    <x v="35"/>
    <n v="1"/>
    <s v="Sigma 12 DLS"/>
    <s v="Heimat"/>
    <s v="Baschi"/>
    <n v="1"/>
    <n v="19"/>
    <x v="53"/>
    <x v="2"/>
  </r>
  <r>
    <x v="0"/>
    <d v="2025-09-19T00:00:00"/>
    <x v="4"/>
    <x v="35"/>
    <n v="1"/>
    <s v="Sigma 12 DLS"/>
    <s v="Heimat"/>
    <s v="Baschi"/>
    <n v="1"/>
    <n v="7"/>
    <x v="136"/>
    <x v="2"/>
  </r>
  <r>
    <x v="0"/>
    <d v="2025-09-28T00:00:00"/>
    <x v="4"/>
    <x v="35"/>
    <n v="1"/>
    <s v="Sigma 12 DLS"/>
    <s v="Heimat"/>
    <s v="Ritzinger Feld"/>
    <n v="1"/>
    <n v="34"/>
    <x v="13"/>
    <x v="2"/>
  </r>
  <r>
    <x v="0"/>
    <d v="2025-09-29T00:00:00"/>
    <x v="4"/>
    <x v="35"/>
    <n v="1"/>
    <s v="Sigma 11"/>
    <s v="Heimat"/>
    <s v="Obergestlen"/>
    <n v="1"/>
    <n v="25"/>
    <x v="113"/>
    <x v="2"/>
  </r>
  <r>
    <x v="0"/>
    <d v="2025-10-02T00:00:00"/>
    <x v="5"/>
    <x v="35"/>
    <n v="1"/>
    <s v="Sigma 11"/>
    <s v="Heimat"/>
    <s v="Baschi"/>
    <m/>
    <n v="55"/>
    <x v="84"/>
    <x v="2"/>
  </r>
  <r>
    <x v="0"/>
    <d v="2025-10-04T00:00:00"/>
    <x v="5"/>
    <x v="35"/>
    <n v="1"/>
    <s v="Sigma 11"/>
    <s v="Valcava"/>
    <s v="Saint Antonio d'Adda"/>
    <m/>
    <n v="32"/>
    <x v="23"/>
    <x v="59"/>
  </r>
  <r>
    <x v="0"/>
    <d v="2025-10-06T00:00:00"/>
    <x v="5"/>
    <x v="35"/>
    <n v="1"/>
    <s v="Sigma 11"/>
    <s v="Tre Pizzi"/>
    <s v="Bresciano"/>
    <n v="1"/>
    <n v="36"/>
    <x v="55"/>
    <x v="59"/>
  </r>
  <r>
    <x v="0"/>
    <d v="2025-10-06T00:00:00"/>
    <x v="5"/>
    <x v="35"/>
    <n v="0"/>
    <s v="Sigma 11"/>
    <s v="Tre Pizzi"/>
    <s v="Bresciano"/>
    <n v="1"/>
    <n v="13"/>
    <x v="94"/>
    <x v="59"/>
  </r>
  <r>
    <x v="0"/>
    <d v="2025-10-07T00:00:00"/>
    <x v="5"/>
    <x v="35"/>
    <n v="1"/>
    <s v="Sigma 11"/>
    <s v="Tre Pizzi"/>
    <s v="Bresciano"/>
    <m/>
    <n v="48"/>
    <x v="135"/>
    <x v="59"/>
  </r>
  <r>
    <x v="0"/>
    <d v="2025-10-07T00:00:00"/>
    <x v="5"/>
    <x v="35"/>
    <n v="0"/>
    <s v="Sigma 11"/>
    <s v="Tre Pizzi"/>
    <s v="Bresciano"/>
    <n v="1"/>
    <n v="32"/>
    <x v="32"/>
    <x v="59"/>
  </r>
  <r>
    <x v="0"/>
    <d v="2025-10-08T00:00:00"/>
    <x v="5"/>
    <x v="35"/>
    <n v="1"/>
    <s v="Sigma 11"/>
    <s v="Sarnano Sibilini"/>
    <s v="Sarnano Sibilini"/>
    <n v="1"/>
    <n v="1"/>
    <x v="31"/>
    <x v="59"/>
  </r>
  <r>
    <x v="0"/>
    <d v="2025-10-08T00:00:00"/>
    <x v="5"/>
    <x v="35"/>
    <n v="0"/>
    <s v="Sigma 11"/>
    <s v="Sarnano Sibilini"/>
    <s v="Sarnano Sibilini"/>
    <n v="1"/>
    <n v="15"/>
    <x v="56"/>
    <x v="59"/>
  </r>
  <r>
    <x v="0"/>
    <d v="2025-10-08T00:00:00"/>
    <x v="5"/>
    <x v="35"/>
    <n v="0"/>
    <s v="Sigma 11"/>
    <s v="Sarnano Sibilini"/>
    <s v="San Gassiano"/>
    <m/>
    <n v="19"/>
    <x v="20"/>
    <x v="59"/>
  </r>
  <r>
    <x v="0"/>
    <d v="2025-10-09T00:00:00"/>
    <x v="5"/>
    <x v="35"/>
    <n v="1"/>
    <s v="Sigma 11"/>
    <s v="Sarnano Sibilini"/>
    <s v="Sarnano Sibilini"/>
    <n v="1"/>
    <n v="17"/>
    <x v="73"/>
    <x v="59"/>
  </r>
  <r>
    <x v="0"/>
    <d v="2025-10-09T00:00:00"/>
    <x v="5"/>
    <x v="35"/>
    <n v="0"/>
    <s v="Sigma 11"/>
    <s v="Sarnano Sibilini"/>
    <s v="San Gassiano"/>
    <m/>
    <n v="53"/>
    <x v="137"/>
    <x v="59"/>
  </r>
  <r>
    <x v="0"/>
    <d v="2025-10-13T00:00:00"/>
    <x v="5"/>
    <x v="35"/>
    <n v="1"/>
    <s v="Sigma 11"/>
    <s v="Heimat"/>
    <s v="Fiesch"/>
    <n v="1"/>
    <n v="0"/>
    <x v="47"/>
    <x v="2"/>
  </r>
  <r>
    <x v="0"/>
    <d v="2025-10-14T00:00:00"/>
    <x v="5"/>
    <x v="35"/>
    <n v="1"/>
    <s v="Sigma 11"/>
    <s v="Talegga"/>
    <s v="Baschi"/>
    <n v="1"/>
    <n v="13"/>
    <x v="94"/>
    <x v="2"/>
  </r>
  <r>
    <x v="0"/>
    <d v="2025-10-15T00:00:00"/>
    <x v="5"/>
    <x v="35"/>
    <n v="1"/>
    <s v="Sigma 11"/>
    <s v="Talegga"/>
    <s v="Grindelwald"/>
    <n v="1"/>
    <n v="57"/>
    <x v="71"/>
    <x v="2"/>
  </r>
  <r>
    <x v="0"/>
    <d v="2025-10-16T00:00:00"/>
    <x v="5"/>
    <x v="35"/>
    <n v="1"/>
    <s v="Sigma 11"/>
    <s v="Talegga"/>
    <s v="Baschi"/>
    <m/>
    <n v="57"/>
    <x v="49"/>
    <x v="2"/>
  </r>
  <r>
    <x v="0"/>
    <d v="2025-10-17T00:00:00"/>
    <x v="5"/>
    <x v="35"/>
    <n v="1"/>
    <s v="Sigma 11"/>
    <s v="Talegga"/>
    <s v="Baschi"/>
    <n v="1"/>
    <n v="14"/>
    <x v="149"/>
    <x v="2"/>
  </r>
  <r>
    <x v="0"/>
    <d v="2025-10-18T00:00:00"/>
    <x v="5"/>
    <x v="35"/>
    <n v="1"/>
    <s v="Sigma 11"/>
    <s v="Galfera"/>
    <s v="Ritzinger Feld"/>
    <n v="1"/>
    <n v="11"/>
    <x v="60"/>
    <x v="2"/>
  </r>
  <r>
    <x v="0"/>
    <d v="2025-11-04T00:00:00"/>
    <x v="6"/>
    <x v="35"/>
    <n v="1"/>
    <s v="Sigma 11"/>
    <s v="Riederalp"/>
    <s v="Fiesch"/>
    <n v="1"/>
    <n v="5"/>
    <x v="45"/>
    <x v="2"/>
  </r>
  <r>
    <x v="0"/>
    <d v="2025-11-08T00:00:00"/>
    <x v="6"/>
    <x v="35"/>
    <n v="1"/>
    <s v="Sigma 11"/>
    <s v="Riederalp"/>
    <s v="Fiesch"/>
    <m/>
    <n v="26"/>
    <x v="134"/>
    <x v="2"/>
  </r>
  <r>
    <x v="0"/>
    <d v="2025-11-10T00:00:00"/>
    <x v="6"/>
    <x v="35"/>
    <n v="1"/>
    <s v="Sigma 11"/>
    <s v="Heimat"/>
    <s v="Obergestlen"/>
    <n v="1"/>
    <n v="10"/>
    <x v="142"/>
    <x v="2"/>
  </r>
  <r>
    <x v="0"/>
    <d v="2025-11-11T00:00:00"/>
    <x v="6"/>
    <x v="35"/>
    <n v="1"/>
    <s v="Sigma 11"/>
    <s v="Heimat"/>
    <s v="Fiesch"/>
    <m/>
    <n v="53"/>
    <x v="137"/>
    <x v="2"/>
  </r>
  <r>
    <x v="0"/>
    <d v="2025-11-12T00:00:00"/>
    <x v="6"/>
    <x v="35"/>
    <n v="1"/>
    <s v="Sigma 11"/>
    <s v="Heimat"/>
    <s v="Fiesch"/>
    <m/>
    <n v="38"/>
    <x v="17"/>
    <x v="2"/>
  </r>
  <r>
    <x v="0"/>
    <d v="2025-12-09T00:00:00"/>
    <x v="10"/>
    <x v="35"/>
    <n v="1"/>
    <s v="Sigma 11"/>
    <s v="Heimat"/>
    <s v="Ritzinger Feld"/>
    <n v="1"/>
    <n v="1"/>
    <x v="31"/>
    <x v="2"/>
  </r>
  <r>
    <x v="0"/>
    <d v="2025-12-12T00:00:00"/>
    <x v="10"/>
    <x v="35"/>
    <n v="1"/>
    <s v="Sigma 11"/>
    <s v="Heimat"/>
    <s v="Fiesch"/>
    <n v="1"/>
    <n v="4"/>
    <x v="38"/>
    <x v="2"/>
  </r>
  <r>
    <x v="0"/>
    <d v="2025-12-13T00:00:00"/>
    <x v="10"/>
    <x v="35"/>
    <n v="1"/>
    <s v="Sigma 11"/>
    <s v="Heimat"/>
    <s v="Ritzinger Feld"/>
    <m/>
    <n v="38"/>
    <x v="17"/>
    <x v="2"/>
  </r>
  <r>
    <x v="0"/>
    <d v="2025-12-14T00:00:00"/>
    <x v="10"/>
    <x v="35"/>
    <n v="1"/>
    <s v="Sigma 11"/>
    <s v="Heimat"/>
    <s v="Obergestlen"/>
    <n v="1"/>
    <n v="38"/>
    <x v="128"/>
    <x v="2"/>
  </r>
  <r>
    <x v="0"/>
    <d v="2025-12-19T00:00:00"/>
    <x v="10"/>
    <x v="35"/>
    <n v="1"/>
    <s v="Sigma 11"/>
    <s v="Heimat"/>
    <s v="Baschi"/>
    <n v="1"/>
    <n v="7"/>
    <x v="136"/>
    <x v="2"/>
  </r>
  <r>
    <x v="0"/>
    <d v="2025-12-26T00:00:00"/>
    <x v="10"/>
    <x v="35"/>
    <n v="1"/>
    <s v="Sigma 11"/>
    <s v="Sierra de Loja 1"/>
    <s v="Venta del Rayo"/>
    <m/>
    <n v="32"/>
    <x v="23"/>
    <x v="60"/>
  </r>
  <r>
    <x v="0"/>
    <d v="2025-12-27T00:00:00"/>
    <x v="10"/>
    <x v="35"/>
    <n v="1"/>
    <s v="Sigma 11"/>
    <s v="Castala 2"/>
    <s v="Castala"/>
    <n v="1"/>
    <n v="28"/>
    <x v="80"/>
    <x v="60"/>
  </r>
  <r>
    <x v="0"/>
    <d v="2025-12-28T00:00:00"/>
    <x v="10"/>
    <x v="35"/>
    <n v="1"/>
    <s v="Sigma 11"/>
    <s v="Carachuna"/>
    <s v="Carachuna"/>
    <m/>
    <n v="52"/>
    <x v="37"/>
    <x v="60"/>
  </r>
  <r>
    <x v="0"/>
    <d v="2025-12-29T00:00:00"/>
    <x v="10"/>
    <x v="35"/>
    <n v="1"/>
    <s v="Sigma 11"/>
    <s v="Otivar"/>
    <s v="Otivar"/>
    <n v="1"/>
    <n v="33"/>
    <x v="159"/>
    <x v="60"/>
  </r>
  <r>
    <x v="0"/>
    <d v="2025-12-30T00:00:00"/>
    <x v="10"/>
    <x v="35"/>
    <n v="1"/>
    <s v="Sigma 11"/>
    <s v="Cenes de la Vega 2"/>
    <s v="Vcenes de la Vega"/>
    <n v="1"/>
    <n v="31"/>
    <x v="24"/>
    <x v="60"/>
  </r>
  <r>
    <x v="0"/>
    <d v="2025-12-31T00:00:00"/>
    <x v="10"/>
    <x v="35"/>
    <n v="1"/>
    <s v="Sigma 11"/>
    <s v="Orgiva 1"/>
    <s v="Los Tablones"/>
    <m/>
    <n v="58"/>
    <x v="95"/>
    <x v="60"/>
  </r>
  <r>
    <x v="0"/>
    <d v="2026-01-01T00:00:00"/>
    <x v="11"/>
    <x v="36"/>
    <n v="1"/>
    <s v="Sigma 11"/>
    <s v="Alhama"/>
    <s v="Alhama"/>
    <n v="1"/>
    <n v="27"/>
    <x v="129"/>
    <x v="60"/>
  </r>
  <r>
    <x v="0"/>
    <d v="2026-01-02T00:00:00"/>
    <x v="11"/>
    <x v="36"/>
    <n v="1"/>
    <s v="Sigma 11"/>
    <s v="Toix 1"/>
    <s v="Toix 2"/>
    <n v="1"/>
    <n v="23"/>
    <x v="102"/>
    <x v="60"/>
  </r>
  <r>
    <x v="0"/>
    <d v="2026-01-04T00:00:00"/>
    <x v="11"/>
    <x v="36"/>
    <n v="1"/>
    <s v="Sigma 11"/>
    <s v="Heimat"/>
    <s v="Fiesch"/>
    <m/>
    <n v="38"/>
    <x v="17"/>
    <x v="2"/>
  </r>
  <r>
    <x v="0"/>
    <d v="2026-01-05T00:00:00"/>
    <x v="11"/>
    <x v="36"/>
    <n v="1"/>
    <s v="Sigma 11"/>
    <s v="Heimat"/>
    <s v="Fiesch"/>
    <n v="1"/>
    <n v="19"/>
    <x v="53"/>
    <x v="2"/>
  </r>
  <r>
    <x v="0"/>
    <d v="2026-01-06T00:00:00"/>
    <x v="11"/>
    <x v="36"/>
    <n v="1"/>
    <s v="Sigma 11"/>
    <s v="Heimat"/>
    <s v="Baschi"/>
    <n v="1"/>
    <n v="21"/>
    <x v="140"/>
    <x v="2"/>
  </r>
  <r>
    <x v="0"/>
    <d v="2026-01-07T00:00:00"/>
    <x v="11"/>
    <x v="36"/>
    <n v="1"/>
    <s v="Sigma 11"/>
    <s v="Heimat"/>
    <s v="Fiesch"/>
    <n v="1"/>
    <n v="6"/>
    <x v="44"/>
    <x v="2"/>
  </r>
  <r>
    <x v="0"/>
    <d v="2026-01-15T00:00:00"/>
    <x v="11"/>
    <x v="36"/>
    <n v="1"/>
    <s v="Sigma 11"/>
    <s v="Heimat"/>
    <s v="Baschi"/>
    <m/>
    <n v="39"/>
    <x v="131"/>
    <x v="2"/>
  </r>
  <r>
    <x v="0"/>
    <d v="2026-01-21T00:00:00"/>
    <x v="11"/>
    <x v="36"/>
    <n v="1"/>
    <s v="Sigma 11"/>
    <s v="Heimat"/>
    <s v="Baschi"/>
    <n v="1"/>
    <n v="31"/>
    <x v="24"/>
    <x v="2"/>
  </r>
  <r>
    <x v="0"/>
    <d v="2026-01-22T00:00:00"/>
    <x v="11"/>
    <x v="36"/>
    <n v="1"/>
    <s v="Sigma 11"/>
    <s v="Heimat"/>
    <s v="Fiesch"/>
    <m/>
    <n v="40"/>
    <x v="33"/>
    <x v="2"/>
  </r>
  <r>
    <x v="0"/>
    <d v="2026-02-01T00:00:00"/>
    <x v="7"/>
    <x v="36"/>
    <n v="1"/>
    <s v="Sigma 11"/>
    <s v="Heimat"/>
    <s v="Obergestlen"/>
    <n v="1"/>
    <n v="20"/>
    <x v="46"/>
    <x v="2"/>
  </r>
  <r>
    <x v="0"/>
    <d v="2026-02-05T00:00:00"/>
    <x v="7"/>
    <x v="36"/>
    <n v="1"/>
    <s v="Sigma 11"/>
    <s v="Heimat"/>
    <s v="Baschi"/>
    <n v="2"/>
    <n v="18"/>
    <x v="139"/>
    <x v="2"/>
  </r>
  <r>
    <x v="0"/>
    <d v="2026-02-07T00:00:00"/>
    <x v="7"/>
    <x v="36"/>
    <n v="1"/>
    <s v="Sigma 11"/>
    <s v="Heimat"/>
    <s v="Baschi"/>
    <n v="1"/>
    <n v="18"/>
    <x v="87"/>
    <x v="2"/>
  </r>
  <r>
    <x v="0"/>
    <d v="2026-02-08T00:00:00"/>
    <x v="7"/>
    <x v="36"/>
    <n v="1"/>
    <s v="Sigma 12 DLS"/>
    <s v="Heimat"/>
    <s v="Baschi"/>
    <n v="1"/>
    <n v="21"/>
    <x v="140"/>
    <x v="2"/>
  </r>
  <r>
    <x v="0"/>
    <d v="2026-02-09T00:00:00"/>
    <x v="7"/>
    <x v="36"/>
    <n v="1"/>
    <s v="Sigma 12 DLS"/>
    <s v="Heimat"/>
    <s v="Obergestlen"/>
    <n v="1"/>
    <n v="17"/>
    <x v="73"/>
    <x v="2"/>
  </r>
  <r>
    <x v="0"/>
    <d v="2026-02-15T00:00:00"/>
    <x v="7"/>
    <x v="36"/>
    <n v="1"/>
    <s v="Sigma 12 DLS"/>
    <s v="San Fermo"/>
    <s v="San Fermo"/>
    <n v="1"/>
    <n v="34"/>
    <x v="13"/>
    <x v="61"/>
  </r>
  <r>
    <x v="0"/>
    <d v="2026-02-15T00:00:00"/>
    <x v="7"/>
    <x v="36"/>
    <n v="0"/>
    <s v="Sigma 12 DLS"/>
    <s v="San Fermo"/>
    <s v="Casazza"/>
    <m/>
    <n v="47"/>
    <x v="132"/>
    <x v="61"/>
  </r>
  <r>
    <x v="0"/>
    <d v="2026-02-16T00:00:00"/>
    <x v="7"/>
    <x v="36"/>
    <n v="1"/>
    <s v="Sigma 12 DLS"/>
    <s v="Monte Farno"/>
    <s v="Cazzano"/>
    <m/>
    <n v="10"/>
    <x v="4"/>
    <x v="61"/>
  </r>
  <r>
    <x v="0"/>
    <d v="2026-02-18T00:00:00"/>
    <x v="7"/>
    <x v="36"/>
    <n v="1"/>
    <s v="Sigma 12 DLS"/>
    <s v="Bassano Bepi"/>
    <s v="Garden Relais"/>
    <n v="2"/>
    <n v="12"/>
    <x v="172"/>
    <x v="61"/>
  </r>
  <r>
    <x v="0"/>
    <d v="2026-02-18T00:00:00"/>
    <x v="7"/>
    <x v="36"/>
    <n v="0"/>
    <s v="Sigma 12 DLS"/>
    <s v="Bassano Bepi"/>
    <s v="Garden Relais"/>
    <n v="1"/>
    <n v="13"/>
    <x v="94"/>
    <x v="61"/>
  </r>
  <r>
    <x v="0"/>
    <d v="2026-02-20T00:00:00"/>
    <x v="7"/>
    <x v="36"/>
    <n v="1"/>
    <s v="Sigma 12 DLS"/>
    <s v="Monte Maddalena"/>
    <s v="Collebeato"/>
    <n v="1"/>
    <n v="3"/>
    <x v="25"/>
    <x v="61"/>
  </r>
  <r>
    <x v="0"/>
    <d v="2026-02-25T00:00:00"/>
    <x v="7"/>
    <x v="36"/>
    <n v="1"/>
    <s v="Artik R2"/>
    <s v="Heimat"/>
    <s v="Baschi"/>
    <n v="1"/>
    <n v="18"/>
    <x v="87"/>
    <x v="2"/>
  </r>
  <r>
    <x v="0"/>
    <d v="2026-03-01T00:00:00"/>
    <x v="8"/>
    <x v="36"/>
    <n v="1"/>
    <s v="Sigma 11"/>
    <s v="Rampa Clementino Izota"/>
    <s v="Pancas"/>
    <m/>
    <n v="33"/>
    <x v="59"/>
    <x v="62"/>
  </r>
  <r>
    <x v="0"/>
    <d v="2026-03-02T00:00:00"/>
    <x v="8"/>
    <x v="36"/>
    <n v="1"/>
    <s v="Sigma 11"/>
    <s v="Rampa Clementino Izota"/>
    <s v="Lajinha"/>
    <n v="1"/>
    <n v="54"/>
    <x v="96"/>
    <x v="62"/>
  </r>
  <r>
    <x v="0"/>
    <d v="2026-03-03T00:00:00"/>
    <x v="8"/>
    <x v="36"/>
    <n v="1"/>
    <s v="Sigma 11"/>
    <s v="Pedra do Vidal"/>
    <s v="Lajinha"/>
    <m/>
    <n v="13"/>
    <x v="18"/>
    <x v="62"/>
  </r>
  <r>
    <x v="0"/>
    <d v="2026-03-04T00:00:00"/>
    <x v="8"/>
    <x v="36"/>
    <n v="1"/>
    <s v="Sigma 11"/>
    <s v="Rampa Clementino Izota"/>
    <s v="Pancas"/>
    <n v="1"/>
    <n v="48"/>
    <x v="35"/>
    <x v="62"/>
  </r>
  <r>
    <x v="0"/>
    <d v="2026-03-05T00:00:00"/>
    <x v="8"/>
    <x v="36"/>
    <n v="1"/>
    <s v="Sigma 11"/>
    <s v="Rampa Monjolo Baixo"/>
    <s v="Baixo Guandu"/>
    <m/>
    <n v="49"/>
    <x v="79"/>
    <x v="62"/>
  </r>
  <r>
    <x v="0"/>
    <d v="2026-03-06T00:00:00"/>
    <x v="8"/>
    <x v="36"/>
    <n v="1"/>
    <s v="Sigma 11"/>
    <s v="Governador Valadares"/>
    <s v="Vila Nova"/>
    <n v="2"/>
    <n v="26"/>
    <x v="215"/>
    <x v="62"/>
  </r>
  <r>
    <x v="0"/>
    <d v="2026-03-07T00:00:00"/>
    <x v="8"/>
    <x v="36"/>
    <n v="1"/>
    <s v="Sigma 11"/>
    <s v="Governador Valadares"/>
    <s v="Engenheiro Caldas"/>
    <n v="2"/>
    <n v="16"/>
    <x v="196"/>
    <x v="62"/>
  </r>
  <r>
    <x v="0"/>
    <d v="2026-03-07T00:00:00"/>
    <x v="8"/>
    <x v="36"/>
    <n v="0"/>
    <s v="Sigma 11"/>
    <s v="Governador Valadares"/>
    <s v="Governador Valadares"/>
    <m/>
    <n v="34"/>
    <x v="50"/>
    <x v="62"/>
  </r>
  <r>
    <x v="0"/>
    <d v="2026-03-08T00:00:00"/>
    <x v="8"/>
    <x v="36"/>
    <n v="1"/>
    <s v="Sigma 11"/>
    <s v="Rampa Monjolo Baixo"/>
    <s v="Baixo Guandu"/>
    <n v="1"/>
    <n v="5"/>
    <x v="45"/>
    <x v="62"/>
  </r>
  <r>
    <x v="0"/>
    <d v="2026-03-09T00:00:00"/>
    <x v="8"/>
    <x v="36"/>
    <n v="1"/>
    <s v="Sigma 11"/>
    <s v="Rampa Monjolo Baixo"/>
    <s v="Baixo Guandu"/>
    <n v="3"/>
    <n v="22"/>
    <x v="216"/>
    <x v="62"/>
  </r>
  <r>
    <x v="0"/>
    <d v="2026-03-10T00:00:00"/>
    <x v="8"/>
    <x v="36"/>
    <n v="1"/>
    <s v="Sigma 11"/>
    <s v="Rampa Monjolo Baixo"/>
    <s v="Sobreiro"/>
    <n v="2"/>
    <n v="24"/>
    <x v="12"/>
    <x v="62"/>
  </r>
  <r>
    <x v="0"/>
    <d v="2026-03-11T00:00:00"/>
    <x v="8"/>
    <x v="36"/>
    <n v="1"/>
    <s v="Sigma 11"/>
    <s v="Falesias de Mare"/>
    <s v="Falesias de Mare"/>
    <n v="1"/>
    <n v="19"/>
    <x v="53"/>
    <x v="62"/>
  </r>
  <r>
    <x v="0"/>
    <d v="2026-03-12T00:00:00"/>
    <x v="8"/>
    <x v="36"/>
    <n v="1"/>
    <s v="Sigma 11"/>
    <s v="Rampa do Mirante Alto"/>
    <s v="Gironda"/>
    <m/>
    <n v="7"/>
    <x v="1"/>
    <x v="62"/>
  </r>
  <r>
    <x v="0"/>
    <d v="2026-03-12T00:00:00"/>
    <x v="8"/>
    <x v="36"/>
    <n v="0"/>
    <s v="Sigma 11"/>
    <s v="Rampa do Mirante Alto"/>
    <s v="Vargem Grande do Soturno"/>
    <m/>
    <n v="17"/>
    <x v="26"/>
    <x v="62"/>
  </r>
  <r>
    <x v="0"/>
    <d v="2026-03-13T00:00:00"/>
    <x v="8"/>
    <x v="36"/>
    <n v="1"/>
    <s v="Sigma 11"/>
    <s v="Rampa de Cachoeira"/>
    <s v="Cachoeira"/>
    <n v="1"/>
    <n v="0"/>
    <x v="47"/>
    <x v="62"/>
  </r>
  <r>
    <x v="0"/>
    <d v="2026-03-19T00:00:00"/>
    <x v="8"/>
    <x v="36"/>
    <n v="1"/>
    <s v="Artik R2"/>
    <s v="Heimat"/>
    <s v="Baschi"/>
    <m/>
    <n v="58"/>
    <x v="95"/>
    <x v="2"/>
  </r>
  <r>
    <x v="0"/>
    <d v="2026-03-20T00:00:00"/>
    <x v="8"/>
    <x v="36"/>
    <n v="1"/>
    <s v="Artik R2"/>
    <s v="Heimat"/>
    <s v="Fiesch"/>
    <n v="1"/>
    <n v="30"/>
    <x v="9"/>
    <x v="2"/>
  </r>
  <r>
    <x v="0"/>
    <d v="2026-03-23T00:00:00"/>
    <x v="8"/>
    <x v="36"/>
    <n v="1"/>
    <s v="Artik R2"/>
    <s v="Heimat"/>
    <s v="Geschinen"/>
    <m/>
    <n v="44"/>
    <x v="99"/>
    <x v="2"/>
  </r>
  <r>
    <x v="0"/>
    <d v="2026-03-24T00:00:00"/>
    <x v="8"/>
    <x v="36"/>
    <n v="1"/>
    <s v="Artik R2"/>
    <s v="Heimat"/>
    <s v="Baschi"/>
    <n v="1"/>
    <n v="4"/>
    <x v="38"/>
    <x v="2"/>
  </r>
  <r>
    <x v="0"/>
    <d v="2026-04-02T00:00:00"/>
    <x v="9"/>
    <x v="36"/>
    <n v="1"/>
    <s v="Artik R2"/>
    <s v="Heimat"/>
    <s v="Ritzinger Feld"/>
    <m/>
    <n v="43"/>
    <x v="118"/>
    <x v="2"/>
  </r>
  <r>
    <x v="0"/>
    <d v="2026-04-03T00:00:00"/>
    <x v="9"/>
    <x v="36"/>
    <n v="1"/>
    <s v="Artik R2"/>
    <s v="Heimat"/>
    <s v="Ritzinger Feld"/>
    <m/>
    <n v="27"/>
    <x v="34"/>
    <x v="2"/>
  </r>
  <r>
    <x v="0"/>
    <d v="2026-04-04T00:00:00"/>
    <x v="9"/>
    <x v="36"/>
    <n v="1"/>
    <s v="Artik R2"/>
    <s v="Heimat"/>
    <s v="Münster"/>
    <m/>
    <n v="53"/>
    <x v="137"/>
    <x v="2"/>
  </r>
  <r>
    <x v="0"/>
    <d v="2026-04-06T00:00:00"/>
    <x v="9"/>
    <x v="36"/>
    <n v="1"/>
    <s v="Artik R2"/>
    <s v="Heimat"/>
    <s v="Obergestlen"/>
    <m/>
    <n v="55"/>
    <x v="84"/>
    <x v="2"/>
  </r>
  <r>
    <x v="0"/>
    <d v="2026-04-07T00:00:00"/>
    <x v="9"/>
    <x v="36"/>
    <n v="1"/>
    <s v="Artik R2"/>
    <s v="Heimat"/>
    <s v="Ritzinger Feld"/>
    <n v="2"/>
    <n v="0"/>
    <x v="10"/>
    <x v="2"/>
  </r>
  <r>
    <x v="0"/>
    <d v="2026-04-08T00:00:00"/>
    <x v="9"/>
    <x v="36"/>
    <n v="1"/>
    <s v="Artik R2"/>
    <s v="Heimat"/>
    <s v="Ritzinger Feld"/>
    <n v="2"/>
    <n v="20"/>
    <x v="130"/>
    <x v="2"/>
  </r>
  <r>
    <x v="0"/>
    <d v="2026-04-10T00:00:00"/>
    <x v="9"/>
    <x v="36"/>
    <n v="1"/>
    <s v="Artik R2"/>
    <s v="Pizzo Calabro 1"/>
    <s v="Pizzo Calabro 1"/>
    <m/>
    <n v="11"/>
    <x v="14"/>
    <x v="63"/>
  </r>
  <r>
    <x v="0"/>
    <d v="2026-04-10T00:00:00"/>
    <x v="9"/>
    <x v="36"/>
    <n v="0"/>
    <s v="Artik R2"/>
    <s v="Pizzo Calabro 1"/>
    <s v="Pizzo Calabro 1"/>
    <m/>
    <n v="12"/>
    <x v="6"/>
    <x v="63"/>
  </r>
  <r>
    <x v="0"/>
    <d v="2026-04-10T00:00:00"/>
    <x v="9"/>
    <x v="36"/>
    <n v="0"/>
    <s v="Artik R2"/>
    <s v="Pizzo Calabro 1"/>
    <s v="Pizzo Calabro"/>
    <m/>
    <n v="37"/>
    <x v="51"/>
    <x v="63"/>
  </r>
  <r>
    <x v="0"/>
    <d v="2026-04-11T00:00:00"/>
    <x v="9"/>
    <x v="36"/>
    <n v="1"/>
    <s v="Artik R2"/>
    <s v="Monte Coccovello"/>
    <s v="Sapri"/>
    <m/>
    <n v="22"/>
    <x v="42"/>
    <x v="63"/>
  </r>
  <r>
    <x v="0"/>
    <d v="2026-04-11T00:00:00"/>
    <x v="9"/>
    <x v="36"/>
    <n v="0"/>
    <s v="Artik R2"/>
    <s v="Monte Coccovello"/>
    <s v="Sapri"/>
    <m/>
    <n v="21"/>
    <x v="97"/>
    <x v="63"/>
  </r>
  <r>
    <x v="0"/>
    <d v="2026-04-12T00:00:00"/>
    <x v="9"/>
    <x v="36"/>
    <n v="1"/>
    <s v="Artik R2"/>
    <s v="Monte di Capaccio Vecchio"/>
    <s v="Capo di Fiume"/>
    <m/>
    <n v="11"/>
    <x v="14"/>
    <x v="63"/>
  </r>
  <r>
    <x v="0"/>
    <d v="2026-04-14T00:00:00"/>
    <x v="9"/>
    <x v="36"/>
    <n v="1"/>
    <s v="Artik R2"/>
    <s v="Monte di Capaccio Vecchio"/>
    <s v="Capaccio"/>
    <m/>
    <n v="51"/>
    <x v="21"/>
    <x v="63"/>
  </r>
  <r>
    <x v="0"/>
    <d v="2026-04-16T00:00:00"/>
    <x v="9"/>
    <x v="36"/>
    <n v="1"/>
    <s v="Artik R2"/>
    <s v="Norma"/>
    <s v="Norma"/>
    <m/>
    <n v="58"/>
    <x v="95"/>
    <x v="63"/>
  </r>
  <r>
    <x v="0"/>
    <d v="2026-04-16T00:00:00"/>
    <x v="9"/>
    <x v="36"/>
    <n v="0"/>
    <s v="Artik R2"/>
    <s v="Norma"/>
    <s v="Doganella di Ninfa"/>
    <m/>
    <n v="35"/>
    <x v="119"/>
    <x v="63"/>
  </r>
  <r>
    <x v="0"/>
    <d v="2026-04-17T00:00:00"/>
    <x v="9"/>
    <x v="36"/>
    <n v="1"/>
    <s v="Artik R2"/>
    <s v="Norma"/>
    <s v="Norma"/>
    <m/>
    <n v="58"/>
    <x v="95"/>
    <x v="63"/>
  </r>
  <r>
    <x v="0"/>
    <d v="2026-04-18T00:00:00"/>
    <x v="9"/>
    <x v="36"/>
    <n v="1"/>
    <s v="Artik R2"/>
    <s v="Norma"/>
    <s v="Norma"/>
    <n v="1"/>
    <n v="55"/>
    <x v="148"/>
    <x v="64"/>
  </r>
  <r>
    <x v="0"/>
    <d v="2026-04-18T00:00:00"/>
    <x v="9"/>
    <x v="36"/>
    <n v="0"/>
    <s v="Artik R2"/>
    <s v="Norma"/>
    <s v="Doganella di Ninfa"/>
    <n v="2"/>
    <n v="44"/>
    <x v="112"/>
    <x v="64"/>
  </r>
  <r>
    <x v="0"/>
    <d v="2026-04-19T00:00:00"/>
    <x v="9"/>
    <x v="36"/>
    <n v="1"/>
    <s v="Artik R2"/>
    <s v="Pogio Bustone"/>
    <s v="Borgo Polli"/>
    <n v="2"/>
    <n v="17"/>
    <x v="70"/>
    <x v="64"/>
  </r>
  <r>
    <x v="0"/>
    <d v="2026-04-20T00:00:00"/>
    <x v="9"/>
    <x v="36"/>
    <n v="1"/>
    <s v="Artik R2"/>
    <s v="Monte Scalambra"/>
    <s v="San Donato"/>
    <n v="1"/>
    <n v="3"/>
    <x v="25"/>
    <x v="64"/>
  </r>
  <r>
    <x v="0"/>
    <d v="2026-04-21T00:00:00"/>
    <x v="9"/>
    <x v="36"/>
    <n v="1"/>
    <s v="Artik R2"/>
    <s v="Norma"/>
    <s v="Norma"/>
    <n v="1"/>
    <n v="41"/>
    <x v="76"/>
    <x v="64"/>
  </r>
  <r>
    <x v="0"/>
    <d v="2026-04-21T00:00:00"/>
    <x v="9"/>
    <x v="36"/>
    <n v="0"/>
    <s v="Artik R2"/>
    <s v="Norma"/>
    <s v="Norma"/>
    <n v="1"/>
    <n v="13"/>
    <x v="94"/>
    <x v="64"/>
  </r>
  <r>
    <x v="0"/>
    <d v="2026-04-23T00:00:00"/>
    <x v="9"/>
    <x v="36"/>
    <n v="1"/>
    <s v="Artik R2"/>
    <s v="Calvanella di Sestola"/>
    <s v="Sestola"/>
    <m/>
    <n v="53"/>
    <x v="137"/>
    <x v="64"/>
  </r>
  <r>
    <x v="0"/>
    <d v="2026-04-24T00:00:00"/>
    <x v="9"/>
    <x v="36"/>
    <n v="1"/>
    <s v="Artik R2"/>
    <s v="Monfestino"/>
    <s v="Montardon"/>
    <n v="1"/>
    <n v="13"/>
    <x v="94"/>
    <x v="64"/>
  </r>
  <r>
    <x v="0"/>
    <d v="2026-04-26T00:00:00"/>
    <x v="9"/>
    <x v="36"/>
    <n v="1"/>
    <s v="Artik R2"/>
    <s v="Heimat"/>
    <s v="Ritzinger Feld"/>
    <n v="1"/>
    <n v="31"/>
    <x v="24"/>
    <x v="2"/>
  </r>
  <r>
    <x v="0"/>
    <d v="2026-05-01T00:00:00"/>
    <x v="0"/>
    <x v="36"/>
    <n v="1"/>
    <s v="Artik R2"/>
    <s v="Heimat"/>
    <s v="Ritzinger Feld"/>
    <n v="2"/>
    <n v="9"/>
    <x v="122"/>
    <x v="2"/>
  </r>
  <r>
    <x v="0"/>
    <d v="2026-05-02T00:00:00"/>
    <x v="0"/>
    <x v="36"/>
    <n v="1"/>
    <s v="Artik R2"/>
    <s v="Heimat"/>
    <s v="Ritzinger Feld"/>
    <n v="1"/>
    <n v="27"/>
    <x v="129"/>
    <x v="2"/>
  </r>
  <r>
    <x v="0"/>
    <d v="2026-05-08T00:00:00"/>
    <x v="0"/>
    <x v="36"/>
    <n v="1"/>
    <s v="Artik R2"/>
    <s v="Heimat"/>
    <s v="Ritzinger Feld"/>
    <n v="1"/>
    <n v="12"/>
    <x v="88"/>
    <x v="2"/>
  </r>
  <r>
    <x v="0"/>
    <d v="2026-05-13T00:00:00"/>
    <x v="0"/>
    <x v="36"/>
    <n v="1"/>
    <s v="Artik R2"/>
    <s v="Heimat"/>
    <s v="Ulrichen"/>
    <n v="1"/>
    <n v="3"/>
    <x v="25"/>
    <x v="2"/>
  </r>
  <r>
    <x v="0"/>
    <d v="2026-05-17T00:00:00"/>
    <x v="0"/>
    <x v="36"/>
    <n v="1"/>
    <s v="Artik R2"/>
    <s v="Heimat"/>
    <s v="Ritzinger Feld"/>
    <n v="1"/>
    <n v="18"/>
    <x v="87"/>
    <x v="2"/>
  </r>
  <r>
    <x v="0"/>
    <d v="2026-05-19T00:00:00"/>
    <x v="0"/>
    <x v="36"/>
    <n v="1"/>
    <s v="Artik R2"/>
    <s v="Riederalp"/>
    <s v="Ritzinger Feld"/>
    <n v="1"/>
    <n v="18"/>
    <x v="87"/>
    <x v="2"/>
  </r>
  <r>
    <x v="0"/>
    <d v="2026-05-21T00:00:00"/>
    <x v="0"/>
    <x v="36"/>
    <n v="1"/>
    <s v="Artik R2"/>
    <s v="Riederalp"/>
    <s v="Ritzinger Feld"/>
    <n v="1"/>
    <n v="30"/>
    <x v="9"/>
    <x v="2"/>
  </r>
  <r>
    <x v="0"/>
    <d v="2026-05-22T00:00:00"/>
    <x v="0"/>
    <x v="36"/>
    <n v="1"/>
    <s v="Artik R2"/>
    <s v="Riederalp"/>
    <s v="Baschi"/>
    <n v="1"/>
    <n v="30"/>
    <x v="9"/>
    <x v="2"/>
  </r>
  <r>
    <x v="0"/>
    <d v="2026-05-23T00:00:00"/>
    <x v="0"/>
    <x v="36"/>
    <n v="1"/>
    <s v="Artik R2"/>
    <s v="Galfera"/>
    <s v="Ritzinger Feld"/>
    <n v="1"/>
    <n v="30"/>
    <x v="9"/>
    <x v="2"/>
  </r>
  <r>
    <x v="0"/>
    <d v="2026-05-24T00:00:00"/>
    <x v="0"/>
    <x v="36"/>
    <n v="1"/>
    <s v="Artik R2"/>
    <s v="Galfera"/>
    <s v="Baschi"/>
    <n v="2"/>
    <n v="50"/>
    <x v="169"/>
    <x v="2"/>
  </r>
  <r>
    <x v="0"/>
    <d v="2026-05-25T00:00:00"/>
    <x v="0"/>
    <x v="36"/>
    <n v="1"/>
    <s v="Artik R2"/>
    <s v="Galfera"/>
    <s v="Baschi"/>
    <n v="2"/>
    <n v="18"/>
    <x v="139"/>
    <x v="2"/>
  </r>
  <r>
    <x v="0"/>
    <d v="2026-05-26T00:00:00"/>
    <x v="0"/>
    <x v="36"/>
    <n v="1"/>
    <s v="Artik R2"/>
    <s v="Riederalp"/>
    <s v="Ritzinger Feld"/>
    <n v="1"/>
    <n v="49"/>
    <x v="126"/>
    <x v="2"/>
  </r>
  <r>
    <x v="0"/>
    <d v="2026-05-27T00:00:00"/>
    <x v="0"/>
    <x v="36"/>
    <n v="1"/>
    <s v="Artik R2"/>
    <s v="Riederalp"/>
    <s v="Baschi"/>
    <n v="1"/>
    <n v="12"/>
    <x v="88"/>
    <x v="2"/>
  </r>
  <r>
    <x v="0"/>
    <d v="2026-05-29T00:00:00"/>
    <x v="0"/>
    <x v="36"/>
    <n v="1"/>
    <s v="Artik R2"/>
    <s v="Bassano Bepi"/>
    <s v="Relais"/>
    <n v="1"/>
    <n v="26"/>
    <x v="64"/>
    <x v="2"/>
  </r>
  <r>
    <x v="0"/>
    <d v="2026-05-30T00:00:00"/>
    <x v="0"/>
    <x v="36"/>
    <n v="1"/>
    <s v="Artik R2"/>
    <s v="Gemona"/>
    <s v="Gemon"/>
    <n v="1"/>
    <n v="23"/>
    <x v="102"/>
    <x v="65"/>
  </r>
  <r>
    <x v="0"/>
    <d v="2026-05-30T00:00:00"/>
    <x v="0"/>
    <x v="36"/>
    <n v="0"/>
    <s v="Artik R2"/>
    <s v="Bernadia"/>
    <s v="Torlano"/>
    <n v="1"/>
    <n v="23"/>
    <x v="102"/>
    <x v="65"/>
  </r>
  <r>
    <x v="0"/>
    <d v="2026-05-31T00:00:00"/>
    <x v="0"/>
    <x v="36"/>
    <n v="1"/>
    <s v="Artik R2"/>
    <s v="Lijak"/>
    <s v="Ajdovscina"/>
    <n v="1"/>
    <n v="11"/>
    <x v="60"/>
    <x v="65"/>
  </r>
  <r>
    <x v="0"/>
    <d v="2026-06-01T00:00:00"/>
    <x v="1"/>
    <x v="36"/>
    <n v="1"/>
    <s v="Artik R2"/>
    <s v="Bernadia"/>
    <s v="Torlano"/>
    <m/>
    <n v="25"/>
    <x v="52"/>
    <x v="65"/>
  </r>
  <r>
    <x v="0"/>
    <d v="2026-06-02T00:00:00"/>
    <x v="1"/>
    <x v="36"/>
    <n v="1"/>
    <s v="Artik R2"/>
    <s v="Tribalj"/>
    <s v="Robci"/>
    <n v="1"/>
    <n v="39"/>
    <x v="166"/>
    <x v="65"/>
  </r>
  <r>
    <x v="0"/>
    <d v="2026-06-02T00:00:00"/>
    <x v="1"/>
    <x v="36"/>
    <n v="0"/>
    <s v="Artik R2"/>
    <s v="Tribalj"/>
    <s v="Robci"/>
    <n v="1"/>
    <n v="17"/>
    <x v="73"/>
    <x v="65"/>
  </r>
  <r>
    <x v="0"/>
    <d v="2026-06-03T00:00:00"/>
    <x v="1"/>
    <x v="36"/>
    <n v="1"/>
    <s v="Artik R2"/>
    <s v="Emberger Alm"/>
    <s v="Berg"/>
    <m/>
    <n v="17"/>
    <x v="26"/>
    <x v="65"/>
  </r>
  <r>
    <x v="0"/>
    <d v="2026-06-04T00:00:00"/>
    <x v="1"/>
    <x v="36"/>
    <n v="1"/>
    <s v="Artik R2"/>
    <s v="Elmberger Alm"/>
    <s v="Greifenburg"/>
    <n v="2"/>
    <n v="30"/>
    <x v="77"/>
    <x v="65"/>
  </r>
  <r>
    <x v="0"/>
    <d v="2026-06-05T00:00:00"/>
    <x v="1"/>
    <x v="36"/>
    <n v="1"/>
    <s v="Artik R2"/>
    <s v="Monte Avena"/>
    <s v="Meano"/>
    <n v="1"/>
    <n v="54"/>
    <x v="96"/>
    <x v="65"/>
  </r>
  <r>
    <x v="0"/>
    <d v="2026-06-06T00:00:00"/>
    <x v="1"/>
    <x v="36"/>
    <n v="1"/>
    <s v="Artik R2"/>
    <s v="Cima Grappa"/>
    <s v="Relais"/>
    <n v="1"/>
    <n v="5"/>
    <x v="45"/>
    <x v="65"/>
  </r>
  <r>
    <x v="0"/>
    <d v="2026-06-07T00:00:00"/>
    <x v="1"/>
    <x v="36"/>
    <n v="1"/>
    <s v="Artik R2"/>
    <s v="Galfera"/>
    <s v="Ritzinger Feld"/>
    <n v="1"/>
    <n v="10"/>
    <x v="142"/>
    <x v="2"/>
  </r>
  <r>
    <x v="0"/>
    <d v="2026-06-08T00:00:00"/>
    <x v="1"/>
    <x v="36"/>
    <n v="1"/>
    <s v="Artik R2"/>
    <s v="Heimat"/>
    <s v="Oberwald"/>
    <n v="1"/>
    <n v="1"/>
    <x v="31"/>
    <x v="2"/>
  </r>
  <r>
    <x v="0"/>
    <d v="2026-06-12T00:00:00"/>
    <x v="1"/>
    <x v="36"/>
    <n v="1"/>
    <s v="Artik R2"/>
    <s v="Genetiniai"/>
    <s v="Genetiniai"/>
    <m/>
    <n v="22"/>
    <x v="42"/>
    <x v="36"/>
  </r>
  <r>
    <x v="0"/>
    <d v="2026-06-12T00:00:00"/>
    <x v="1"/>
    <x v="36"/>
    <n v="0"/>
    <s v="Artik R2"/>
    <s v="Genetiniai"/>
    <s v="Genetiniai"/>
    <m/>
    <n v="28"/>
    <x v="63"/>
    <x v="36"/>
  </r>
  <r>
    <x v="0"/>
    <d v="2026-06-12T00:00:00"/>
    <x v="1"/>
    <x v="36"/>
    <n v="0"/>
    <s v="Artik R2"/>
    <s v="Genetiniai"/>
    <s v="Raguva"/>
    <m/>
    <n v="21"/>
    <x v="97"/>
    <x v="36"/>
  </r>
  <r>
    <x v="0"/>
    <d v="2026-06-13T00:00:00"/>
    <x v="1"/>
    <x v="36"/>
    <n v="1"/>
    <s v="Artik R2"/>
    <s v="Deltuva"/>
    <s v="Deltuva"/>
    <m/>
    <n v="16"/>
    <x v="19"/>
    <x v="36"/>
  </r>
  <r>
    <x v="0"/>
    <d v="2026-06-13T00:00:00"/>
    <x v="1"/>
    <x v="36"/>
    <n v="0"/>
    <s v="Artik R2"/>
    <s v="Deltuva"/>
    <s v="Juodausiai"/>
    <m/>
    <n v="37"/>
    <x v="51"/>
    <x v="36"/>
  </r>
  <r>
    <x v="0"/>
    <d v="2026-06-15T00:00:00"/>
    <x v="1"/>
    <x v="36"/>
    <n v="1"/>
    <s v="Artik R2"/>
    <s v="Deverna"/>
    <s v="Deverna"/>
    <m/>
    <n v="10"/>
    <x v="4"/>
    <x v="36"/>
  </r>
  <r>
    <x v="0"/>
    <d v="2026-06-17T00:00:00"/>
    <x v="1"/>
    <x v="36"/>
    <n v="1"/>
    <s v="Artik R2"/>
    <s v="Zaki"/>
    <s v="Labrags"/>
    <m/>
    <n v="50"/>
    <x v="40"/>
    <x v="36"/>
  </r>
  <r>
    <x v="0"/>
    <d v="2026-06-17T00:00:00"/>
    <x v="1"/>
    <x v="36"/>
    <n v="0"/>
    <s v="Artik R2"/>
    <s v="Zaki"/>
    <s v="Labrags"/>
    <n v="1"/>
    <n v="12"/>
    <x v="88"/>
    <x v="36"/>
  </r>
  <r>
    <x v="0"/>
    <d v="2026-06-18T00:00:00"/>
    <x v="1"/>
    <x v="36"/>
    <n v="1"/>
    <s v="Artik R2"/>
    <s v="Jaugika"/>
    <s v="Ramygala"/>
    <n v="1"/>
    <n v="28"/>
    <x v="80"/>
    <x v="36"/>
  </r>
  <r>
    <x v="0"/>
    <d v="2026-06-19T00:00:00"/>
    <x v="1"/>
    <x v="36"/>
    <n v="1"/>
    <s v="Artik R2"/>
    <s v="Genetiniai"/>
    <s v="Skatikai"/>
    <m/>
    <n v="14"/>
    <x v="11"/>
    <x v="36"/>
  </r>
  <r>
    <x v="0"/>
    <d v="2026-06-19T00:00:00"/>
    <x v="1"/>
    <x v="36"/>
    <n v="0"/>
    <s v="Artik R2"/>
    <s v="Genetiniai"/>
    <s v="Bebrünai"/>
    <n v="1"/>
    <n v="16"/>
    <x v="100"/>
    <x v="36"/>
  </r>
  <r>
    <x v="0"/>
    <d v="2026-06-21T00:00:00"/>
    <x v="1"/>
    <x v="36"/>
    <n v="1"/>
    <s v="Sigma 11"/>
    <s v="Galfera"/>
    <s v="Ritzinger Feld"/>
    <m/>
    <n v="58"/>
    <x v="95"/>
    <x v="2"/>
  </r>
  <r>
    <x v="0"/>
    <d v="2026-06-22T00:00:00"/>
    <x v="1"/>
    <x v="36"/>
    <n v="1"/>
    <s v="Sigma 11"/>
    <s v="Heimat"/>
    <s v="Ritzinger Feld"/>
    <n v="1"/>
    <n v="25"/>
    <x v="113"/>
    <x v="2"/>
  </r>
  <r>
    <x v="0"/>
    <d v="2026-06-23T00:00:00"/>
    <x v="1"/>
    <x v="36"/>
    <n v="1"/>
    <s v="Sigma 11"/>
    <s v="Heimat"/>
    <s v="Geschinen"/>
    <m/>
    <n v="56"/>
    <x v="68"/>
    <x v="2"/>
  </r>
  <r>
    <x v="0"/>
    <d v="2026-06-24T00:00:00"/>
    <x v="1"/>
    <x v="36"/>
    <n v="1"/>
    <s v="Sigma 11"/>
    <s v="Heimat"/>
    <s v="Baschi"/>
    <n v="1"/>
    <n v="36"/>
    <x v="55"/>
    <x v="2"/>
  </r>
  <r>
    <x v="0"/>
    <d v="2026-06-26T00:00:00"/>
    <x v="1"/>
    <x v="36"/>
    <n v="1"/>
    <s v="Artik R2"/>
    <s v="Heimat"/>
    <s v="Fiesch"/>
    <m/>
    <n v="57"/>
    <x v="49"/>
    <x v="2"/>
  </r>
  <r>
    <x v="0"/>
    <d v="2026-06-27T00:00:00"/>
    <x v="1"/>
    <x v="36"/>
    <n v="1"/>
    <s v="Artik R2"/>
    <s v="Heimat"/>
    <s v="Baschi"/>
    <n v="1"/>
    <n v="7"/>
    <x v="136"/>
    <x v="2"/>
  </r>
  <r>
    <x v="0"/>
    <d v="2026-06-29T00:00:00"/>
    <x v="1"/>
    <x v="36"/>
    <n v="1"/>
    <s v="Artik R2"/>
    <s v="Heimat"/>
    <s v="Ulrichen"/>
    <n v="1"/>
    <n v="33"/>
    <x v="159"/>
    <x v="2"/>
  </r>
  <r>
    <x v="0"/>
    <d v="2026-06-30T00:00:00"/>
    <x v="1"/>
    <x v="36"/>
    <n v="1"/>
    <s v="Artik R2"/>
    <s v="Heimat"/>
    <s v="Baschi"/>
    <n v="1"/>
    <n v="11"/>
    <x v="60"/>
    <x v="2"/>
  </r>
  <r>
    <x v="0"/>
    <d v="2026-07-03T00:00:00"/>
    <x v="2"/>
    <x v="36"/>
    <n v="1"/>
    <s v="Artik R2"/>
    <s v="Heimat"/>
    <s v="Ritzinger Feld"/>
    <m/>
    <n v="28"/>
    <x v="63"/>
    <x v="2"/>
  </r>
  <r>
    <x v="0"/>
    <d v="2026-07-09T00:00:00"/>
    <x v="2"/>
    <x v="36"/>
    <n v="1"/>
    <s v="Artik R2"/>
    <s v="Heimat"/>
    <s v="Baschi"/>
    <n v="1"/>
    <n v="4"/>
    <x v="38"/>
    <x v="2"/>
  </r>
  <r>
    <x v="0"/>
    <d v="2026-07-10T00:00:00"/>
    <x v="2"/>
    <x v="36"/>
    <n v="1"/>
    <s v="Artik R2"/>
    <s v="Galfera"/>
    <s v="Baschi"/>
    <n v="1"/>
    <n v="15"/>
    <x v="56"/>
    <x v="2"/>
  </r>
  <r>
    <x v="0"/>
    <d v="2026-07-11T00:00:00"/>
    <x v="2"/>
    <x v="36"/>
    <n v="1"/>
    <s v="Artik R2"/>
    <s v="Heimat"/>
    <s v="Fiesch"/>
    <m/>
    <n v="56"/>
    <x v="68"/>
    <x v="2"/>
  </r>
  <r>
    <x v="0"/>
    <d v="2026-07-12T00:00:00"/>
    <x v="2"/>
    <x v="36"/>
    <n v="1"/>
    <s v="Artik R2"/>
    <s v="Galfera"/>
    <s v="Ritzinger Feld"/>
    <m/>
    <n v="48"/>
    <x v="135"/>
    <x v="2"/>
  </r>
  <r>
    <x v="0"/>
    <d v="2026-07-14T00:00:00"/>
    <x v="2"/>
    <x v="36"/>
    <n v="1"/>
    <s v="Artik R2"/>
    <s v="Heimat"/>
    <s v="Baschi"/>
    <m/>
    <n v="52"/>
    <x v="37"/>
    <x v="2"/>
  </r>
  <r>
    <x v="0"/>
    <d v="2026-07-18T00:00:00"/>
    <x v="2"/>
    <x v="36"/>
    <n v="1"/>
    <s v="Artik R2"/>
    <s v="Heimat"/>
    <s v="Obergestlen"/>
    <m/>
    <n v="51"/>
    <x v="21"/>
    <x v="2"/>
  </r>
  <r>
    <x v="0"/>
    <d v="2026-07-20T00:00:00"/>
    <x v="2"/>
    <x v="36"/>
    <n v="1"/>
    <s v="Artik R2"/>
    <s v="Heimat"/>
    <s v="Fiesch"/>
    <m/>
    <n v="45"/>
    <x v="27"/>
    <x v="2"/>
  </r>
  <r>
    <x v="0"/>
    <d v="2026-07-22T00:00:00"/>
    <x v="2"/>
    <x v="36"/>
    <n v="1"/>
    <s v="Artik R2"/>
    <s v="Heimat"/>
    <s v="Baschi"/>
    <n v="1"/>
    <n v="20"/>
    <x v="46"/>
    <x v="2"/>
  </r>
  <r>
    <x v="0"/>
    <d v="2026-07-24T00:00:00"/>
    <x v="2"/>
    <x v="36"/>
    <n v="1"/>
    <s v="Artik R2"/>
    <s v="Heimat"/>
    <s v="Baschi"/>
    <n v="1"/>
    <n v="33"/>
    <x v="159"/>
    <x v="2"/>
  </r>
  <r>
    <x v="0"/>
    <d v="2026-07-25T00:00:00"/>
    <x v="2"/>
    <x v="36"/>
    <n v="1"/>
    <s v="Artik R2"/>
    <s v="Heimat"/>
    <s v="Ritzinger Feld"/>
    <m/>
    <n v="55"/>
    <x v="84"/>
    <x v="2"/>
  </r>
  <r>
    <x v="0"/>
    <d v="2026-07-27T00:00:00"/>
    <x v="2"/>
    <x v="36"/>
    <n v="1"/>
    <s v="Artik R2"/>
    <s v="Heimat"/>
    <s v="Ritzinger Feld"/>
    <m/>
    <n v="28"/>
    <x v="63"/>
    <x v="2"/>
  </r>
  <r>
    <x v="0"/>
    <d v="2026-07-28T00:00:00"/>
    <x v="2"/>
    <x v="36"/>
    <n v="1"/>
    <s v="Artik R2"/>
    <s v="Heimat"/>
    <s v="Baschi"/>
    <n v="1"/>
    <n v="27"/>
    <x v="129"/>
    <x v="2"/>
  </r>
  <r>
    <x v="0"/>
    <d v="2026-07-29T00:00:00"/>
    <x v="2"/>
    <x v="36"/>
    <n v="1"/>
    <s v="Artik R2"/>
    <s v="Heimat"/>
    <s v="Obergestlen"/>
    <n v="1"/>
    <n v="5"/>
    <x v="45"/>
    <x v="2"/>
  </r>
  <r>
    <x v="0"/>
    <d v="2026-07-30T00:00:00"/>
    <x v="2"/>
    <x v="36"/>
    <n v="1"/>
    <s v="Artik R2"/>
    <s v="Heimat"/>
    <s v="Baschi"/>
    <n v="1"/>
    <n v="25"/>
    <x v="113"/>
    <x v="2"/>
  </r>
  <r>
    <x v="0"/>
    <d v="2026-07-31T00:00:00"/>
    <x v="2"/>
    <x v="36"/>
    <n v="1"/>
    <s v="Artik R2"/>
    <s v="Heimat"/>
    <s v="Ritzinger Feld"/>
    <m/>
    <n v="58"/>
    <x v="95"/>
    <x v="2"/>
  </r>
  <r>
    <x v="0"/>
    <d v="2026-08-02T00:00:00"/>
    <x v="3"/>
    <x v="36"/>
    <n v="1"/>
    <s v="Artik R2"/>
    <s v="Galfera"/>
    <s v="Ritzinger Feld"/>
    <n v="1"/>
    <n v="34"/>
    <x v="13"/>
    <x v="2"/>
  </r>
  <r>
    <x v="0"/>
    <d v="2026-08-03T00:00:00"/>
    <x v="3"/>
    <x v="36"/>
    <n v="1"/>
    <s v="Artik R2"/>
    <s v="Heimat"/>
    <s v="Ritzinger Feld"/>
    <n v="1"/>
    <n v="7"/>
    <x v="136"/>
    <x v="2"/>
  </r>
  <r>
    <x v="0"/>
    <d v="2026-08-05T00:00:00"/>
    <x v="3"/>
    <x v="36"/>
    <n v="1"/>
    <s v="Artik R2"/>
    <s v="Heimat"/>
    <s v="Fiesch"/>
    <n v="1"/>
    <n v="51"/>
    <x v="111"/>
    <x v="2"/>
  </r>
  <r>
    <x v="0"/>
    <d v="2026-08-06T00:00:00"/>
    <x v="3"/>
    <x v="36"/>
    <n v="1"/>
    <s v="Artik R2"/>
    <s v="Heimat"/>
    <s v="Baschi"/>
    <m/>
    <n v="48"/>
    <x v="135"/>
    <x v="2"/>
  </r>
  <r>
    <x v="0"/>
    <d v="2026-08-07T00:00:00"/>
    <x v="3"/>
    <x v="36"/>
    <n v="1"/>
    <s v="Artik R2"/>
    <s v="Heimat"/>
    <s v="Ritzinger Feld"/>
    <n v="1"/>
    <n v="31"/>
    <x v="24"/>
    <x v="2"/>
  </r>
  <r>
    <x v="0"/>
    <d v="2026-08-10T00:00:00"/>
    <x v="3"/>
    <x v="36"/>
    <n v="1"/>
    <s v="Artik R2"/>
    <s v="Heimat"/>
    <s v="Fiesch"/>
    <n v="1"/>
    <n v="36"/>
    <x v="55"/>
    <x v="2"/>
  </r>
  <r>
    <x v="0"/>
    <d v="2026-08-11T00:00:00"/>
    <x v="3"/>
    <x v="36"/>
    <n v="1"/>
    <s v="Artik R2"/>
    <s v="Heimat"/>
    <s v="Fiesch"/>
    <n v="2"/>
    <n v="7"/>
    <x v="114"/>
    <x v="2"/>
  </r>
  <r>
    <x v="0"/>
    <d v="2026-08-12T00:00:00"/>
    <x v="3"/>
    <x v="36"/>
    <n v="1"/>
    <s v="Artik R2"/>
    <s v="Heimat"/>
    <s v="Fiesch"/>
    <n v="1"/>
    <n v="50"/>
    <x v="36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1"/>
    <x v="37"/>
    <n v="0"/>
    <m/>
    <m/>
    <m/>
    <m/>
    <m/>
    <x v="30"/>
    <x v="2"/>
  </r>
  <r>
    <x v="6"/>
    <m/>
    <x v="12"/>
    <x v="38"/>
    <m/>
    <m/>
    <m/>
    <m/>
    <m/>
    <m/>
    <x v="21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01C39-61A6-4065-A5D0-82CC60C18D7A}" name="PivotTable3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6" indent="0" outline="1" outlineData="1" multipleFieldFilters="0">
  <location ref="AA1:BF54" firstHeaderRow="1" firstDataRow="2" firstDataCol="1"/>
  <pivotFields count="12">
    <pivotField showAll="0"/>
    <pivotField showAll="0"/>
    <pivotField showAll="0"/>
    <pivotField axis="axisCol" showAll="0">
      <items count="40"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8"/>
        <item x="33"/>
        <item x="34"/>
        <item x="35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0">
        <item x="10"/>
        <item x="6"/>
        <item x="16"/>
        <item x="13"/>
        <item h="1" x="20"/>
        <item x="4"/>
        <item h="1" x="31"/>
        <item x="22"/>
        <item x="21"/>
        <item x="38"/>
        <item x="42"/>
        <item x="40"/>
        <item x="29"/>
        <item x="36"/>
        <item x="44"/>
        <item x="34"/>
        <item m="1" x="67"/>
        <item x="41"/>
        <item x="23"/>
        <item x="26"/>
        <item x="32"/>
        <item x="30"/>
        <item x="39"/>
        <item x="33"/>
        <item x="48"/>
        <item x="43"/>
        <item x="37"/>
        <item x="35"/>
        <item x="11"/>
        <item x="7"/>
        <item x="5"/>
        <item h="1" x="14"/>
        <item h="1" x="12"/>
        <item x="24"/>
        <item h="1" x="1"/>
        <item h="1" x="17"/>
        <item h="1" x="0"/>
        <item h="1" x="19"/>
        <item h="1" x="3"/>
        <item m="1" x="68"/>
        <item x="9"/>
        <item x="8"/>
        <item x="15"/>
        <item x="18"/>
        <item h="1" x="25"/>
        <item h="1" x="2"/>
        <item x="45"/>
        <item h="1" x="46"/>
        <item h="1" x="47"/>
        <item x="49"/>
        <item x="50"/>
        <item x="51"/>
        <item h="1" x="52"/>
        <item x="53"/>
        <item h="1" x="54"/>
        <item x="28"/>
        <item x="55"/>
        <item x="56"/>
        <item x="57"/>
        <item x="27"/>
        <item x="58"/>
        <item x="59"/>
        <item x="60"/>
        <item x="61"/>
        <item x="62"/>
        <item h="1" m="1" x="66"/>
        <item x="63"/>
        <item x="64"/>
        <item x="65"/>
        <item t="default"/>
      </items>
    </pivotField>
  </pivotFields>
  <rowFields count="1">
    <field x="11"/>
  </rowFields>
  <rowItems count="52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40"/>
    </i>
    <i>
      <x v="41"/>
    </i>
    <i>
      <x v="42"/>
    </i>
    <i>
      <x v="43"/>
    </i>
    <i>
      <x v="46"/>
    </i>
    <i>
      <x v="49"/>
    </i>
    <i>
      <x v="50"/>
    </i>
    <i>
      <x v="51"/>
    </i>
    <i>
      <x v="53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 t="grand">
      <x/>
    </i>
  </rowItems>
  <colFields count="1">
    <field x="3"/>
  </colFields>
  <colItems count="31"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 t="grand">
      <x/>
    </i>
  </colItems>
  <dataFields count="1">
    <dataField name="Summe von hh:mm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6" indent="0" outline="1" outlineData="1" multipleFieldFilters="0">
  <location ref="J5:W43" firstHeaderRow="1" firstDataRow="2" firstDataCol="1" rowPageCount="2" colPageCount="1"/>
  <pivotFields count="12">
    <pivotField axis="axisPage" dataField="1" multipleItemSelectionAllowed="1" showAll="0">
      <items count="8">
        <item x="4"/>
        <item h="1" x="2"/>
        <item x="0"/>
        <item h="1" x="3"/>
        <item h="1" x="6"/>
        <item h="1" x="1"/>
        <item h="1" x="5"/>
        <item t="default"/>
      </items>
    </pivotField>
    <pivotField showAll="0"/>
    <pivotField axis="axisCol" showAll="0">
      <items count="14">
        <item x="11"/>
        <item x="7"/>
        <item x="8"/>
        <item x="9"/>
        <item x="0"/>
        <item x="1"/>
        <item x="2"/>
        <item x="3"/>
        <item x="4"/>
        <item x="5"/>
        <item x="6"/>
        <item x="10"/>
        <item x="12"/>
        <item t="default"/>
      </items>
    </pivotField>
    <pivotField axis="axisRow" showAll="0">
      <items count="40">
        <item h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3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20">
        <item x="30"/>
        <item x="16"/>
        <item x="72"/>
        <item x="7"/>
        <item x="2"/>
        <item x="0"/>
        <item x="1"/>
        <item x="3"/>
        <item x="22"/>
        <item x="4"/>
        <item x="14"/>
        <item x="6"/>
        <item x="18"/>
        <item x="11"/>
        <item x="15"/>
        <item x="19"/>
        <item x="26"/>
        <item x="57"/>
        <item x="20"/>
        <item x="5"/>
        <item x="97"/>
        <item x="42"/>
        <item x="92"/>
        <item x="61"/>
        <item x="52"/>
        <item x="134"/>
        <item x="34"/>
        <item x="63"/>
        <item x="85"/>
        <item x="8"/>
        <item x="103"/>
        <item x="23"/>
        <item x="59"/>
        <item x="50"/>
        <item x="119"/>
        <item x="39"/>
        <item x="51"/>
        <item x="17"/>
        <item x="131"/>
        <item x="33"/>
        <item x="115"/>
        <item x="66"/>
        <item x="118"/>
        <item x="99"/>
        <item x="27"/>
        <item x="141"/>
        <item x="132"/>
        <item x="135"/>
        <item x="79"/>
        <item x="40"/>
        <item x="21"/>
        <item x="37"/>
        <item x="137"/>
        <item x="28"/>
        <item x="84"/>
        <item x="68"/>
        <item x="49"/>
        <item x="95"/>
        <item x="120"/>
        <item x="47"/>
        <item x="31"/>
        <item x="110"/>
        <item x="25"/>
        <item x="38"/>
        <item x="45"/>
        <item x="44"/>
        <item x="136"/>
        <item x="54"/>
        <item x="116"/>
        <item x="142"/>
        <item x="60"/>
        <item x="88"/>
        <item x="94"/>
        <item x="149"/>
        <item x="56"/>
        <item x="100"/>
        <item x="73"/>
        <item x="87"/>
        <item x="53"/>
        <item x="46"/>
        <item x="140"/>
        <item x="91"/>
        <item x="102"/>
        <item x="151"/>
        <item x="113"/>
        <item x="64"/>
        <item x="129"/>
        <item x="80"/>
        <item x="155"/>
        <item x="9"/>
        <item x="24"/>
        <item x="32"/>
        <item x="159"/>
        <item x="13"/>
        <item x="43"/>
        <item x="55"/>
        <item x="143"/>
        <item x="128"/>
        <item x="166"/>
        <item x="48"/>
        <item x="76"/>
        <item x="145"/>
        <item x="106"/>
        <item x="69"/>
        <item x="41"/>
        <item x="170"/>
        <item x="175"/>
        <item x="35"/>
        <item x="126"/>
        <item x="36"/>
        <item x="111"/>
        <item x="105"/>
        <item x="98"/>
        <item x="96"/>
        <item x="148"/>
        <item x="58"/>
        <item x="71"/>
        <item x="104"/>
        <item x="160"/>
        <item x="10"/>
        <item x="62"/>
        <item x="152"/>
        <item x="144"/>
        <item x="117"/>
        <item x="65"/>
        <item x="114"/>
        <item x="78"/>
        <item x="122"/>
        <item x="158"/>
        <item x="168"/>
        <item x="172"/>
        <item x="107"/>
        <item x="146"/>
        <item x="81"/>
        <item x="70"/>
        <item x="139"/>
        <item x="154"/>
        <item x="130"/>
        <item x="109"/>
        <item x="161"/>
        <item x="121"/>
        <item x="12"/>
        <item x="83"/>
        <item x="174"/>
        <item x="164"/>
        <item x="93"/>
        <item x="77"/>
        <item x="124"/>
        <item x="29"/>
        <item x="108"/>
        <item x="138"/>
        <item x="82"/>
        <item x="86"/>
        <item x="127"/>
        <item x="90"/>
        <item x="112"/>
        <item x="67"/>
        <item x="125"/>
        <item x="173"/>
        <item x="169"/>
        <item x="133"/>
        <item x="156"/>
        <item x="171"/>
        <item x="123"/>
        <item x="101"/>
        <item x="75"/>
        <item x="157"/>
        <item x="147"/>
        <item x="167"/>
        <item x="89"/>
        <item x="153"/>
        <item x="74"/>
        <item x="150"/>
        <item x="163"/>
        <item x="162"/>
        <item x="165"/>
        <item x="21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m="1" x="218"/>
        <item x="209"/>
        <item x="210"/>
        <item x="211"/>
        <item x="212"/>
        <item x="213"/>
        <item x="214"/>
        <item x="215"/>
        <item x="216"/>
        <item t="default"/>
      </items>
    </pivotField>
    <pivotField showAll="0"/>
  </pivotFields>
  <rowFields count="1">
    <field x="3"/>
  </rowFields>
  <rowItems count="37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0" hier="-1"/>
    <pageField fld="10" hier="-1"/>
  </pageFields>
  <dataFields count="1">
    <dataField name="Anzahl von Ty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Werte" updatedVersion="8" minRefreshableVersion="3" showCalcMbrs="0" itemPrintTitles="1" createdVersion="3" indent="0" outline="1" outlineData="1" multipleFieldFilters="0">
  <location ref="A6:E44" firstHeaderRow="1" firstDataRow="2" firstDataCol="1" rowPageCount="4" colPageCount="1"/>
  <pivotFields count="18">
    <pivotField axis="axisPage" dataField="1" multipleItemSelectionAllowed="1" showAll="0" defaultSubtotal="0">
      <items count="7">
        <item x="4"/>
        <item h="1" x="2"/>
        <item x="0"/>
        <item h="1" x="3"/>
        <item h="1" x="6"/>
        <item h="1" x="1"/>
        <item h="1" x="5"/>
      </items>
    </pivotField>
    <pivotField showAll="0"/>
    <pivotField showAll="0" defaultSubtotal="0"/>
    <pivotField axis="axisRow" showAll="0" sortType="ascending" defaultSubtotal="0">
      <items count="82">
        <item h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m="1" x="48"/>
        <item m="1" x="66"/>
        <item m="1" x="67"/>
        <item m="1" x="64"/>
        <item m="1" x="51"/>
        <item m="1" x="71"/>
        <item m="1" x="39"/>
        <item m="1" x="62"/>
        <item m="1" x="49"/>
        <item m="1" x="81"/>
        <item m="1" x="70"/>
        <item m="1" x="46"/>
        <item m="1" x="79"/>
        <item m="1" x="69"/>
        <item m="1" x="56"/>
        <item m="1" x="44"/>
        <item m="1" x="47"/>
        <item m="1" x="80"/>
        <item m="1" x="78"/>
        <item m="1" x="68"/>
        <item m="1" x="42"/>
        <item m="1" x="75"/>
        <item m="1" x="52"/>
        <item m="1" x="61"/>
        <item m="1" x="50"/>
        <item m="1" x="60"/>
        <item m="1" x="65"/>
        <item m="1" x="73"/>
        <item m="1" x="72"/>
        <item m="1" x="74"/>
        <item m="1" x="57"/>
        <item m="1" x="59"/>
        <item m="1" x="43"/>
        <item m="1" x="40"/>
        <item m="1" x="58"/>
        <item m="1" x="45"/>
        <item m="1" x="77"/>
        <item m="1" x="76"/>
        <item m="1" x="54"/>
        <item m="1" x="55"/>
        <item m="1" x="41"/>
        <item m="1" x="63"/>
        <item m="1" x="53"/>
        <item x="38"/>
      </items>
    </pivotField>
    <pivotField dataField="1" showAll="0" defaultSubtotal="0"/>
    <pivotField axis="axisPage" multipleItemSelectionAllowed="1" showAll="0">
      <items count="47">
        <item x="6"/>
        <item x="7"/>
        <item x="2"/>
        <item x="5"/>
        <item x="1"/>
        <item x="0"/>
        <item x="9"/>
        <item x="8"/>
        <item x="3"/>
        <item x="4"/>
        <item x="10"/>
        <item x="11"/>
        <item x="12"/>
        <item x="13"/>
        <item x="14"/>
        <item x="15"/>
        <item x="16"/>
        <item x="17"/>
        <item x="18"/>
        <item x="19"/>
        <item m="1" x="39"/>
        <item x="21"/>
        <item x="22"/>
        <item x="20"/>
        <item x="23"/>
        <item x="24"/>
        <item m="1" x="45"/>
        <item x="25"/>
        <item x="26"/>
        <item x="27"/>
        <item x="28"/>
        <item x="29"/>
        <item x="30"/>
        <item x="31"/>
        <item x="32"/>
        <item h="1" m="1" x="44"/>
        <item h="1" m="1" x="43"/>
        <item h="1" m="1" x="41"/>
        <item h="1" m="1" x="40"/>
        <item x="33"/>
        <item h="1" m="1" x="42"/>
        <item x="34"/>
        <item x="35"/>
        <item x="36"/>
        <item x="37"/>
        <item x="38"/>
        <item t="default"/>
      </items>
    </pivotField>
    <pivotField showAll="0"/>
    <pivotField axis="axisPage" multipleItemSelectionAllowed="1" showAll="0">
      <items count="497">
        <item x="206"/>
        <item x="242"/>
        <item x="370"/>
        <item x="267"/>
        <item x="396"/>
        <item x="355"/>
        <item x="385"/>
        <item x="15"/>
        <item x="395"/>
        <item x="27"/>
        <item x="210"/>
        <item x="173"/>
        <item x="319"/>
        <item x="149"/>
        <item x="321"/>
        <item x="318"/>
        <item x="196"/>
        <item x="40"/>
        <item x="91"/>
        <item x="159"/>
        <item x="269"/>
        <item x="312"/>
        <item x="393"/>
        <item x="315"/>
        <item x="30"/>
        <item x="152"/>
        <item x="411"/>
        <item x="38"/>
        <item x="266"/>
        <item x="150"/>
        <item x="182"/>
        <item x="35"/>
        <item x="32"/>
        <item x="178"/>
        <item x="29"/>
        <item x="369"/>
        <item x="126"/>
        <item x="62"/>
        <item x="81"/>
        <item x="371"/>
        <item x="272"/>
        <item x="380"/>
        <item x="230"/>
        <item x="127"/>
        <item x="17"/>
        <item x="6"/>
        <item x="111"/>
        <item x="64"/>
        <item x="134"/>
        <item x="9"/>
        <item x="412"/>
        <item x="216"/>
        <item x="170"/>
        <item x="364"/>
        <item x="146"/>
        <item x="93"/>
        <item x="69"/>
        <item x="257"/>
        <item x="60"/>
        <item x="61"/>
        <item x="300"/>
        <item x="394"/>
        <item x="51"/>
        <item x="45"/>
        <item x="50"/>
        <item x="135"/>
        <item x="298"/>
        <item x="397"/>
        <item x="128"/>
        <item x="345"/>
        <item x="209"/>
        <item x="208"/>
        <item x="359"/>
        <item x="379"/>
        <item x="274"/>
        <item x="118"/>
        <item x="235"/>
        <item x="21"/>
        <item x="109"/>
        <item x="147"/>
        <item x="303"/>
        <item x="98"/>
        <item x="140"/>
        <item x="329"/>
        <item x="326"/>
        <item x="222"/>
        <item x="221"/>
        <item x="297"/>
        <item x="142"/>
        <item x="243"/>
        <item x="381"/>
        <item x="248"/>
        <item x="12"/>
        <item x="362"/>
        <item x="84"/>
        <item x="85"/>
        <item x="415"/>
        <item x="76"/>
        <item x="189"/>
        <item x="161"/>
        <item x="347"/>
        <item x="350"/>
        <item x="367"/>
        <item x="70"/>
        <item x="233"/>
        <item x="334"/>
        <item x="365"/>
        <item x="119"/>
        <item x="13"/>
        <item x="253"/>
        <item x="307"/>
        <item x="18"/>
        <item x="36"/>
        <item x="55"/>
        <item x="342"/>
        <item x="344"/>
        <item x="372"/>
        <item x="186"/>
        <item x="357"/>
        <item x="63"/>
        <item x="115"/>
        <item x="19"/>
        <item x="87"/>
        <item x="143"/>
        <item x="293"/>
        <item x="52"/>
        <item x="271"/>
        <item x="327"/>
        <item x="291"/>
        <item x="316"/>
        <item x="406"/>
        <item x="148"/>
        <item x="282"/>
        <item x="305"/>
        <item x="3"/>
        <item x="187"/>
        <item x="289"/>
        <item x="37"/>
        <item x="384"/>
        <item x="153"/>
        <item x="95"/>
        <item x="331"/>
        <item x="124"/>
        <item x="7"/>
        <item x="5"/>
        <item x="104"/>
        <item x="10"/>
        <item x="102"/>
        <item x="59"/>
        <item x="144"/>
        <item x="220"/>
        <item x="106"/>
        <item x="377"/>
        <item x="284"/>
        <item x="263"/>
        <item x="368"/>
        <item x="234"/>
        <item x="167"/>
        <item x="54"/>
        <item x="361"/>
        <item x="279"/>
        <item x="238"/>
        <item x="2"/>
        <item x="80"/>
        <item x="416"/>
        <item x="67"/>
        <item x="407"/>
        <item x="353"/>
        <item x="410"/>
        <item x="43"/>
        <item x="360"/>
        <item x="214"/>
        <item x="232"/>
        <item x="83"/>
        <item x="158"/>
        <item x="57"/>
        <item x="335"/>
        <item x="58"/>
        <item x="317"/>
        <item x="349"/>
        <item x="387"/>
        <item x="376"/>
        <item x="177"/>
        <item x="304"/>
        <item x="168"/>
        <item x="308"/>
        <item x="171"/>
        <item x="165"/>
        <item x="162"/>
        <item x="285"/>
        <item x="203"/>
        <item x="401"/>
        <item x="132"/>
        <item x="225"/>
        <item x="244"/>
        <item x="204"/>
        <item x="181"/>
        <item x="191"/>
        <item x="28"/>
        <item x="330"/>
        <item x="68"/>
        <item x="229"/>
        <item x="354"/>
        <item x="366"/>
        <item x="108"/>
        <item x="110"/>
        <item x="382"/>
        <item x="72"/>
        <item x="265"/>
        <item x="240"/>
        <item x="211"/>
        <item x="157"/>
        <item x="136"/>
        <item x="288"/>
        <item x="337"/>
        <item x="373"/>
        <item x="310"/>
        <item x="212"/>
        <item x="332"/>
        <item x="39"/>
        <item x="343"/>
        <item x="358"/>
        <item x="75"/>
        <item x="73"/>
        <item x="155"/>
        <item x="201"/>
        <item x="250"/>
        <item x="151"/>
        <item x="202"/>
        <item x="287"/>
        <item x="33"/>
        <item x="278"/>
        <item m="1" x="495"/>
        <item x="163"/>
        <item x="131"/>
        <item x="190"/>
        <item x="237"/>
        <item x="256"/>
        <item x="258"/>
        <item x="164"/>
        <item x="139"/>
        <item x="138"/>
        <item x="231"/>
        <item x="74"/>
        <item x="346"/>
        <item x="166"/>
        <item x="101"/>
        <item x="185"/>
        <item x="374"/>
        <item x="88"/>
        <item x="286"/>
        <item x="322"/>
        <item x="375"/>
        <item x="273"/>
        <item x="123"/>
        <item x="56"/>
        <item x="121"/>
        <item x="255"/>
        <item x="268"/>
        <item x="398"/>
        <item x="339"/>
        <item x="47"/>
        <item x="172"/>
        <item x="311"/>
        <item x="120"/>
        <item x="145"/>
        <item x="402"/>
        <item x="386"/>
        <item x="399"/>
        <item x="25"/>
        <item x="192"/>
        <item x="270"/>
        <item x="390"/>
        <item x="281"/>
        <item x="116"/>
        <item x="249"/>
        <item x="294"/>
        <item x="276"/>
        <item x="320"/>
        <item x="283"/>
        <item x="417"/>
        <item x="277"/>
        <item x="34"/>
        <item x="169"/>
        <item m="1" x="493"/>
        <item m="1" x="494"/>
        <item x="96"/>
        <item x="241"/>
        <item x="363"/>
        <item x="179"/>
        <item x="224"/>
        <item x="404"/>
        <item x="195"/>
        <item x="275"/>
        <item x="197"/>
        <item x="77"/>
        <item x="338"/>
        <item x="336"/>
        <item x="325"/>
        <item x="254"/>
        <item x="78"/>
        <item x="414"/>
        <item x="79"/>
        <item x="22"/>
        <item x="261"/>
        <item x="228"/>
        <item x="223"/>
        <item x="176"/>
        <item x="99"/>
        <item x="227"/>
        <item x="259"/>
        <item x="26"/>
        <item x="356"/>
        <item x="154"/>
        <item x="53"/>
        <item x="262"/>
        <item x="184"/>
        <item x="302"/>
        <item x="295"/>
        <item x="226"/>
        <item x="133"/>
        <item x="324"/>
        <item x="66"/>
        <item x="252"/>
        <item x="351"/>
        <item x="1"/>
        <item x="306"/>
        <item x="246"/>
        <item x="251"/>
        <item x="323"/>
        <item x="198"/>
        <item x="328"/>
        <item x="392"/>
        <item x="296"/>
        <item x="86"/>
        <item x="16"/>
        <item x="0"/>
        <item x="92"/>
        <item x="215"/>
        <item x="218"/>
        <item x="217"/>
        <item x="213"/>
        <item x="122"/>
        <item x="141"/>
        <item x="41"/>
        <item x="290"/>
        <item x="408"/>
        <item x="245"/>
        <item x="247"/>
        <item x="105"/>
        <item x="348"/>
        <item x="352"/>
        <item x="160"/>
        <item x="71"/>
        <item x="46"/>
        <item x="114"/>
        <item x="340"/>
        <item x="11"/>
        <item x="97"/>
        <item x="403"/>
        <item x="100"/>
        <item x="200"/>
        <item x="199"/>
        <item x="90"/>
        <item x="117"/>
        <item x="301"/>
        <item x="341"/>
        <item x="23"/>
        <item x="42"/>
        <item x="130"/>
        <item x="378"/>
        <item x="194"/>
        <item x="48"/>
        <item x="49"/>
        <item x="156"/>
        <item x="236"/>
        <item x="207"/>
        <item x="31"/>
        <item x="103"/>
        <item x="205"/>
        <item x="239"/>
        <item x="299"/>
        <item x="383"/>
        <item x="314"/>
        <item x="129"/>
        <item x="309"/>
        <item x="264"/>
        <item x="409"/>
        <item x="180"/>
        <item x="280"/>
        <item x="193"/>
        <item x="20"/>
        <item x="112"/>
        <item x="405"/>
        <item x="183"/>
        <item x="391"/>
        <item x="94"/>
        <item x="260"/>
        <item x="89"/>
        <item x="113"/>
        <item x="175"/>
        <item x="333"/>
        <item x="219"/>
        <item x="65"/>
        <item x="82"/>
        <item x="8"/>
        <item x="188"/>
        <item x="4"/>
        <item x="137"/>
        <item x="107"/>
        <item x="14"/>
        <item x="413"/>
        <item x="44"/>
        <item x="174"/>
        <item x="313"/>
        <item x="292"/>
        <item x="125"/>
        <item x="400"/>
        <item x="24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388"/>
        <item x="389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showAll="0"/>
    <pivotField showAll="0"/>
    <pivotField dataField="1" showAll="0" defaultSubtotal="0"/>
    <pivotField axis="axisPage" multipleItemSelectionAllowed="1" showAll="0">
      <items count="75">
        <item m="1" x="72"/>
        <item x="10"/>
        <item m="1" x="71"/>
        <item x="6"/>
        <item x="16"/>
        <item x="13"/>
        <item x="20"/>
        <item x="4"/>
        <item x="23"/>
        <item x="11"/>
        <item x="7"/>
        <item x="5"/>
        <item x="14"/>
        <item x="12"/>
        <item x="1"/>
        <item x="17"/>
        <item x="0"/>
        <item x="19"/>
        <item x="3"/>
        <item x="9"/>
        <item x="8"/>
        <item x="15"/>
        <item x="18"/>
        <item x="2"/>
        <item x="24"/>
        <item x="25"/>
        <item x="26"/>
        <item m="1" x="68"/>
        <item m="1" x="70"/>
        <item m="1" x="69"/>
        <item x="29"/>
        <item x="30"/>
        <item x="48"/>
        <item x="31"/>
        <item x="21"/>
        <item x="22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67"/>
        <item x="45"/>
        <item x="46"/>
        <item m="1" x="73"/>
        <item x="47"/>
        <item x="49"/>
        <item x="50"/>
        <item x="51"/>
        <item x="52"/>
        <item x="53"/>
        <item x="54"/>
        <item x="28"/>
        <item x="55"/>
        <item x="56"/>
        <item x="57"/>
        <item x="27"/>
        <item x="58"/>
        <item x="59"/>
        <item x="60"/>
        <item x="61"/>
        <item x="62"/>
        <item m="1" x="66"/>
        <item x="63"/>
        <item x="64"/>
        <item x="65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3"/>
  </rowFields>
  <rowItems count="37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0" hier="-1"/>
    <pageField fld="11" hier="-1"/>
    <pageField fld="5" hier="-1"/>
    <pageField fld="7" hier="-1"/>
  </pageFields>
  <dataFields count="4">
    <dataField name="Stunden" fld="16" baseField="0" baseItem="0" numFmtId="2"/>
    <dataField name="Schnitt" fld="10" subtotal="average" baseField="0" baseItem="0" numFmtId="2"/>
    <dataField name="Tage" fld="4" baseField="0" baseItem="0"/>
    <dataField name="Flüge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0"/>
  <sheetViews>
    <sheetView tabSelected="1" workbookViewId="0">
      <pane ySplit="1" topLeftCell="A2" activePane="bottomLeft" state="frozenSplit"/>
      <selection activeCell="F1" sqref="F1"/>
      <selection pane="bottomLeft" activeCell="A42" sqref="A42:A2116"/>
    </sheetView>
  </sheetViews>
  <sheetFormatPr baseColWidth="10" defaultColWidth="10.5703125" defaultRowHeight="15" x14ac:dyDescent="0.25"/>
  <cols>
    <col min="2" max="2" width="11.42578125" style="4"/>
    <col min="3" max="3" width="10.5703125" style="9"/>
    <col min="5" max="5" width="13.42578125" customWidth="1"/>
    <col min="7" max="7" width="18.42578125" customWidth="1"/>
    <col min="8" max="8" width="22.85546875" customWidth="1"/>
    <col min="9" max="9" width="6.42578125" customWidth="1"/>
    <col min="10" max="10" width="6.5703125" customWidth="1"/>
    <col min="11" max="11" width="9.42578125" customWidth="1"/>
    <col min="12" max="12" width="24.85546875" customWidth="1"/>
    <col min="13" max="13" width="36.42578125" customWidth="1"/>
    <col min="16" max="16" width="12" customWidth="1"/>
  </cols>
  <sheetData>
    <row r="1" spans="1:19" x14ac:dyDescent="0.25">
      <c r="A1" t="s">
        <v>340</v>
      </c>
      <c r="B1" s="4" t="s">
        <v>0</v>
      </c>
      <c r="C1" s="9" t="s">
        <v>783</v>
      </c>
      <c r="D1" t="s">
        <v>76</v>
      </c>
      <c r="E1" t="s">
        <v>80</v>
      </c>
      <c r="F1" t="s">
        <v>1</v>
      </c>
      <c r="G1" t="s">
        <v>2</v>
      </c>
      <c r="H1" t="s">
        <v>3</v>
      </c>
      <c r="I1" t="s">
        <v>34</v>
      </c>
      <c r="J1" t="s">
        <v>35</v>
      </c>
      <c r="K1" t="s">
        <v>33</v>
      </c>
      <c r="L1" t="s">
        <v>5</v>
      </c>
      <c r="M1" t="s">
        <v>4</v>
      </c>
      <c r="N1" t="s">
        <v>45</v>
      </c>
      <c r="O1" t="s">
        <v>46</v>
      </c>
      <c r="P1" t="s">
        <v>47</v>
      </c>
      <c r="Q1" t="s">
        <v>764</v>
      </c>
      <c r="R1" t="s">
        <v>1347</v>
      </c>
      <c r="S1" t="s">
        <v>1366</v>
      </c>
    </row>
    <row r="2" spans="1:19" x14ac:dyDescent="0.25">
      <c r="A2" t="s">
        <v>341</v>
      </c>
      <c r="B2" s="4">
        <v>33019</v>
      </c>
      <c r="C2" s="9">
        <f>MONTH(B2)</f>
        <v>5</v>
      </c>
      <c r="D2">
        <f>YEAR(B2)</f>
        <v>1990</v>
      </c>
      <c r="E2">
        <f t="shared" ref="E2:E65" si="0">IF(OR(A2 = "GS",A2 = "BP"),IF( OR(A1="GS",A1="BP"),IF(B1=B2,0,1),1),0)</f>
        <v>1</v>
      </c>
      <c r="F2" t="s">
        <v>6</v>
      </c>
      <c r="G2" t="s">
        <v>7</v>
      </c>
      <c r="H2" t="s">
        <v>19</v>
      </c>
      <c r="J2">
        <v>6</v>
      </c>
      <c r="K2">
        <f>I2*60+J2</f>
        <v>6</v>
      </c>
      <c r="L2" t="s">
        <v>8</v>
      </c>
      <c r="M2" t="s">
        <v>9</v>
      </c>
      <c r="R2" t="s">
        <v>1348</v>
      </c>
    </row>
    <row r="3" spans="1:19" x14ac:dyDescent="0.25">
      <c r="A3" t="s">
        <v>341</v>
      </c>
      <c r="B3" s="4">
        <v>33019</v>
      </c>
      <c r="C3" s="9">
        <f t="shared" ref="C3:C66" si="1">MONTH(B3)</f>
        <v>5</v>
      </c>
      <c r="D3">
        <f t="shared" ref="D3:D66" si="2">YEAR(B3)</f>
        <v>1990</v>
      </c>
      <c r="E3">
        <f t="shared" si="0"/>
        <v>0</v>
      </c>
      <c r="F3" t="s">
        <v>6</v>
      </c>
      <c r="G3" t="s">
        <v>7</v>
      </c>
      <c r="H3" t="s">
        <v>19</v>
      </c>
      <c r="J3">
        <v>6</v>
      </c>
      <c r="K3">
        <f t="shared" ref="K3:K66" si="3">I3*60+J3</f>
        <v>6</v>
      </c>
      <c r="L3" t="s">
        <v>8</v>
      </c>
      <c r="M3" t="s">
        <v>10</v>
      </c>
      <c r="R3" t="s">
        <v>1348</v>
      </c>
    </row>
    <row r="4" spans="1:19" x14ac:dyDescent="0.25">
      <c r="A4" t="s">
        <v>341</v>
      </c>
      <c r="B4" s="4">
        <v>33019</v>
      </c>
      <c r="C4" s="9">
        <f t="shared" si="1"/>
        <v>5</v>
      </c>
      <c r="D4">
        <f t="shared" si="2"/>
        <v>1990</v>
      </c>
      <c r="E4">
        <f t="shared" si="0"/>
        <v>0</v>
      </c>
      <c r="F4" t="s">
        <v>6</v>
      </c>
      <c r="G4" t="s">
        <v>7</v>
      </c>
      <c r="H4" t="s">
        <v>19</v>
      </c>
      <c r="J4">
        <v>7</v>
      </c>
      <c r="K4">
        <f t="shared" si="3"/>
        <v>7</v>
      </c>
      <c r="L4" t="s">
        <v>8</v>
      </c>
      <c r="M4" t="s">
        <v>10</v>
      </c>
      <c r="R4" t="s">
        <v>1348</v>
      </c>
    </row>
    <row r="5" spans="1:19" x14ac:dyDescent="0.25">
      <c r="A5" t="s">
        <v>341</v>
      </c>
      <c r="B5" s="4">
        <v>33027</v>
      </c>
      <c r="C5" s="9">
        <f t="shared" si="1"/>
        <v>6</v>
      </c>
      <c r="D5">
        <f t="shared" si="2"/>
        <v>1990</v>
      </c>
      <c r="E5">
        <f t="shared" si="0"/>
        <v>1</v>
      </c>
      <c r="F5" t="s">
        <v>6</v>
      </c>
      <c r="G5" t="s">
        <v>7</v>
      </c>
      <c r="H5" t="s">
        <v>11</v>
      </c>
      <c r="J5">
        <v>6</v>
      </c>
      <c r="K5">
        <f t="shared" si="3"/>
        <v>6</v>
      </c>
      <c r="L5" t="s">
        <v>8</v>
      </c>
      <c r="M5" t="s">
        <v>12</v>
      </c>
      <c r="R5" t="s">
        <v>1348</v>
      </c>
    </row>
    <row r="6" spans="1:19" x14ac:dyDescent="0.25">
      <c r="A6" t="s">
        <v>341</v>
      </c>
      <c r="B6" s="4">
        <v>33027</v>
      </c>
      <c r="C6" s="9">
        <f t="shared" si="1"/>
        <v>6</v>
      </c>
      <c r="D6">
        <f t="shared" si="2"/>
        <v>1990</v>
      </c>
      <c r="E6">
        <f t="shared" si="0"/>
        <v>0</v>
      </c>
      <c r="F6" t="s">
        <v>6</v>
      </c>
      <c r="G6" t="s">
        <v>7</v>
      </c>
      <c r="H6" t="s">
        <v>11</v>
      </c>
      <c r="J6">
        <v>7</v>
      </c>
      <c r="K6">
        <f t="shared" si="3"/>
        <v>7</v>
      </c>
      <c r="L6" t="s">
        <v>8</v>
      </c>
      <c r="M6" t="s">
        <v>12</v>
      </c>
      <c r="R6" t="s">
        <v>1348</v>
      </c>
    </row>
    <row r="7" spans="1:19" x14ac:dyDescent="0.25">
      <c r="A7" t="s">
        <v>341</v>
      </c>
      <c r="B7" s="4">
        <v>33027</v>
      </c>
      <c r="C7" s="9">
        <f t="shared" si="1"/>
        <v>6</v>
      </c>
      <c r="D7">
        <f t="shared" si="2"/>
        <v>1990</v>
      </c>
      <c r="E7">
        <f t="shared" si="0"/>
        <v>0</v>
      </c>
      <c r="F7" t="s">
        <v>6</v>
      </c>
      <c r="G7" t="s">
        <v>7</v>
      </c>
      <c r="H7" t="s">
        <v>11</v>
      </c>
      <c r="J7">
        <v>7</v>
      </c>
      <c r="K7">
        <f t="shared" si="3"/>
        <v>7</v>
      </c>
      <c r="L7" t="s">
        <v>8</v>
      </c>
      <c r="M7" t="s">
        <v>12</v>
      </c>
      <c r="R7" t="s">
        <v>1348</v>
      </c>
    </row>
    <row r="8" spans="1:19" x14ac:dyDescent="0.25">
      <c r="A8" t="s">
        <v>341</v>
      </c>
      <c r="B8" s="4">
        <v>33027</v>
      </c>
      <c r="C8" s="9">
        <f t="shared" si="1"/>
        <v>6</v>
      </c>
      <c r="D8">
        <f t="shared" si="2"/>
        <v>1990</v>
      </c>
      <c r="E8">
        <f t="shared" si="0"/>
        <v>0</v>
      </c>
      <c r="F8" t="s">
        <v>6</v>
      </c>
      <c r="G8" t="s">
        <v>7</v>
      </c>
      <c r="H8" t="s">
        <v>11</v>
      </c>
      <c r="J8">
        <v>5</v>
      </c>
      <c r="K8">
        <f t="shared" si="3"/>
        <v>5</v>
      </c>
      <c r="L8" t="s">
        <v>8</v>
      </c>
      <c r="M8" t="s">
        <v>13</v>
      </c>
      <c r="R8" t="s">
        <v>1348</v>
      </c>
    </row>
    <row r="9" spans="1:19" x14ac:dyDescent="0.25">
      <c r="A9" t="s">
        <v>341</v>
      </c>
      <c r="B9" s="4">
        <v>33027</v>
      </c>
      <c r="C9" s="9">
        <f t="shared" si="1"/>
        <v>6</v>
      </c>
      <c r="D9">
        <f t="shared" si="2"/>
        <v>1990</v>
      </c>
      <c r="E9">
        <f t="shared" si="0"/>
        <v>0</v>
      </c>
      <c r="F9" t="s">
        <v>6</v>
      </c>
      <c r="G9" t="s">
        <v>7</v>
      </c>
      <c r="H9" t="s">
        <v>11</v>
      </c>
      <c r="J9">
        <v>7</v>
      </c>
      <c r="K9">
        <f t="shared" si="3"/>
        <v>7</v>
      </c>
      <c r="L9" t="s">
        <v>8</v>
      </c>
      <c r="M9" t="s">
        <v>12</v>
      </c>
      <c r="R9" t="s">
        <v>1348</v>
      </c>
    </row>
    <row r="10" spans="1:19" x14ac:dyDescent="0.25">
      <c r="A10" t="s">
        <v>341</v>
      </c>
      <c r="B10" s="4">
        <v>33039</v>
      </c>
      <c r="C10" s="9">
        <f t="shared" si="1"/>
        <v>6</v>
      </c>
      <c r="D10">
        <f t="shared" si="2"/>
        <v>1990</v>
      </c>
      <c r="E10">
        <f t="shared" si="0"/>
        <v>1</v>
      </c>
      <c r="F10" t="s">
        <v>6</v>
      </c>
      <c r="G10" t="s">
        <v>14</v>
      </c>
      <c r="H10" t="s">
        <v>15</v>
      </c>
      <c r="J10">
        <v>5</v>
      </c>
      <c r="K10">
        <f t="shared" si="3"/>
        <v>5</v>
      </c>
      <c r="L10" t="s">
        <v>8</v>
      </c>
      <c r="M10" t="s">
        <v>16</v>
      </c>
      <c r="R10" t="s">
        <v>1348</v>
      </c>
    </row>
    <row r="11" spans="1:19" x14ac:dyDescent="0.25">
      <c r="A11" t="s">
        <v>341</v>
      </c>
      <c r="B11" s="4">
        <v>33039</v>
      </c>
      <c r="C11" s="9">
        <f t="shared" si="1"/>
        <v>6</v>
      </c>
      <c r="D11">
        <f t="shared" si="2"/>
        <v>1990</v>
      </c>
      <c r="E11">
        <f t="shared" si="0"/>
        <v>0</v>
      </c>
      <c r="F11" t="s">
        <v>17</v>
      </c>
      <c r="G11" t="s">
        <v>14</v>
      </c>
      <c r="H11" t="s">
        <v>15</v>
      </c>
      <c r="J11">
        <v>8</v>
      </c>
      <c r="K11">
        <f t="shared" si="3"/>
        <v>8</v>
      </c>
      <c r="L11" t="s">
        <v>8</v>
      </c>
      <c r="M11" t="s">
        <v>18</v>
      </c>
      <c r="R11" t="s">
        <v>1348</v>
      </c>
    </row>
    <row r="12" spans="1:19" x14ac:dyDescent="0.25">
      <c r="A12" t="s">
        <v>341</v>
      </c>
      <c r="B12" s="4">
        <v>33048</v>
      </c>
      <c r="C12" s="9">
        <f t="shared" si="1"/>
        <v>6</v>
      </c>
      <c r="D12">
        <f t="shared" si="2"/>
        <v>1990</v>
      </c>
      <c r="E12">
        <f t="shared" si="0"/>
        <v>1</v>
      </c>
      <c r="F12" t="s">
        <v>17</v>
      </c>
      <c r="G12" t="s">
        <v>7</v>
      </c>
      <c r="H12" t="s">
        <v>19</v>
      </c>
      <c r="J12">
        <v>10</v>
      </c>
      <c r="K12">
        <f t="shared" si="3"/>
        <v>10</v>
      </c>
      <c r="L12" t="s">
        <v>8</v>
      </c>
      <c r="M12" t="s">
        <v>20</v>
      </c>
      <c r="R12" t="s">
        <v>1348</v>
      </c>
    </row>
    <row r="13" spans="1:19" x14ac:dyDescent="0.25">
      <c r="A13" t="s">
        <v>341</v>
      </c>
      <c r="B13" s="4">
        <v>33048</v>
      </c>
      <c r="C13" s="9">
        <f t="shared" si="1"/>
        <v>6</v>
      </c>
      <c r="D13">
        <f t="shared" si="2"/>
        <v>1990</v>
      </c>
      <c r="E13">
        <f t="shared" si="0"/>
        <v>0</v>
      </c>
      <c r="F13" t="s">
        <v>17</v>
      </c>
      <c r="G13" t="s">
        <v>7</v>
      </c>
      <c r="H13" t="s">
        <v>19</v>
      </c>
      <c r="J13">
        <v>20</v>
      </c>
      <c r="K13">
        <f t="shared" si="3"/>
        <v>20</v>
      </c>
      <c r="L13" t="s">
        <v>8</v>
      </c>
      <c r="M13" t="s">
        <v>455</v>
      </c>
      <c r="R13" t="s">
        <v>1348</v>
      </c>
    </row>
    <row r="14" spans="1:19" x14ac:dyDescent="0.25">
      <c r="A14" t="s">
        <v>341</v>
      </c>
      <c r="B14" s="4">
        <v>33048</v>
      </c>
      <c r="C14" s="9">
        <f t="shared" si="1"/>
        <v>6</v>
      </c>
      <c r="D14">
        <f t="shared" si="2"/>
        <v>1990</v>
      </c>
      <c r="E14">
        <f t="shared" si="0"/>
        <v>0</v>
      </c>
      <c r="F14" t="s">
        <v>17</v>
      </c>
      <c r="G14" t="s">
        <v>7</v>
      </c>
      <c r="H14" t="s">
        <v>19</v>
      </c>
      <c r="J14">
        <v>10</v>
      </c>
      <c r="K14">
        <f t="shared" si="3"/>
        <v>10</v>
      </c>
      <c r="L14" t="s">
        <v>8</v>
      </c>
      <c r="M14" t="s">
        <v>21</v>
      </c>
      <c r="R14" t="s">
        <v>1348</v>
      </c>
    </row>
    <row r="15" spans="1:19" x14ac:dyDescent="0.25">
      <c r="A15" t="s">
        <v>341</v>
      </c>
      <c r="B15" s="4">
        <v>33054</v>
      </c>
      <c r="C15" s="9">
        <f t="shared" si="1"/>
        <v>6</v>
      </c>
      <c r="D15">
        <f t="shared" si="2"/>
        <v>1990</v>
      </c>
      <c r="E15">
        <f t="shared" si="0"/>
        <v>1</v>
      </c>
      <c r="F15" t="s">
        <v>17</v>
      </c>
      <c r="G15" t="s">
        <v>7</v>
      </c>
      <c r="H15" t="s">
        <v>22</v>
      </c>
      <c r="J15">
        <v>8</v>
      </c>
      <c r="K15">
        <f t="shared" si="3"/>
        <v>8</v>
      </c>
      <c r="L15" t="s">
        <v>8</v>
      </c>
      <c r="M15" t="s">
        <v>23</v>
      </c>
      <c r="R15" t="s">
        <v>1348</v>
      </c>
    </row>
    <row r="16" spans="1:19" x14ac:dyDescent="0.25">
      <c r="A16" t="s">
        <v>341</v>
      </c>
      <c r="B16" s="4">
        <v>33054</v>
      </c>
      <c r="C16" s="9">
        <f t="shared" si="1"/>
        <v>6</v>
      </c>
      <c r="D16">
        <f t="shared" si="2"/>
        <v>1990</v>
      </c>
      <c r="E16">
        <f t="shared" si="0"/>
        <v>0</v>
      </c>
      <c r="F16" t="s">
        <v>17</v>
      </c>
      <c r="G16" t="s">
        <v>7</v>
      </c>
      <c r="H16" t="s">
        <v>22</v>
      </c>
      <c r="J16">
        <v>12</v>
      </c>
      <c r="K16">
        <f t="shared" si="3"/>
        <v>12</v>
      </c>
      <c r="L16" t="s">
        <v>8</v>
      </c>
      <c r="M16" t="s">
        <v>24</v>
      </c>
      <c r="R16" t="s">
        <v>1348</v>
      </c>
    </row>
    <row r="17" spans="1:18" x14ac:dyDescent="0.25">
      <c r="A17" t="s">
        <v>341</v>
      </c>
      <c r="B17" s="4">
        <v>33056</v>
      </c>
      <c r="C17" s="9">
        <f t="shared" si="1"/>
        <v>7</v>
      </c>
      <c r="D17">
        <f t="shared" si="2"/>
        <v>1990</v>
      </c>
      <c r="E17">
        <f t="shared" si="0"/>
        <v>1</v>
      </c>
      <c r="F17" t="s">
        <v>17</v>
      </c>
      <c r="G17" t="s">
        <v>7</v>
      </c>
      <c r="H17" t="s">
        <v>19</v>
      </c>
      <c r="J17">
        <v>6</v>
      </c>
      <c r="K17">
        <f t="shared" si="3"/>
        <v>6</v>
      </c>
      <c r="L17" t="s">
        <v>8</v>
      </c>
      <c r="M17" t="s">
        <v>25</v>
      </c>
      <c r="R17" t="s">
        <v>1348</v>
      </c>
    </row>
    <row r="18" spans="1:18" x14ac:dyDescent="0.25">
      <c r="A18" t="s">
        <v>341</v>
      </c>
      <c r="B18" s="4">
        <v>33056</v>
      </c>
      <c r="C18" s="9">
        <f t="shared" si="1"/>
        <v>7</v>
      </c>
      <c r="D18">
        <f t="shared" si="2"/>
        <v>1990</v>
      </c>
      <c r="E18">
        <f t="shared" si="0"/>
        <v>0</v>
      </c>
      <c r="F18" t="s">
        <v>17</v>
      </c>
      <c r="G18" t="s">
        <v>26</v>
      </c>
      <c r="H18" t="s">
        <v>19</v>
      </c>
      <c r="J18">
        <v>6</v>
      </c>
      <c r="K18">
        <f t="shared" si="3"/>
        <v>6</v>
      </c>
      <c r="L18" t="s">
        <v>8</v>
      </c>
      <c r="M18" t="s">
        <v>27</v>
      </c>
      <c r="R18" t="s">
        <v>1348</v>
      </c>
    </row>
    <row r="19" spans="1:18" x14ac:dyDescent="0.25">
      <c r="A19" t="s">
        <v>341</v>
      </c>
      <c r="B19" s="4">
        <v>33056</v>
      </c>
      <c r="C19" s="9">
        <f t="shared" si="1"/>
        <v>7</v>
      </c>
      <c r="D19">
        <f t="shared" si="2"/>
        <v>1990</v>
      </c>
      <c r="E19">
        <f t="shared" si="0"/>
        <v>0</v>
      </c>
      <c r="F19" t="s">
        <v>17</v>
      </c>
      <c r="G19" t="s">
        <v>7</v>
      </c>
      <c r="H19" t="s">
        <v>19</v>
      </c>
      <c r="J19">
        <v>6</v>
      </c>
      <c r="K19">
        <f t="shared" si="3"/>
        <v>6</v>
      </c>
      <c r="L19" t="s">
        <v>8</v>
      </c>
      <c r="M19" t="s">
        <v>28</v>
      </c>
      <c r="R19" t="s">
        <v>1348</v>
      </c>
    </row>
    <row r="20" spans="1:18" x14ac:dyDescent="0.25">
      <c r="A20" t="s">
        <v>341</v>
      </c>
      <c r="B20" s="4">
        <v>33058</v>
      </c>
      <c r="C20" s="9">
        <f t="shared" si="1"/>
        <v>7</v>
      </c>
      <c r="D20">
        <f t="shared" si="2"/>
        <v>1990</v>
      </c>
      <c r="E20">
        <f t="shared" si="0"/>
        <v>1</v>
      </c>
      <c r="F20" t="s">
        <v>17</v>
      </c>
      <c r="G20" t="s">
        <v>26</v>
      </c>
      <c r="H20" t="s">
        <v>19</v>
      </c>
      <c r="J20">
        <v>4</v>
      </c>
      <c r="K20">
        <f t="shared" si="3"/>
        <v>4</v>
      </c>
      <c r="L20" t="s">
        <v>8</v>
      </c>
      <c r="M20" t="s">
        <v>29</v>
      </c>
      <c r="R20" t="s">
        <v>1348</v>
      </c>
    </row>
    <row r="21" spans="1:18" x14ac:dyDescent="0.25">
      <c r="A21" t="s">
        <v>341</v>
      </c>
      <c r="B21" s="4">
        <v>33058</v>
      </c>
      <c r="C21" s="9">
        <f t="shared" si="1"/>
        <v>7</v>
      </c>
      <c r="D21">
        <f t="shared" si="2"/>
        <v>1990</v>
      </c>
      <c r="E21">
        <f t="shared" si="0"/>
        <v>0</v>
      </c>
      <c r="F21" t="s">
        <v>17</v>
      </c>
      <c r="G21" t="s">
        <v>26</v>
      </c>
      <c r="H21" t="s">
        <v>19</v>
      </c>
      <c r="J21">
        <v>4</v>
      </c>
      <c r="K21">
        <f t="shared" si="3"/>
        <v>4</v>
      </c>
      <c r="L21" t="s">
        <v>8</v>
      </c>
      <c r="M21" t="s">
        <v>30</v>
      </c>
      <c r="R21" t="s">
        <v>1348</v>
      </c>
    </row>
    <row r="22" spans="1:18" x14ac:dyDescent="0.25">
      <c r="A22" t="s">
        <v>341</v>
      </c>
      <c r="B22" s="4">
        <v>33058</v>
      </c>
      <c r="C22" s="9">
        <f t="shared" si="1"/>
        <v>7</v>
      </c>
      <c r="D22">
        <f t="shared" si="2"/>
        <v>1990</v>
      </c>
      <c r="E22">
        <f t="shared" si="0"/>
        <v>0</v>
      </c>
      <c r="F22" t="s">
        <v>17</v>
      </c>
      <c r="G22" t="s">
        <v>26</v>
      </c>
      <c r="H22" t="s">
        <v>19</v>
      </c>
      <c r="J22">
        <v>4</v>
      </c>
      <c r="K22">
        <f t="shared" si="3"/>
        <v>4</v>
      </c>
      <c r="L22" t="s">
        <v>8</v>
      </c>
      <c r="M22" t="s">
        <v>29</v>
      </c>
      <c r="R22" t="s">
        <v>1348</v>
      </c>
    </row>
    <row r="23" spans="1:18" x14ac:dyDescent="0.25">
      <c r="A23" t="s">
        <v>341</v>
      </c>
      <c r="B23" s="4">
        <v>33058</v>
      </c>
      <c r="C23" s="9">
        <f t="shared" si="1"/>
        <v>7</v>
      </c>
      <c r="D23">
        <f t="shared" si="2"/>
        <v>1990</v>
      </c>
      <c r="E23">
        <f t="shared" si="0"/>
        <v>0</v>
      </c>
      <c r="F23" t="s">
        <v>17</v>
      </c>
      <c r="G23" t="s">
        <v>7</v>
      </c>
      <c r="H23" t="s">
        <v>22</v>
      </c>
      <c r="J23">
        <v>10</v>
      </c>
      <c r="K23">
        <f t="shared" si="3"/>
        <v>10</v>
      </c>
      <c r="L23" t="s">
        <v>8</v>
      </c>
      <c r="M23" t="s">
        <v>29</v>
      </c>
      <c r="R23" t="s">
        <v>1348</v>
      </c>
    </row>
    <row r="24" spans="1:18" x14ac:dyDescent="0.25">
      <c r="A24" t="s">
        <v>341</v>
      </c>
      <c r="B24" s="4">
        <v>33058</v>
      </c>
      <c r="C24" s="9">
        <f t="shared" si="1"/>
        <v>7</v>
      </c>
      <c r="D24">
        <f t="shared" si="2"/>
        <v>1990</v>
      </c>
      <c r="E24">
        <f t="shared" si="0"/>
        <v>0</v>
      </c>
      <c r="F24" t="s">
        <v>17</v>
      </c>
      <c r="G24" t="s">
        <v>7</v>
      </c>
      <c r="H24" t="s">
        <v>22</v>
      </c>
      <c r="J24">
        <v>10</v>
      </c>
      <c r="K24">
        <f t="shared" si="3"/>
        <v>10</v>
      </c>
      <c r="L24" t="s">
        <v>8</v>
      </c>
      <c r="M24" t="s">
        <v>13</v>
      </c>
      <c r="R24" t="s">
        <v>1348</v>
      </c>
    </row>
    <row r="25" spans="1:18" x14ac:dyDescent="0.25">
      <c r="A25" t="s">
        <v>341</v>
      </c>
      <c r="B25" s="4">
        <v>33067</v>
      </c>
      <c r="C25" s="9">
        <f t="shared" si="1"/>
        <v>7</v>
      </c>
      <c r="D25">
        <f t="shared" si="2"/>
        <v>1990</v>
      </c>
      <c r="E25">
        <f t="shared" si="0"/>
        <v>1</v>
      </c>
      <c r="F25" t="s">
        <v>17</v>
      </c>
      <c r="G25" t="s">
        <v>7</v>
      </c>
      <c r="H25" t="s">
        <v>19</v>
      </c>
      <c r="J25">
        <v>5</v>
      </c>
      <c r="K25">
        <f t="shared" si="3"/>
        <v>5</v>
      </c>
      <c r="L25" t="s">
        <v>8</v>
      </c>
      <c r="M25" t="s">
        <v>31</v>
      </c>
      <c r="R25" t="s">
        <v>1348</v>
      </c>
    </row>
    <row r="26" spans="1:18" x14ac:dyDescent="0.25">
      <c r="A26" t="s">
        <v>341</v>
      </c>
      <c r="B26" s="4">
        <v>33067</v>
      </c>
      <c r="C26" s="9">
        <f t="shared" si="1"/>
        <v>7</v>
      </c>
      <c r="D26">
        <f t="shared" si="2"/>
        <v>1990</v>
      </c>
      <c r="E26">
        <f t="shared" si="0"/>
        <v>0</v>
      </c>
      <c r="F26" t="s">
        <v>17</v>
      </c>
      <c r="G26" t="s">
        <v>7</v>
      </c>
      <c r="H26" t="s">
        <v>19</v>
      </c>
      <c r="J26">
        <v>5</v>
      </c>
      <c r="K26">
        <f t="shared" si="3"/>
        <v>5</v>
      </c>
      <c r="L26" t="s">
        <v>8</v>
      </c>
      <c r="M26" t="s">
        <v>32</v>
      </c>
      <c r="R26" t="s">
        <v>1348</v>
      </c>
    </row>
    <row r="27" spans="1:18" x14ac:dyDescent="0.25">
      <c r="A27" t="s">
        <v>341</v>
      </c>
      <c r="B27" s="4">
        <v>33067</v>
      </c>
      <c r="C27" s="9">
        <f t="shared" si="1"/>
        <v>7</v>
      </c>
      <c r="D27">
        <f t="shared" si="2"/>
        <v>1990</v>
      </c>
      <c r="E27">
        <f t="shared" si="0"/>
        <v>0</v>
      </c>
      <c r="F27" t="s">
        <v>17</v>
      </c>
      <c r="G27" t="s">
        <v>7</v>
      </c>
      <c r="H27" t="s">
        <v>22</v>
      </c>
      <c r="J27">
        <v>8</v>
      </c>
      <c r="K27">
        <f t="shared" si="3"/>
        <v>8</v>
      </c>
      <c r="L27" t="s">
        <v>8</v>
      </c>
      <c r="M27" t="s">
        <v>29</v>
      </c>
      <c r="R27" t="s">
        <v>1348</v>
      </c>
    </row>
    <row r="28" spans="1:18" x14ac:dyDescent="0.25">
      <c r="A28" t="s">
        <v>341</v>
      </c>
      <c r="B28" s="4">
        <v>33067</v>
      </c>
      <c r="C28" s="9">
        <f t="shared" si="1"/>
        <v>7</v>
      </c>
      <c r="D28">
        <f t="shared" si="2"/>
        <v>1990</v>
      </c>
      <c r="E28">
        <f t="shared" si="0"/>
        <v>0</v>
      </c>
      <c r="F28" t="s">
        <v>17</v>
      </c>
      <c r="G28" t="s">
        <v>7</v>
      </c>
      <c r="H28" t="s">
        <v>22</v>
      </c>
      <c r="J28">
        <v>8</v>
      </c>
      <c r="K28">
        <f t="shared" si="3"/>
        <v>8</v>
      </c>
      <c r="L28" t="s">
        <v>8</v>
      </c>
      <c r="R28" t="s">
        <v>1348</v>
      </c>
    </row>
    <row r="29" spans="1:18" x14ac:dyDescent="0.25">
      <c r="A29" t="s">
        <v>341</v>
      </c>
      <c r="B29" s="4">
        <v>33067</v>
      </c>
      <c r="C29" s="9">
        <f t="shared" si="1"/>
        <v>7</v>
      </c>
      <c r="D29">
        <f t="shared" si="2"/>
        <v>1990</v>
      </c>
      <c r="E29">
        <f t="shared" si="0"/>
        <v>0</v>
      </c>
      <c r="F29" t="s">
        <v>17</v>
      </c>
      <c r="G29" t="s">
        <v>7</v>
      </c>
      <c r="H29" t="s">
        <v>22</v>
      </c>
      <c r="J29">
        <v>8</v>
      </c>
      <c r="K29">
        <f t="shared" si="3"/>
        <v>8</v>
      </c>
      <c r="L29" t="s">
        <v>8</v>
      </c>
      <c r="R29" t="s">
        <v>1348</v>
      </c>
    </row>
    <row r="30" spans="1:18" x14ac:dyDescent="0.25">
      <c r="A30" t="s">
        <v>341</v>
      </c>
      <c r="B30" s="4">
        <v>33068</v>
      </c>
      <c r="C30" s="9">
        <f t="shared" si="1"/>
        <v>7</v>
      </c>
      <c r="D30">
        <f t="shared" si="2"/>
        <v>1990</v>
      </c>
      <c r="E30">
        <f t="shared" si="0"/>
        <v>1</v>
      </c>
      <c r="F30" t="s">
        <v>17</v>
      </c>
      <c r="G30" t="s">
        <v>7</v>
      </c>
      <c r="H30" t="s">
        <v>22</v>
      </c>
      <c r="J30">
        <v>8</v>
      </c>
      <c r="K30">
        <f t="shared" si="3"/>
        <v>8</v>
      </c>
      <c r="L30" t="s">
        <v>8</v>
      </c>
      <c r="R30" t="s">
        <v>1348</v>
      </c>
    </row>
    <row r="31" spans="1:18" x14ac:dyDescent="0.25">
      <c r="A31" t="s">
        <v>341</v>
      </c>
      <c r="B31" s="4">
        <v>33068</v>
      </c>
      <c r="C31" s="9">
        <f t="shared" si="1"/>
        <v>7</v>
      </c>
      <c r="D31">
        <f t="shared" si="2"/>
        <v>1990</v>
      </c>
      <c r="E31">
        <f t="shared" si="0"/>
        <v>0</v>
      </c>
      <c r="F31" t="s">
        <v>17</v>
      </c>
      <c r="G31" t="s">
        <v>7</v>
      </c>
      <c r="H31" t="s">
        <v>22</v>
      </c>
      <c r="J31">
        <v>30</v>
      </c>
      <c r="K31">
        <f t="shared" si="3"/>
        <v>30</v>
      </c>
      <c r="L31" t="s">
        <v>8</v>
      </c>
      <c r="M31" t="s">
        <v>36</v>
      </c>
      <c r="R31" t="s">
        <v>1348</v>
      </c>
    </row>
    <row r="32" spans="1:18" x14ac:dyDescent="0.25">
      <c r="A32" t="s">
        <v>341</v>
      </c>
      <c r="B32" s="4">
        <v>33068</v>
      </c>
      <c r="C32" s="9">
        <f t="shared" si="1"/>
        <v>7</v>
      </c>
      <c r="D32">
        <f t="shared" si="2"/>
        <v>1990</v>
      </c>
      <c r="E32">
        <f t="shared" si="0"/>
        <v>0</v>
      </c>
      <c r="F32" t="s">
        <v>17</v>
      </c>
      <c r="G32" t="s">
        <v>7</v>
      </c>
      <c r="H32" t="s">
        <v>19</v>
      </c>
      <c r="J32">
        <v>8</v>
      </c>
      <c r="K32">
        <f t="shared" si="3"/>
        <v>8</v>
      </c>
      <c r="L32" t="s">
        <v>8</v>
      </c>
      <c r="R32" t="s">
        <v>1348</v>
      </c>
    </row>
    <row r="33" spans="1:19" x14ac:dyDescent="0.25">
      <c r="A33" t="s">
        <v>341</v>
      </c>
      <c r="B33" s="4">
        <v>33069</v>
      </c>
      <c r="C33" s="9">
        <f t="shared" si="1"/>
        <v>7</v>
      </c>
      <c r="D33">
        <f t="shared" si="2"/>
        <v>1990</v>
      </c>
      <c r="E33">
        <f t="shared" si="0"/>
        <v>1</v>
      </c>
      <c r="F33" t="s">
        <v>17</v>
      </c>
      <c r="G33" t="s">
        <v>7</v>
      </c>
      <c r="H33" t="s">
        <v>22</v>
      </c>
      <c r="J33">
        <v>6</v>
      </c>
      <c r="K33">
        <f t="shared" si="3"/>
        <v>6</v>
      </c>
      <c r="L33" t="s">
        <v>8</v>
      </c>
      <c r="R33" t="s">
        <v>1348</v>
      </c>
    </row>
    <row r="34" spans="1:19" x14ac:dyDescent="0.25">
      <c r="A34" t="s">
        <v>341</v>
      </c>
      <c r="B34" s="4">
        <v>33069</v>
      </c>
      <c r="C34" s="9">
        <f t="shared" si="1"/>
        <v>7</v>
      </c>
      <c r="D34">
        <f t="shared" si="2"/>
        <v>1990</v>
      </c>
      <c r="E34">
        <f t="shared" si="0"/>
        <v>0</v>
      </c>
      <c r="F34" t="s">
        <v>17</v>
      </c>
      <c r="G34" t="s">
        <v>7</v>
      </c>
      <c r="H34" t="s">
        <v>19</v>
      </c>
      <c r="J34">
        <v>20</v>
      </c>
      <c r="K34">
        <f t="shared" si="3"/>
        <v>20</v>
      </c>
      <c r="L34" t="s">
        <v>8</v>
      </c>
      <c r="R34" t="s">
        <v>1348</v>
      </c>
    </row>
    <row r="35" spans="1:19" x14ac:dyDescent="0.25">
      <c r="A35" t="s">
        <v>341</v>
      </c>
      <c r="B35" s="4">
        <v>33075</v>
      </c>
      <c r="C35" s="9">
        <f t="shared" si="1"/>
        <v>7</v>
      </c>
      <c r="D35">
        <f t="shared" si="2"/>
        <v>1990</v>
      </c>
      <c r="E35">
        <f t="shared" si="0"/>
        <v>1</v>
      </c>
      <c r="F35" t="s">
        <v>17</v>
      </c>
      <c r="G35" t="s">
        <v>7</v>
      </c>
      <c r="H35" t="s">
        <v>22</v>
      </c>
      <c r="J35">
        <v>6</v>
      </c>
      <c r="K35">
        <f t="shared" si="3"/>
        <v>6</v>
      </c>
      <c r="L35" t="s">
        <v>8</v>
      </c>
      <c r="M35" t="s">
        <v>37</v>
      </c>
      <c r="R35" t="s">
        <v>1348</v>
      </c>
    </row>
    <row r="36" spans="1:19" x14ac:dyDescent="0.25">
      <c r="A36" t="s">
        <v>341</v>
      </c>
      <c r="B36" s="4">
        <v>33075</v>
      </c>
      <c r="C36" s="9">
        <f t="shared" si="1"/>
        <v>7</v>
      </c>
      <c r="D36">
        <f t="shared" si="2"/>
        <v>1990</v>
      </c>
      <c r="E36">
        <f t="shared" si="0"/>
        <v>0</v>
      </c>
      <c r="F36" t="s">
        <v>17</v>
      </c>
      <c r="G36" t="s">
        <v>7</v>
      </c>
      <c r="H36" t="s">
        <v>22</v>
      </c>
      <c r="J36">
        <v>8</v>
      </c>
      <c r="K36">
        <f t="shared" si="3"/>
        <v>8</v>
      </c>
      <c r="L36" t="s">
        <v>8</v>
      </c>
      <c r="R36" t="s">
        <v>1348</v>
      </c>
    </row>
    <row r="37" spans="1:19" x14ac:dyDescent="0.25">
      <c r="A37" t="s">
        <v>341</v>
      </c>
      <c r="B37" s="4">
        <v>33075</v>
      </c>
      <c r="C37" s="9">
        <f t="shared" si="1"/>
        <v>7</v>
      </c>
      <c r="D37">
        <f t="shared" si="2"/>
        <v>1990</v>
      </c>
      <c r="E37">
        <f t="shared" si="0"/>
        <v>0</v>
      </c>
      <c r="F37" t="s">
        <v>17</v>
      </c>
      <c r="G37" t="s">
        <v>7</v>
      </c>
      <c r="H37" t="s">
        <v>22</v>
      </c>
      <c r="J37">
        <v>8</v>
      </c>
      <c r="K37">
        <f t="shared" si="3"/>
        <v>8</v>
      </c>
      <c r="L37" t="s">
        <v>8</v>
      </c>
      <c r="R37" t="s">
        <v>1348</v>
      </c>
    </row>
    <row r="38" spans="1:19" x14ac:dyDescent="0.25">
      <c r="A38" t="s">
        <v>341</v>
      </c>
      <c r="B38" s="4">
        <v>33075</v>
      </c>
      <c r="C38" s="9">
        <f t="shared" si="1"/>
        <v>7</v>
      </c>
      <c r="D38">
        <f t="shared" si="2"/>
        <v>1990</v>
      </c>
      <c r="E38">
        <f t="shared" si="0"/>
        <v>0</v>
      </c>
      <c r="F38" t="s">
        <v>17</v>
      </c>
      <c r="G38" t="s">
        <v>7</v>
      </c>
      <c r="H38" t="s">
        <v>22</v>
      </c>
      <c r="J38">
        <v>8</v>
      </c>
      <c r="K38">
        <f t="shared" si="3"/>
        <v>8</v>
      </c>
      <c r="L38" t="s">
        <v>8</v>
      </c>
      <c r="R38" t="s">
        <v>1348</v>
      </c>
    </row>
    <row r="39" spans="1:19" x14ac:dyDescent="0.25">
      <c r="A39" t="s">
        <v>341</v>
      </c>
      <c r="B39" s="4">
        <v>33076</v>
      </c>
      <c r="C39" s="9">
        <f t="shared" si="1"/>
        <v>7</v>
      </c>
      <c r="D39">
        <f t="shared" si="2"/>
        <v>1990</v>
      </c>
      <c r="E39">
        <f t="shared" si="0"/>
        <v>1</v>
      </c>
      <c r="F39" t="s">
        <v>17</v>
      </c>
      <c r="G39" t="s">
        <v>7</v>
      </c>
      <c r="H39" t="s">
        <v>22</v>
      </c>
      <c r="J39">
        <v>10</v>
      </c>
      <c r="K39">
        <f t="shared" si="3"/>
        <v>10</v>
      </c>
      <c r="L39" t="s">
        <v>8</v>
      </c>
      <c r="R39" t="s">
        <v>1348</v>
      </c>
    </row>
    <row r="40" spans="1:19" x14ac:dyDescent="0.25">
      <c r="A40" t="s">
        <v>341</v>
      </c>
      <c r="B40" s="4">
        <v>33076</v>
      </c>
      <c r="C40" s="9">
        <f t="shared" si="1"/>
        <v>7</v>
      </c>
      <c r="D40">
        <f t="shared" si="2"/>
        <v>1990</v>
      </c>
      <c r="E40">
        <f t="shared" si="0"/>
        <v>0</v>
      </c>
      <c r="F40" t="s">
        <v>17</v>
      </c>
      <c r="G40" t="s">
        <v>7</v>
      </c>
      <c r="H40" t="s">
        <v>22</v>
      </c>
      <c r="I40">
        <v>1</v>
      </c>
      <c r="J40">
        <v>30</v>
      </c>
      <c r="K40">
        <f t="shared" si="3"/>
        <v>90</v>
      </c>
      <c r="L40" t="s">
        <v>8</v>
      </c>
      <c r="M40" t="s">
        <v>38</v>
      </c>
      <c r="R40" t="s">
        <v>1348</v>
      </c>
    </row>
    <row r="41" spans="1:19" x14ac:dyDescent="0.25">
      <c r="A41" t="s">
        <v>341</v>
      </c>
      <c r="B41" s="4">
        <v>33076</v>
      </c>
      <c r="C41" s="9">
        <f t="shared" si="1"/>
        <v>7</v>
      </c>
      <c r="D41">
        <f t="shared" si="2"/>
        <v>1990</v>
      </c>
      <c r="E41">
        <f t="shared" si="0"/>
        <v>0</v>
      </c>
      <c r="F41" t="s">
        <v>17</v>
      </c>
      <c r="G41" t="s">
        <v>7</v>
      </c>
      <c r="H41" t="s">
        <v>22</v>
      </c>
      <c r="J41">
        <v>8</v>
      </c>
      <c r="K41">
        <f t="shared" si="3"/>
        <v>8</v>
      </c>
      <c r="L41" t="s">
        <v>8</v>
      </c>
      <c r="M41" t="s">
        <v>39</v>
      </c>
      <c r="R41" t="s">
        <v>1348</v>
      </c>
    </row>
    <row r="42" spans="1:19" x14ac:dyDescent="0.25">
      <c r="A42" t="s">
        <v>341</v>
      </c>
      <c r="B42" s="4">
        <v>33077</v>
      </c>
      <c r="C42" s="9">
        <f t="shared" si="1"/>
        <v>7</v>
      </c>
      <c r="D42">
        <f t="shared" si="2"/>
        <v>1990</v>
      </c>
      <c r="E42">
        <v>1</v>
      </c>
      <c r="F42" t="s">
        <v>17</v>
      </c>
      <c r="G42" t="s">
        <v>14</v>
      </c>
      <c r="H42" t="s">
        <v>15</v>
      </c>
      <c r="J42">
        <v>6</v>
      </c>
      <c r="K42">
        <f t="shared" si="3"/>
        <v>6</v>
      </c>
      <c r="L42" t="s">
        <v>40</v>
      </c>
      <c r="M42" t="s">
        <v>41</v>
      </c>
      <c r="R42" t="s">
        <v>1348</v>
      </c>
      <c r="S42" t="s">
        <v>1367</v>
      </c>
    </row>
    <row r="43" spans="1:19" x14ac:dyDescent="0.25">
      <c r="A43" t="s">
        <v>341</v>
      </c>
      <c r="B43" s="4">
        <v>33077</v>
      </c>
      <c r="C43" s="9">
        <f t="shared" si="1"/>
        <v>7</v>
      </c>
      <c r="D43">
        <f t="shared" si="2"/>
        <v>1990</v>
      </c>
      <c r="E43">
        <f t="shared" si="0"/>
        <v>0</v>
      </c>
      <c r="F43" t="s">
        <v>17</v>
      </c>
      <c r="G43" t="s">
        <v>14</v>
      </c>
      <c r="H43" t="s">
        <v>15</v>
      </c>
      <c r="J43">
        <v>6</v>
      </c>
      <c r="K43">
        <f t="shared" si="3"/>
        <v>6</v>
      </c>
      <c r="L43" t="s">
        <v>40</v>
      </c>
      <c r="M43" t="s">
        <v>42</v>
      </c>
      <c r="R43" t="s">
        <v>1348</v>
      </c>
      <c r="S43" t="s">
        <v>1367</v>
      </c>
    </row>
    <row r="44" spans="1:19" x14ac:dyDescent="0.25">
      <c r="A44" t="s">
        <v>341</v>
      </c>
      <c r="B44" s="4">
        <v>33077</v>
      </c>
      <c r="C44" s="9">
        <f t="shared" si="1"/>
        <v>7</v>
      </c>
      <c r="D44">
        <f t="shared" si="2"/>
        <v>1990</v>
      </c>
      <c r="E44">
        <f t="shared" si="0"/>
        <v>0</v>
      </c>
      <c r="F44" t="s">
        <v>17</v>
      </c>
      <c r="G44" t="s">
        <v>14</v>
      </c>
      <c r="H44" t="s">
        <v>15</v>
      </c>
      <c r="J44">
        <v>6</v>
      </c>
      <c r="K44">
        <f t="shared" si="3"/>
        <v>6</v>
      </c>
      <c r="L44" t="s">
        <v>40</v>
      </c>
      <c r="M44" t="s">
        <v>43</v>
      </c>
      <c r="R44" t="s">
        <v>1348</v>
      </c>
      <c r="S44" t="s">
        <v>1367</v>
      </c>
    </row>
    <row r="45" spans="1:19" x14ac:dyDescent="0.25">
      <c r="A45" t="s">
        <v>341</v>
      </c>
      <c r="B45" s="4">
        <v>33082</v>
      </c>
      <c r="C45" s="9">
        <f t="shared" si="1"/>
        <v>7</v>
      </c>
      <c r="D45">
        <f t="shared" si="2"/>
        <v>1990</v>
      </c>
      <c r="E45">
        <f t="shared" si="0"/>
        <v>1</v>
      </c>
      <c r="F45" t="s">
        <v>17</v>
      </c>
      <c r="G45" t="s">
        <v>7</v>
      </c>
      <c r="H45" t="s">
        <v>22</v>
      </c>
      <c r="J45">
        <v>12</v>
      </c>
      <c r="K45">
        <f t="shared" si="3"/>
        <v>12</v>
      </c>
      <c r="M45" t="s">
        <v>48</v>
      </c>
      <c r="R45" t="s">
        <v>1348</v>
      </c>
    </row>
    <row r="46" spans="1:19" x14ac:dyDescent="0.25">
      <c r="A46" t="s">
        <v>341</v>
      </c>
      <c r="B46" s="4">
        <v>33082</v>
      </c>
      <c r="C46" s="9">
        <f t="shared" si="1"/>
        <v>7</v>
      </c>
      <c r="D46">
        <f t="shared" si="2"/>
        <v>1990</v>
      </c>
      <c r="E46">
        <f t="shared" si="0"/>
        <v>0</v>
      </c>
      <c r="F46" t="s">
        <v>17</v>
      </c>
      <c r="G46" t="s">
        <v>7</v>
      </c>
      <c r="H46" t="s">
        <v>22</v>
      </c>
      <c r="I46">
        <v>2</v>
      </c>
      <c r="J46">
        <v>0</v>
      </c>
      <c r="K46">
        <f t="shared" si="3"/>
        <v>120</v>
      </c>
      <c r="M46" t="s">
        <v>44</v>
      </c>
      <c r="N46">
        <v>5.9</v>
      </c>
      <c r="P46">
        <v>3966</v>
      </c>
      <c r="R46" t="s">
        <v>1348</v>
      </c>
    </row>
    <row r="47" spans="1:19" x14ac:dyDescent="0.25">
      <c r="A47" t="s">
        <v>341</v>
      </c>
      <c r="B47" s="4">
        <v>33083</v>
      </c>
      <c r="C47" s="9">
        <f t="shared" si="1"/>
        <v>7</v>
      </c>
      <c r="D47">
        <f t="shared" si="2"/>
        <v>1990</v>
      </c>
      <c r="E47">
        <f t="shared" si="0"/>
        <v>1</v>
      </c>
      <c r="F47" t="s">
        <v>17</v>
      </c>
      <c r="G47" t="s">
        <v>7</v>
      </c>
      <c r="H47" t="s">
        <v>22</v>
      </c>
      <c r="J47">
        <v>12</v>
      </c>
      <c r="K47">
        <f t="shared" si="3"/>
        <v>12</v>
      </c>
      <c r="R47" t="s">
        <v>1348</v>
      </c>
    </row>
    <row r="48" spans="1:19" x14ac:dyDescent="0.25">
      <c r="A48" t="s">
        <v>341</v>
      </c>
      <c r="B48" s="4">
        <v>33083</v>
      </c>
      <c r="C48" s="9">
        <f t="shared" si="1"/>
        <v>7</v>
      </c>
      <c r="D48">
        <f t="shared" si="2"/>
        <v>1990</v>
      </c>
      <c r="E48">
        <f t="shared" si="0"/>
        <v>0</v>
      </c>
      <c r="F48" t="s">
        <v>17</v>
      </c>
      <c r="G48" t="s">
        <v>7</v>
      </c>
      <c r="H48" t="s">
        <v>22</v>
      </c>
      <c r="J48">
        <v>12</v>
      </c>
      <c r="K48">
        <f t="shared" si="3"/>
        <v>12</v>
      </c>
      <c r="R48" t="s">
        <v>1348</v>
      </c>
    </row>
    <row r="49" spans="1:18" x14ac:dyDescent="0.25">
      <c r="A49" t="s">
        <v>341</v>
      </c>
      <c r="B49" s="4">
        <v>33087</v>
      </c>
      <c r="C49" s="9">
        <f t="shared" si="1"/>
        <v>8</v>
      </c>
      <c r="D49">
        <f t="shared" si="2"/>
        <v>1990</v>
      </c>
      <c r="E49">
        <f t="shared" si="0"/>
        <v>1</v>
      </c>
      <c r="F49" t="s">
        <v>17</v>
      </c>
      <c r="G49" t="s">
        <v>7</v>
      </c>
      <c r="H49" t="s">
        <v>22</v>
      </c>
      <c r="J49">
        <v>14</v>
      </c>
      <c r="K49">
        <f t="shared" si="3"/>
        <v>14</v>
      </c>
      <c r="R49" t="s">
        <v>1348</v>
      </c>
    </row>
    <row r="50" spans="1:18" x14ac:dyDescent="0.25">
      <c r="A50" t="s">
        <v>341</v>
      </c>
      <c r="B50" s="4">
        <v>33087</v>
      </c>
      <c r="C50" s="9">
        <f t="shared" si="1"/>
        <v>8</v>
      </c>
      <c r="D50">
        <f t="shared" si="2"/>
        <v>1990</v>
      </c>
      <c r="E50">
        <f t="shared" si="0"/>
        <v>0</v>
      </c>
      <c r="F50" t="s">
        <v>17</v>
      </c>
      <c r="G50" t="s">
        <v>7</v>
      </c>
      <c r="H50" t="s">
        <v>22</v>
      </c>
      <c r="I50">
        <v>2</v>
      </c>
      <c r="J50">
        <v>24</v>
      </c>
      <c r="K50">
        <f t="shared" si="3"/>
        <v>144</v>
      </c>
      <c r="M50" t="s">
        <v>49</v>
      </c>
      <c r="N50">
        <v>4.3</v>
      </c>
      <c r="P50">
        <v>3384</v>
      </c>
      <c r="R50" t="s">
        <v>1348</v>
      </c>
    </row>
    <row r="51" spans="1:18" x14ac:dyDescent="0.25">
      <c r="A51" t="s">
        <v>341</v>
      </c>
      <c r="B51" s="4">
        <v>33088</v>
      </c>
      <c r="C51" s="9">
        <f t="shared" si="1"/>
        <v>8</v>
      </c>
      <c r="D51">
        <f t="shared" si="2"/>
        <v>1990</v>
      </c>
      <c r="E51">
        <f t="shared" si="0"/>
        <v>1</v>
      </c>
      <c r="F51" t="s">
        <v>17</v>
      </c>
      <c r="G51" t="s">
        <v>7</v>
      </c>
      <c r="H51" t="s">
        <v>22</v>
      </c>
      <c r="J51">
        <v>12</v>
      </c>
      <c r="K51">
        <f t="shared" si="3"/>
        <v>12</v>
      </c>
      <c r="R51" t="s">
        <v>1348</v>
      </c>
    </row>
    <row r="52" spans="1:18" x14ac:dyDescent="0.25">
      <c r="A52" t="s">
        <v>341</v>
      </c>
      <c r="B52" s="4">
        <v>33088</v>
      </c>
      <c r="C52" s="9">
        <f t="shared" si="1"/>
        <v>8</v>
      </c>
      <c r="D52">
        <f t="shared" si="2"/>
        <v>1990</v>
      </c>
      <c r="E52">
        <f t="shared" si="0"/>
        <v>0</v>
      </c>
      <c r="F52" t="s">
        <v>17</v>
      </c>
      <c r="G52" t="s">
        <v>7</v>
      </c>
      <c r="H52" t="s">
        <v>22</v>
      </c>
      <c r="I52">
        <v>1</v>
      </c>
      <c r="J52">
        <v>34</v>
      </c>
      <c r="K52">
        <f t="shared" si="3"/>
        <v>94</v>
      </c>
      <c r="M52" t="s">
        <v>50</v>
      </c>
      <c r="N52">
        <v>3.3</v>
      </c>
      <c r="P52">
        <v>2701</v>
      </c>
      <c r="R52" t="s">
        <v>1348</v>
      </c>
    </row>
    <row r="53" spans="1:18" x14ac:dyDescent="0.25">
      <c r="A53" t="s">
        <v>341</v>
      </c>
      <c r="B53" s="4">
        <v>33096</v>
      </c>
      <c r="C53" s="9">
        <f t="shared" si="1"/>
        <v>8</v>
      </c>
      <c r="D53">
        <f t="shared" si="2"/>
        <v>1990</v>
      </c>
      <c r="E53">
        <f t="shared" si="0"/>
        <v>1</v>
      </c>
      <c r="F53" t="s">
        <v>17</v>
      </c>
      <c r="G53" t="s">
        <v>7</v>
      </c>
      <c r="H53" t="s">
        <v>22</v>
      </c>
      <c r="J53">
        <v>12</v>
      </c>
      <c r="K53">
        <f t="shared" si="3"/>
        <v>12</v>
      </c>
      <c r="R53" t="s">
        <v>1348</v>
      </c>
    </row>
    <row r="54" spans="1:18" x14ac:dyDescent="0.25">
      <c r="A54" t="s">
        <v>341</v>
      </c>
      <c r="B54" s="4">
        <v>33096</v>
      </c>
      <c r="C54" s="9">
        <f t="shared" si="1"/>
        <v>8</v>
      </c>
      <c r="D54">
        <f t="shared" si="2"/>
        <v>1990</v>
      </c>
      <c r="E54">
        <f t="shared" si="0"/>
        <v>0</v>
      </c>
      <c r="F54" t="s">
        <v>17</v>
      </c>
      <c r="G54" t="s">
        <v>7</v>
      </c>
      <c r="H54" t="s">
        <v>22</v>
      </c>
      <c r="J54">
        <v>12</v>
      </c>
      <c r="K54">
        <f t="shared" si="3"/>
        <v>12</v>
      </c>
      <c r="R54" t="s">
        <v>1348</v>
      </c>
    </row>
    <row r="55" spans="1:18" x14ac:dyDescent="0.25">
      <c r="A55" t="s">
        <v>341</v>
      </c>
      <c r="B55" s="4">
        <v>33097</v>
      </c>
      <c r="C55" s="9">
        <f t="shared" si="1"/>
        <v>8</v>
      </c>
      <c r="D55">
        <f t="shared" si="2"/>
        <v>1990</v>
      </c>
      <c r="E55">
        <f t="shared" si="0"/>
        <v>1</v>
      </c>
      <c r="F55" t="s">
        <v>17</v>
      </c>
      <c r="G55" t="s">
        <v>51</v>
      </c>
      <c r="H55" t="s">
        <v>54</v>
      </c>
      <c r="J55">
        <v>7</v>
      </c>
      <c r="K55">
        <f t="shared" si="3"/>
        <v>7</v>
      </c>
      <c r="R55" t="s">
        <v>1348</v>
      </c>
    </row>
    <row r="56" spans="1:18" x14ac:dyDescent="0.25">
      <c r="A56" t="s">
        <v>341</v>
      </c>
      <c r="B56" s="4">
        <v>33097</v>
      </c>
      <c r="C56" s="9">
        <f t="shared" si="1"/>
        <v>8</v>
      </c>
      <c r="D56">
        <f t="shared" si="2"/>
        <v>1990</v>
      </c>
      <c r="E56">
        <f t="shared" si="0"/>
        <v>0</v>
      </c>
      <c r="F56" t="s">
        <v>17</v>
      </c>
      <c r="G56" t="s">
        <v>51</v>
      </c>
      <c r="H56" t="s">
        <v>55</v>
      </c>
      <c r="J56">
        <v>20</v>
      </c>
      <c r="K56">
        <f t="shared" si="3"/>
        <v>20</v>
      </c>
      <c r="R56" t="s">
        <v>1348</v>
      </c>
    </row>
    <row r="57" spans="1:18" x14ac:dyDescent="0.25">
      <c r="A57" t="s">
        <v>341</v>
      </c>
      <c r="B57" s="4">
        <v>33097</v>
      </c>
      <c r="C57" s="9">
        <f t="shared" si="1"/>
        <v>8</v>
      </c>
      <c r="D57">
        <f t="shared" si="2"/>
        <v>1990</v>
      </c>
      <c r="E57">
        <f t="shared" si="0"/>
        <v>0</v>
      </c>
      <c r="F57" t="s">
        <v>17</v>
      </c>
      <c r="G57" t="s">
        <v>7</v>
      </c>
      <c r="H57" t="s">
        <v>22</v>
      </c>
      <c r="J57">
        <v>12</v>
      </c>
      <c r="K57">
        <f t="shared" si="3"/>
        <v>12</v>
      </c>
      <c r="R57" t="s">
        <v>1348</v>
      </c>
    </row>
    <row r="58" spans="1:18" x14ac:dyDescent="0.25">
      <c r="A58" t="s">
        <v>341</v>
      </c>
      <c r="B58" s="4">
        <v>33103</v>
      </c>
      <c r="C58" s="9">
        <f t="shared" si="1"/>
        <v>8</v>
      </c>
      <c r="D58">
        <f t="shared" si="2"/>
        <v>1990</v>
      </c>
      <c r="E58">
        <f t="shared" si="0"/>
        <v>1</v>
      </c>
      <c r="F58" t="s">
        <v>17</v>
      </c>
      <c r="G58" t="s">
        <v>7</v>
      </c>
      <c r="H58" t="s">
        <v>22</v>
      </c>
      <c r="J58">
        <v>12</v>
      </c>
      <c r="K58">
        <f t="shared" si="3"/>
        <v>12</v>
      </c>
      <c r="R58" t="s">
        <v>1348</v>
      </c>
    </row>
    <row r="59" spans="1:18" x14ac:dyDescent="0.25">
      <c r="A59" t="s">
        <v>341</v>
      </c>
      <c r="B59" s="4">
        <v>33103</v>
      </c>
      <c r="C59" s="9">
        <f t="shared" si="1"/>
        <v>8</v>
      </c>
      <c r="D59">
        <f t="shared" si="2"/>
        <v>1990</v>
      </c>
      <c r="E59">
        <f t="shared" si="0"/>
        <v>0</v>
      </c>
      <c r="F59" t="s">
        <v>17</v>
      </c>
      <c r="G59" t="s">
        <v>7</v>
      </c>
      <c r="H59" t="s">
        <v>22</v>
      </c>
      <c r="J59">
        <v>12</v>
      </c>
      <c r="K59">
        <f t="shared" si="3"/>
        <v>12</v>
      </c>
      <c r="R59" t="s">
        <v>1348</v>
      </c>
    </row>
    <row r="60" spans="1:18" x14ac:dyDescent="0.25">
      <c r="A60" t="s">
        <v>341</v>
      </c>
      <c r="B60" s="4">
        <v>33104</v>
      </c>
      <c r="C60" s="9">
        <f t="shared" si="1"/>
        <v>8</v>
      </c>
      <c r="D60">
        <f t="shared" si="2"/>
        <v>1990</v>
      </c>
      <c r="E60">
        <f t="shared" si="0"/>
        <v>1</v>
      </c>
      <c r="F60" t="s">
        <v>17</v>
      </c>
      <c r="G60" t="s">
        <v>7</v>
      </c>
      <c r="H60" t="s">
        <v>56</v>
      </c>
      <c r="J60">
        <v>6</v>
      </c>
      <c r="K60">
        <f t="shared" si="3"/>
        <v>6</v>
      </c>
      <c r="R60" t="s">
        <v>1348</v>
      </c>
    </row>
    <row r="61" spans="1:18" x14ac:dyDescent="0.25">
      <c r="A61" t="s">
        <v>341</v>
      </c>
      <c r="B61" s="4">
        <v>33104</v>
      </c>
      <c r="C61" s="9">
        <f t="shared" si="1"/>
        <v>8</v>
      </c>
      <c r="D61">
        <f t="shared" si="2"/>
        <v>1990</v>
      </c>
      <c r="E61">
        <f t="shared" si="0"/>
        <v>0</v>
      </c>
      <c r="F61" t="s">
        <v>17</v>
      </c>
      <c r="G61" t="s">
        <v>7</v>
      </c>
      <c r="H61" t="s">
        <v>22</v>
      </c>
      <c r="J61">
        <v>12</v>
      </c>
      <c r="K61">
        <f t="shared" si="3"/>
        <v>12</v>
      </c>
      <c r="R61" t="s">
        <v>1348</v>
      </c>
    </row>
    <row r="62" spans="1:18" x14ac:dyDescent="0.25">
      <c r="A62" t="s">
        <v>341</v>
      </c>
      <c r="B62" s="4">
        <v>33104</v>
      </c>
      <c r="C62" s="9">
        <f t="shared" si="1"/>
        <v>8</v>
      </c>
      <c r="D62">
        <f t="shared" si="2"/>
        <v>1990</v>
      </c>
      <c r="E62">
        <f t="shared" si="0"/>
        <v>0</v>
      </c>
      <c r="F62" t="s">
        <v>17</v>
      </c>
      <c r="G62" t="s">
        <v>7</v>
      </c>
      <c r="H62" t="s">
        <v>22</v>
      </c>
      <c r="J62">
        <v>12</v>
      </c>
      <c r="K62">
        <f t="shared" si="3"/>
        <v>12</v>
      </c>
      <c r="R62" t="s">
        <v>1348</v>
      </c>
    </row>
    <row r="63" spans="1:18" x14ac:dyDescent="0.25">
      <c r="A63" t="s">
        <v>341</v>
      </c>
      <c r="B63" s="4">
        <v>33138</v>
      </c>
      <c r="C63" s="9">
        <f t="shared" si="1"/>
        <v>9</v>
      </c>
      <c r="D63">
        <f t="shared" si="2"/>
        <v>1990</v>
      </c>
      <c r="E63">
        <f t="shared" si="0"/>
        <v>1</v>
      </c>
      <c r="F63" t="s">
        <v>17</v>
      </c>
      <c r="G63" t="s">
        <v>52</v>
      </c>
      <c r="H63" t="s">
        <v>55</v>
      </c>
      <c r="J63">
        <v>12</v>
      </c>
      <c r="K63">
        <f t="shared" si="3"/>
        <v>12</v>
      </c>
      <c r="R63" t="s">
        <v>1348</v>
      </c>
    </row>
    <row r="64" spans="1:18" x14ac:dyDescent="0.25">
      <c r="A64" t="s">
        <v>341</v>
      </c>
      <c r="B64" s="4">
        <v>33145</v>
      </c>
      <c r="C64" s="9">
        <f t="shared" si="1"/>
        <v>9</v>
      </c>
      <c r="D64">
        <f t="shared" si="2"/>
        <v>1990</v>
      </c>
      <c r="E64">
        <f t="shared" si="0"/>
        <v>1</v>
      </c>
      <c r="F64" t="s">
        <v>17</v>
      </c>
      <c r="G64" t="s">
        <v>53</v>
      </c>
      <c r="H64" t="s">
        <v>57</v>
      </c>
      <c r="J64">
        <v>12</v>
      </c>
      <c r="K64">
        <f t="shared" si="3"/>
        <v>12</v>
      </c>
      <c r="M64" t="s">
        <v>58</v>
      </c>
      <c r="R64" t="s">
        <v>1348</v>
      </c>
    </row>
    <row r="65" spans="1:18" x14ac:dyDescent="0.25">
      <c r="A65" t="s">
        <v>341</v>
      </c>
      <c r="B65" s="4">
        <v>33145</v>
      </c>
      <c r="C65" s="9">
        <f t="shared" si="1"/>
        <v>9</v>
      </c>
      <c r="D65">
        <f t="shared" si="2"/>
        <v>1990</v>
      </c>
      <c r="E65">
        <f t="shared" si="0"/>
        <v>0</v>
      </c>
      <c r="F65" t="s">
        <v>17</v>
      </c>
      <c r="G65" t="s">
        <v>7</v>
      </c>
      <c r="H65" t="s">
        <v>22</v>
      </c>
      <c r="J65">
        <v>12</v>
      </c>
      <c r="K65">
        <f t="shared" si="3"/>
        <v>12</v>
      </c>
      <c r="R65" t="s">
        <v>1348</v>
      </c>
    </row>
    <row r="66" spans="1:18" x14ac:dyDescent="0.25">
      <c r="A66" t="s">
        <v>341</v>
      </c>
      <c r="B66" s="4">
        <v>33146</v>
      </c>
      <c r="C66" s="9">
        <f t="shared" si="1"/>
        <v>9</v>
      </c>
      <c r="D66">
        <f t="shared" si="2"/>
        <v>1990</v>
      </c>
      <c r="E66">
        <f t="shared" ref="E66:E129" si="4">IF(OR(A66 = "GS",A66 = "BP"),IF( OR(A65="GS",A65="BP"),IF(B65=B66,0,1),1),0)</f>
        <v>1</v>
      </c>
      <c r="F66" t="s">
        <v>17</v>
      </c>
      <c r="G66" t="s">
        <v>7</v>
      </c>
      <c r="H66" t="s">
        <v>57</v>
      </c>
      <c r="J66">
        <v>12</v>
      </c>
      <c r="K66">
        <f t="shared" si="3"/>
        <v>12</v>
      </c>
      <c r="M66" t="s">
        <v>58</v>
      </c>
      <c r="R66" t="s">
        <v>1348</v>
      </c>
    </row>
    <row r="67" spans="1:18" x14ac:dyDescent="0.25">
      <c r="A67" t="s">
        <v>341</v>
      </c>
      <c r="B67" s="4">
        <v>33146</v>
      </c>
      <c r="C67" s="9">
        <f t="shared" ref="C67:C130" si="5">MONTH(B67)</f>
        <v>9</v>
      </c>
      <c r="D67">
        <f t="shared" ref="D67:D130" si="6">YEAR(B67)</f>
        <v>1990</v>
      </c>
      <c r="E67">
        <f t="shared" si="4"/>
        <v>0</v>
      </c>
      <c r="F67" t="s">
        <v>17</v>
      </c>
      <c r="G67" t="s">
        <v>52</v>
      </c>
      <c r="H67" t="s">
        <v>22</v>
      </c>
      <c r="J67">
        <v>11</v>
      </c>
      <c r="K67">
        <f t="shared" ref="K67:K130" si="7">I67*60+J67</f>
        <v>11</v>
      </c>
      <c r="R67" t="s">
        <v>1348</v>
      </c>
    </row>
    <row r="68" spans="1:18" x14ac:dyDescent="0.25">
      <c r="A68" t="s">
        <v>341</v>
      </c>
      <c r="B68" s="4">
        <v>33160</v>
      </c>
      <c r="C68" s="9">
        <f t="shared" si="5"/>
        <v>10</v>
      </c>
      <c r="D68">
        <f t="shared" si="6"/>
        <v>1990</v>
      </c>
      <c r="E68">
        <f t="shared" si="4"/>
        <v>1</v>
      </c>
      <c r="F68" t="s">
        <v>17</v>
      </c>
      <c r="G68" t="s">
        <v>7</v>
      </c>
      <c r="H68" t="s">
        <v>22</v>
      </c>
      <c r="J68">
        <v>12</v>
      </c>
      <c r="K68">
        <f t="shared" si="7"/>
        <v>12</v>
      </c>
      <c r="R68" t="s">
        <v>1348</v>
      </c>
    </row>
    <row r="69" spans="1:18" x14ac:dyDescent="0.25">
      <c r="A69" t="s">
        <v>341</v>
      </c>
      <c r="B69" s="4">
        <v>33160</v>
      </c>
      <c r="C69" s="9">
        <f t="shared" si="5"/>
        <v>10</v>
      </c>
      <c r="D69">
        <f t="shared" si="6"/>
        <v>1990</v>
      </c>
      <c r="E69">
        <f t="shared" si="4"/>
        <v>0</v>
      </c>
      <c r="F69" t="s">
        <v>17</v>
      </c>
      <c r="G69" t="s">
        <v>7</v>
      </c>
      <c r="H69" t="s">
        <v>22</v>
      </c>
      <c r="J69">
        <v>12</v>
      </c>
      <c r="K69">
        <f t="shared" si="7"/>
        <v>12</v>
      </c>
      <c r="R69" t="s">
        <v>1348</v>
      </c>
    </row>
    <row r="70" spans="1:18" x14ac:dyDescent="0.25">
      <c r="A70" t="s">
        <v>341</v>
      </c>
      <c r="B70" s="4">
        <v>33404</v>
      </c>
      <c r="C70" s="9">
        <f t="shared" si="5"/>
        <v>6</v>
      </c>
      <c r="D70">
        <f t="shared" si="6"/>
        <v>1991</v>
      </c>
      <c r="E70">
        <f t="shared" si="4"/>
        <v>1</v>
      </c>
      <c r="F70" t="s">
        <v>17</v>
      </c>
      <c r="G70" t="s">
        <v>7</v>
      </c>
      <c r="H70" t="s">
        <v>22</v>
      </c>
      <c r="J70">
        <v>15</v>
      </c>
      <c r="K70">
        <f t="shared" si="7"/>
        <v>15</v>
      </c>
      <c r="R70" t="s">
        <v>1348</v>
      </c>
    </row>
    <row r="71" spans="1:18" x14ac:dyDescent="0.25">
      <c r="A71" t="s">
        <v>341</v>
      </c>
      <c r="B71" s="4">
        <v>33404</v>
      </c>
      <c r="C71" s="9">
        <f t="shared" si="5"/>
        <v>6</v>
      </c>
      <c r="D71">
        <f t="shared" si="6"/>
        <v>1991</v>
      </c>
      <c r="E71">
        <f t="shared" si="4"/>
        <v>0</v>
      </c>
      <c r="F71" t="s">
        <v>17</v>
      </c>
      <c r="G71" t="s">
        <v>7</v>
      </c>
      <c r="H71" t="s">
        <v>22</v>
      </c>
      <c r="J71">
        <v>15</v>
      </c>
      <c r="K71">
        <f t="shared" si="7"/>
        <v>15</v>
      </c>
      <c r="R71" t="s">
        <v>1348</v>
      </c>
    </row>
    <row r="72" spans="1:18" x14ac:dyDescent="0.25">
      <c r="A72" t="s">
        <v>341</v>
      </c>
      <c r="B72" s="4">
        <v>33404</v>
      </c>
      <c r="C72" s="9">
        <f t="shared" si="5"/>
        <v>6</v>
      </c>
      <c r="D72">
        <f t="shared" si="6"/>
        <v>1991</v>
      </c>
      <c r="E72">
        <f t="shared" si="4"/>
        <v>0</v>
      </c>
      <c r="F72" t="s">
        <v>17</v>
      </c>
      <c r="G72" t="s">
        <v>7</v>
      </c>
      <c r="H72" t="s">
        <v>22</v>
      </c>
      <c r="J72">
        <v>20</v>
      </c>
      <c r="K72">
        <f t="shared" si="7"/>
        <v>20</v>
      </c>
      <c r="M72" t="s">
        <v>63</v>
      </c>
      <c r="R72" t="s">
        <v>1348</v>
      </c>
    </row>
    <row r="73" spans="1:18" x14ac:dyDescent="0.25">
      <c r="A73" t="s">
        <v>341</v>
      </c>
      <c r="B73" s="4">
        <v>33415</v>
      </c>
      <c r="C73" s="9">
        <f t="shared" si="5"/>
        <v>6</v>
      </c>
      <c r="D73">
        <f t="shared" si="6"/>
        <v>1991</v>
      </c>
      <c r="E73">
        <f t="shared" si="4"/>
        <v>1</v>
      </c>
      <c r="F73" t="s">
        <v>17</v>
      </c>
      <c r="G73" t="s">
        <v>59</v>
      </c>
      <c r="H73" t="s">
        <v>61</v>
      </c>
      <c r="J73">
        <v>8</v>
      </c>
      <c r="K73">
        <f t="shared" si="7"/>
        <v>8</v>
      </c>
      <c r="R73" t="s">
        <v>1348</v>
      </c>
    </row>
    <row r="74" spans="1:18" x14ac:dyDescent="0.25">
      <c r="A74" t="s">
        <v>341</v>
      </c>
      <c r="B74" s="4">
        <v>33415</v>
      </c>
      <c r="C74" s="9">
        <f t="shared" si="5"/>
        <v>6</v>
      </c>
      <c r="D74">
        <f t="shared" si="6"/>
        <v>1991</v>
      </c>
      <c r="E74">
        <f t="shared" si="4"/>
        <v>0</v>
      </c>
      <c r="F74" t="s">
        <v>17</v>
      </c>
      <c r="G74" t="s">
        <v>59</v>
      </c>
      <c r="H74" t="s">
        <v>61</v>
      </c>
      <c r="J74">
        <v>12</v>
      </c>
      <c r="K74">
        <f t="shared" si="7"/>
        <v>12</v>
      </c>
      <c r="M74" t="s">
        <v>64</v>
      </c>
      <c r="R74" t="s">
        <v>1348</v>
      </c>
    </row>
    <row r="75" spans="1:18" x14ac:dyDescent="0.25">
      <c r="A75" t="s">
        <v>341</v>
      </c>
      <c r="B75" s="4">
        <v>33415</v>
      </c>
      <c r="C75" s="9">
        <f t="shared" si="5"/>
        <v>6</v>
      </c>
      <c r="D75">
        <f t="shared" si="6"/>
        <v>1991</v>
      </c>
      <c r="E75">
        <f t="shared" si="4"/>
        <v>0</v>
      </c>
      <c r="F75" t="s">
        <v>17</v>
      </c>
      <c r="G75" t="s">
        <v>59</v>
      </c>
      <c r="H75" t="s">
        <v>61</v>
      </c>
      <c r="J75">
        <v>8</v>
      </c>
      <c r="K75">
        <f t="shared" si="7"/>
        <v>8</v>
      </c>
      <c r="R75" t="s">
        <v>1348</v>
      </c>
    </row>
    <row r="76" spans="1:18" x14ac:dyDescent="0.25">
      <c r="A76" t="s">
        <v>341</v>
      </c>
      <c r="B76" s="4">
        <v>33419</v>
      </c>
      <c r="C76" s="9">
        <f t="shared" si="5"/>
        <v>6</v>
      </c>
      <c r="D76">
        <f t="shared" si="6"/>
        <v>1991</v>
      </c>
      <c r="E76">
        <f t="shared" si="4"/>
        <v>1</v>
      </c>
      <c r="F76" t="s">
        <v>17</v>
      </c>
      <c r="G76" t="s">
        <v>7</v>
      </c>
      <c r="H76" t="s">
        <v>22</v>
      </c>
      <c r="J76">
        <v>12</v>
      </c>
      <c r="K76">
        <f t="shared" si="7"/>
        <v>12</v>
      </c>
      <c r="R76" t="s">
        <v>1348</v>
      </c>
    </row>
    <row r="77" spans="1:18" x14ac:dyDescent="0.25">
      <c r="A77" t="s">
        <v>341</v>
      </c>
      <c r="B77" s="4">
        <v>33419</v>
      </c>
      <c r="C77" s="9">
        <f t="shared" si="5"/>
        <v>6</v>
      </c>
      <c r="D77">
        <f t="shared" si="6"/>
        <v>1991</v>
      </c>
      <c r="E77">
        <f t="shared" si="4"/>
        <v>0</v>
      </c>
      <c r="F77" t="s">
        <v>17</v>
      </c>
      <c r="G77" t="s">
        <v>7</v>
      </c>
      <c r="H77" t="s">
        <v>22</v>
      </c>
      <c r="J77">
        <v>12</v>
      </c>
      <c r="K77">
        <f t="shared" si="7"/>
        <v>12</v>
      </c>
      <c r="M77" t="s">
        <v>65</v>
      </c>
      <c r="R77" t="s">
        <v>1348</v>
      </c>
    </row>
    <row r="78" spans="1:18" x14ac:dyDescent="0.25">
      <c r="A78" t="s">
        <v>341</v>
      </c>
      <c r="B78" s="4">
        <v>33419</v>
      </c>
      <c r="C78" s="9">
        <f t="shared" si="5"/>
        <v>6</v>
      </c>
      <c r="D78">
        <f t="shared" si="6"/>
        <v>1991</v>
      </c>
      <c r="E78">
        <f t="shared" si="4"/>
        <v>0</v>
      </c>
      <c r="F78" t="s">
        <v>17</v>
      </c>
      <c r="G78" t="s">
        <v>7</v>
      </c>
      <c r="H78" t="s">
        <v>22</v>
      </c>
      <c r="J78">
        <v>12</v>
      </c>
      <c r="K78">
        <f t="shared" si="7"/>
        <v>12</v>
      </c>
      <c r="R78" t="s">
        <v>1348</v>
      </c>
    </row>
    <row r="79" spans="1:18" x14ac:dyDescent="0.25">
      <c r="A79" t="s">
        <v>341</v>
      </c>
      <c r="B79" s="4">
        <v>33426</v>
      </c>
      <c r="C79" s="9">
        <f t="shared" si="5"/>
        <v>7</v>
      </c>
      <c r="D79">
        <f t="shared" si="6"/>
        <v>1991</v>
      </c>
      <c r="E79">
        <f t="shared" si="4"/>
        <v>1</v>
      </c>
      <c r="F79" t="s">
        <v>17</v>
      </c>
      <c r="G79" t="s">
        <v>60</v>
      </c>
      <c r="H79" t="s">
        <v>62</v>
      </c>
      <c r="J79">
        <v>10</v>
      </c>
      <c r="K79">
        <f t="shared" si="7"/>
        <v>10</v>
      </c>
      <c r="M79" t="s">
        <v>64</v>
      </c>
      <c r="R79" t="s">
        <v>1348</v>
      </c>
    </row>
    <row r="80" spans="1:18" x14ac:dyDescent="0.25">
      <c r="A80" t="s">
        <v>341</v>
      </c>
      <c r="B80" s="4">
        <v>33426</v>
      </c>
      <c r="C80" s="9">
        <f t="shared" si="5"/>
        <v>7</v>
      </c>
      <c r="D80">
        <f t="shared" si="6"/>
        <v>1991</v>
      </c>
      <c r="E80">
        <f t="shared" si="4"/>
        <v>0</v>
      </c>
      <c r="F80" t="s">
        <v>17</v>
      </c>
      <c r="G80" t="s">
        <v>60</v>
      </c>
      <c r="H80" t="s">
        <v>62</v>
      </c>
      <c r="J80">
        <v>10</v>
      </c>
      <c r="K80">
        <f t="shared" si="7"/>
        <v>10</v>
      </c>
      <c r="M80" t="s">
        <v>66</v>
      </c>
      <c r="R80" t="s">
        <v>1348</v>
      </c>
    </row>
    <row r="81" spans="1:19" x14ac:dyDescent="0.25">
      <c r="A81" t="s">
        <v>341</v>
      </c>
      <c r="B81" s="4">
        <v>33447</v>
      </c>
      <c r="C81" s="9">
        <f t="shared" si="5"/>
        <v>7</v>
      </c>
      <c r="D81">
        <f t="shared" si="6"/>
        <v>1991</v>
      </c>
      <c r="E81">
        <f t="shared" si="4"/>
        <v>1</v>
      </c>
      <c r="F81" t="s">
        <v>17</v>
      </c>
      <c r="G81" t="s">
        <v>7</v>
      </c>
      <c r="H81" t="s">
        <v>22</v>
      </c>
      <c r="J81">
        <v>12</v>
      </c>
      <c r="K81">
        <f t="shared" si="7"/>
        <v>12</v>
      </c>
      <c r="R81" t="s">
        <v>1348</v>
      </c>
    </row>
    <row r="82" spans="1:19" x14ac:dyDescent="0.25">
      <c r="A82" t="s">
        <v>341</v>
      </c>
      <c r="B82" s="4">
        <v>33447</v>
      </c>
      <c r="C82" s="9">
        <f t="shared" si="5"/>
        <v>7</v>
      </c>
      <c r="D82">
        <f t="shared" si="6"/>
        <v>1991</v>
      </c>
      <c r="E82">
        <f t="shared" si="4"/>
        <v>0</v>
      </c>
      <c r="F82" t="s">
        <v>17</v>
      </c>
      <c r="G82" t="s">
        <v>7</v>
      </c>
      <c r="H82" t="s">
        <v>22</v>
      </c>
      <c r="J82">
        <v>20</v>
      </c>
      <c r="K82">
        <f t="shared" si="7"/>
        <v>20</v>
      </c>
      <c r="R82" t="s">
        <v>1348</v>
      </c>
    </row>
    <row r="83" spans="1:19" x14ac:dyDescent="0.25">
      <c r="A83" t="s">
        <v>341</v>
      </c>
      <c r="B83" s="4">
        <v>33455</v>
      </c>
      <c r="C83" s="9">
        <f t="shared" si="5"/>
        <v>8</v>
      </c>
      <c r="D83">
        <f t="shared" si="6"/>
        <v>1991</v>
      </c>
      <c r="E83">
        <f t="shared" si="4"/>
        <v>1</v>
      </c>
      <c r="F83" t="s">
        <v>17</v>
      </c>
      <c r="G83" t="s">
        <v>7</v>
      </c>
      <c r="H83" t="s">
        <v>22</v>
      </c>
      <c r="J83">
        <v>20</v>
      </c>
      <c r="K83">
        <f t="shared" si="7"/>
        <v>20</v>
      </c>
      <c r="R83" t="s">
        <v>1348</v>
      </c>
    </row>
    <row r="84" spans="1:19" x14ac:dyDescent="0.25">
      <c r="A84" t="s">
        <v>341</v>
      </c>
      <c r="B84" s="4">
        <v>33468</v>
      </c>
      <c r="C84" s="9">
        <f t="shared" si="5"/>
        <v>8</v>
      </c>
      <c r="D84">
        <f t="shared" si="6"/>
        <v>1991</v>
      </c>
      <c r="E84">
        <f t="shared" si="4"/>
        <v>1</v>
      </c>
      <c r="F84" t="s">
        <v>17</v>
      </c>
      <c r="G84" t="s">
        <v>7</v>
      </c>
      <c r="H84" t="s">
        <v>19</v>
      </c>
      <c r="J84">
        <v>14</v>
      </c>
      <c r="K84">
        <f t="shared" si="7"/>
        <v>14</v>
      </c>
      <c r="M84" t="s">
        <v>67</v>
      </c>
      <c r="R84" t="s">
        <v>1348</v>
      </c>
    </row>
    <row r="85" spans="1:19" x14ac:dyDescent="0.25">
      <c r="A85" t="s">
        <v>341</v>
      </c>
      <c r="B85" s="4">
        <v>33468</v>
      </c>
      <c r="C85" s="9">
        <f t="shared" si="5"/>
        <v>8</v>
      </c>
      <c r="D85">
        <f t="shared" si="6"/>
        <v>1991</v>
      </c>
      <c r="E85">
        <f t="shared" si="4"/>
        <v>0</v>
      </c>
      <c r="F85" t="s">
        <v>17</v>
      </c>
      <c r="G85" t="s">
        <v>7</v>
      </c>
      <c r="H85" t="s">
        <v>22</v>
      </c>
      <c r="J85">
        <v>11</v>
      </c>
      <c r="K85">
        <f t="shared" si="7"/>
        <v>11</v>
      </c>
      <c r="M85" t="s">
        <v>68</v>
      </c>
      <c r="R85" t="s">
        <v>1348</v>
      </c>
    </row>
    <row r="86" spans="1:19" x14ac:dyDescent="0.25">
      <c r="A86" t="s">
        <v>341</v>
      </c>
      <c r="B86" s="4">
        <v>33768</v>
      </c>
      <c r="C86" s="9">
        <f t="shared" si="5"/>
        <v>6</v>
      </c>
      <c r="D86">
        <f t="shared" si="6"/>
        <v>1992</v>
      </c>
      <c r="E86">
        <v>1</v>
      </c>
      <c r="F86" t="s">
        <v>17</v>
      </c>
      <c r="G86" t="s">
        <v>69</v>
      </c>
      <c r="H86" t="s">
        <v>69</v>
      </c>
      <c r="J86">
        <v>2</v>
      </c>
      <c r="K86">
        <f t="shared" si="7"/>
        <v>2</v>
      </c>
      <c r="M86" t="s">
        <v>70</v>
      </c>
      <c r="R86" t="s">
        <v>1348</v>
      </c>
      <c r="S86" t="s">
        <v>1367</v>
      </c>
    </row>
    <row r="87" spans="1:19" x14ac:dyDescent="0.25">
      <c r="A87" t="s">
        <v>341</v>
      </c>
      <c r="B87" s="4">
        <v>33768</v>
      </c>
      <c r="C87" s="9">
        <f t="shared" si="5"/>
        <v>6</v>
      </c>
      <c r="D87">
        <f t="shared" si="6"/>
        <v>1992</v>
      </c>
      <c r="E87">
        <f t="shared" si="4"/>
        <v>0</v>
      </c>
      <c r="F87" t="s">
        <v>17</v>
      </c>
      <c r="G87" t="s">
        <v>69</v>
      </c>
      <c r="H87" t="s">
        <v>69</v>
      </c>
      <c r="J87">
        <v>2</v>
      </c>
      <c r="K87">
        <f t="shared" si="7"/>
        <v>2</v>
      </c>
      <c r="M87" t="s">
        <v>70</v>
      </c>
      <c r="R87" t="s">
        <v>1348</v>
      </c>
      <c r="S87" t="s">
        <v>1367</v>
      </c>
    </row>
    <row r="88" spans="1:19" x14ac:dyDescent="0.25">
      <c r="A88" t="s">
        <v>341</v>
      </c>
      <c r="B88" s="4">
        <v>34178</v>
      </c>
      <c r="C88" s="9">
        <f t="shared" si="5"/>
        <v>7</v>
      </c>
      <c r="D88">
        <f t="shared" si="6"/>
        <v>1993</v>
      </c>
      <c r="E88">
        <f t="shared" si="4"/>
        <v>1</v>
      </c>
      <c r="F88" t="s">
        <v>17</v>
      </c>
      <c r="G88" t="s">
        <v>7</v>
      </c>
      <c r="H88" t="s">
        <v>22</v>
      </c>
      <c r="J88">
        <v>10</v>
      </c>
      <c r="K88">
        <f t="shared" si="7"/>
        <v>10</v>
      </c>
      <c r="R88" t="s">
        <v>1348</v>
      </c>
    </row>
    <row r="89" spans="1:19" x14ac:dyDescent="0.25">
      <c r="A89" t="s">
        <v>341</v>
      </c>
      <c r="B89" s="4">
        <v>34179</v>
      </c>
      <c r="C89" s="9">
        <f t="shared" si="5"/>
        <v>7</v>
      </c>
      <c r="D89">
        <f t="shared" si="6"/>
        <v>1993</v>
      </c>
      <c r="E89">
        <f t="shared" si="4"/>
        <v>1</v>
      </c>
      <c r="F89" t="s">
        <v>17</v>
      </c>
      <c r="G89" t="s">
        <v>7</v>
      </c>
      <c r="H89" t="s">
        <v>22</v>
      </c>
      <c r="J89">
        <v>10</v>
      </c>
      <c r="K89">
        <f t="shared" si="7"/>
        <v>10</v>
      </c>
      <c r="R89" t="s">
        <v>1348</v>
      </c>
    </row>
    <row r="90" spans="1:19" x14ac:dyDescent="0.25">
      <c r="A90" t="s">
        <v>341</v>
      </c>
      <c r="B90" s="4">
        <v>34180</v>
      </c>
      <c r="C90" s="9">
        <f t="shared" si="5"/>
        <v>7</v>
      </c>
      <c r="D90">
        <f t="shared" si="6"/>
        <v>1993</v>
      </c>
      <c r="E90">
        <f t="shared" si="4"/>
        <v>1</v>
      </c>
      <c r="F90" t="s">
        <v>17</v>
      </c>
      <c r="G90" t="s">
        <v>7</v>
      </c>
      <c r="H90" t="s">
        <v>22</v>
      </c>
      <c r="J90">
        <v>10</v>
      </c>
      <c r="K90">
        <f t="shared" si="7"/>
        <v>10</v>
      </c>
      <c r="R90" t="s">
        <v>1348</v>
      </c>
    </row>
    <row r="91" spans="1:19" x14ac:dyDescent="0.25">
      <c r="A91" t="s">
        <v>341</v>
      </c>
      <c r="B91" s="4">
        <v>34196</v>
      </c>
      <c r="C91" s="9">
        <f t="shared" si="5"/>
        <v>8</v>
      </c>
      <c r="D91">
        <f t="shared" si="6"/>
        <v>1993</v>
      </c>
      <c r="E91">
        <f t="shared" si="4"/>
        <v>1</v>
      </c>
      <c r="F91" t="s">
        <v>17</v>
      </c>
      <c r="G91" t="s">
        <v>71</v>
      </c>
      <c r="H91" t="s">
        <v>72</v>
      </c>
      <c r="J91">
        <v>38</v>
      </c>
      <c r="K91">
        <f t="shared" si="7"/>
        <v>38</v>
      </c>
      <c r="R91" t="s">
        <v>1348</v>
      </c>
    </row>
    <row r="92" spans="1:19" x14ac:dyDescent="0.25">
      <c r="A92" t="s">
        <v>341</v>
      </c>
      <c r="B92" s="4">
        <v>34210</v>
      </c>
      <c r="C92" s="9">
        <f t="shared" si="5"/>
        <v>8</v>
      </c>
      <c r="D92">
        <f t="shared" si="6"/>
        <v>1993</v>
      </c>
      <c r="E92">
        <f t="shared" si="4"/>
        <v>1</v>
      </c>
      <c r="F92" t="s">
        <v>17</v>
      </c>
      <c r="G92" t="s">
        <v>71</v>
      </c>
      <c r="H92" t="s">
        <v>72</v>
      </c>
      <c r="J92">
        <v>10</v>
      </c>
      <c r="K92">
        <f t="shared" si="7"/>
        <v>10</v>
      </c>
      <c r="M92" t="s">
        <v>74</v>
      </c>
      <c r="R92" t="s">
        <v>1348</v>
      </c>
    </row>
    <row r="93" spans="1:19" x14ac:dyDescent="0.25">
      <c r="A93" t="s">
        <v>341</v>
      </c>
      <c r="B93" s="4">
        <v>34214</v>
      </c>
      <c r="C93" s="9">
        <f t="shared" si="5"/>
        <v>9</v>
      </c>
      <c r="D93">
        <f t="shared" si="6"/>
        <v>1993</v>
      </c>
      <c r="E93">
        <f t="shared" si="4"/>
        <v>1</v>
      </c>
      <c r="F93" t="s">
        <v>17</v>
      </c>
      <c r="G93" t="s">
        <v>71</v>
      </c>
      <c r="H93" t="s">
        <v>72</v>
      </c>
      <c r="J93">
        <v>12</v>
      </c>
      <c r="K93">
        <f t="shared" si="7"/>
        <v>12</v>
      </c>
      <c r="R93" t="s">
        <v>1348</v>
      </c>
    </row>
    <row r="94" spans="1:19" x14ac:dyDescent="0.25">
      <c r="A94" t="s">
        <v>341</v>
      </c>
      <c r="B94" s="4">
        <v>34219</v>
      </c>
      <c r="C94" s="9">
        <f t="shared" si="5"/>
        <v>9</v>
      </c>
      <c r="D94">
        <f t="shared" si="6"/>
        <v>1993</v>
      </c>
      <c r="E94">
        <f t="shared" si="4"/>
        <v>1</v>
      </c>
      <c r="F94" t="s">
        <v>17</v>
      </c>
      <c r="G94" t="s">
        <v>71</v>
      </c>
      <c r="H94" t="s">
        <v>72</v>
      </c>
      <c r="J94">
        <v>12</v>
      </c>
      <c r="K94">
        <f t="shared" si="7"/>
        <v>12</v>
      </c>
      <c r="M94" t="s">
        <v>75</v>
      </c>
      <c r="R94" t="s">
        <v>1348</v>
      </c>
    </row>
    <row r="95" spans="1:19" x14ac:dyDescent="0.25">
      <c r="A95" t="s">
        <v>341</v>
      </c>
      <c r="B95" s="4">
        <v>34233</v>
      </c>
      <c r="C95" s="9">
        <f t="shared" si="5"/>
        <v>9</v>
      </c>
      <c r="D95">
        <f t="shared" si="6"/>
        <v>1993</v>
      </c>
      <c r="E95">
        <f t="shared" si="4"/>
        <v>1</v>
      </c>
      <c r="F95" t="s">
        <v>17</v>
      </c>
      <c r="G95" t="s">
        <v>71</v>
      </c>
      <c r="H95" t="s">
        <v>73</v>
      </c>
      <c r="J95">
        <v>10</v>
      </c>
      <c r="K95">
        <f t="shared" si="7"/>
        <v>10</v>
      </c>
      <c r="R95" t="s">
        <v>1348</v>
      </c>
    </row>
    <row r="96" spans="1:19" x14ac:dyDescent="0.25">
      <c r="A96" t="s">
        <v>341</v>
      </c>
      <c r="B96" s="4">
        <v>34482</v>
      </c>
      <c r="C96" s="9">
        <f t="shared" si="5"/>
        <v>5</v>
      </c>
      <c r="D96">
        <f t="shared" si="6"/>
        <v>1994</v>
      </c>
      <c r="E96">
        <f t="shared" si="4"/>
        <v>1</v>
      </c>
      <c r="F96" t="s">
        <v>17</v>
      </c>
      <c r="G96" t="s">
        <v>7</v>
      </c>
      <c r="H96" t="s">
        <v>55</v>
      </c>
      <c r="J96">
        <v>13</v>
      </c>
      <c r="K96">
        <f t="shared" si="7"/>
        <v>13</v>
      </c>
      <c r="R96" t="s">
        <v>1348</v>
      </c>
    </row>
    <row r="97" spans="1:19" x14ac:dyDescent="0.25">
      <c r="A97" t="s">
        <v>341</v>
      </c>
      <c r="B97" s="4">
        <v>34509</v>
      </c>
      <c r="C97" s="9">
        <f t="shared" si="5"/>
        <v>6</v>
      </c>
      <c r="D97">
        <f t="shared" si="6"/>
        <v>1994</v>
      </c>
      <c r="E97">
        <f t="shared" si="4"/>
        <v>1</v>
      </c>
      <c r="F97" t="s">
        <v>17</v>
      </c>
      <c r="G97" t="s">
        <v>87</v>
      </c>
      <c r="H97" t="s">
        <v>93</v>
      </c>
      <c r="J97">
        <v>15</v>
      </c>
      <c r="K97">
        <f t="shared" si="7"/>
        <v>15</v>
      </c>
      <c r="R97" t="s">
        <v>1348</v>
      </c>
    </row>
    <row r="98" spans="1:19" x14ac:dyDescent="0.25">
      <c r="A98" t="s">
        <v>341</v>
      </c>
      <c r="B98" s="4">
        <v>34509</v>
      </c>
      <c r="C98" s="9">
        <f t="shared" si="5"/>
        <v>6</v>
      </c>
      <c r="D98">
        <f t="shared" si="6"/>
        <v>1994</v>
      </c>
      <c r="E98">
        <f t="shared" si="4"/>
        <v>0</v>
      </c>
      <c r="F98" t="s">
        <v>17</v>
      </c>
      <c r="G98" t="s">
        <v>87</v>
      </c>
      <c r="H98" t="s">
        <v>93</v>
      </c>
      <c r="J98">
        <v>15</v>
      </c>
      <c r="K98">
        <f t="shared" si="7"/>
        <v>15</v>
      </c>
      <c r="R98" t="s">
        <v>1348</v>
      </c>
    </row>
    <row r="99" spans="1:19" x14ac:dyDescent="0.25">
      <c r="A99" t="s">
        <v>341</v>
      </c>
      <c r="B99" s="4">
        <v>34530</v>
      </c>
      <c r="C99" s="9">
        <f t="shared" si="5"/>
        <v>7</v>
      </c>
      <c r="D99">
        <f t="shared" si="6"/>
        <v>1994</v>
      </c>
      <c r="E99">
        <f t="shared" si="4"/>
        <v>1</v>
      </c>
      <c r="F99" t="s">
        <v>17</v>
      </c>
      <c r="G99" t="s">
        <v>88</v>
      </c>
      <c r="H99" t="s">
        <v>94</v>
      </c>
      <c r="J99">
        <v>16</v>
      </c>
      <c r="K99">
        <f t="shared" si="7"/>
        <v>16</v>
      </c>
      <c r="R99" t="s">
        <v>1348</v>
      </c>
    </row>
    <row r="100" spans="1:19" x14ac:dyDescent="0.25">
      <c r="A100" t="s">
        <v>341</v>
      </c>
      <c r="B100" s="4">
        <v>34530</v>
      </c>
      <c r="C100" s="9">
        <f t="shared" si="5"/>
        <v>7</v>
      </c>
      <c r="D100">
        <f t="shared" si="6"/>
        <v>1994</v>
      </c>
      <c r="E100">
        <f t="shared" si="4"/>
        <v>0</v>
      </c>
      <c r="F100" t="s">
        <v>17</v>
      </c>
      <c r="G100" t="s">
        <v>88</v>
      </c>
      <c r="H100" t="s">
        <v>94</v>
      </c>
      <c r="J100">
        <v>15</v>
      </c>
      <c r="K100">
        <f t="shared" si="7"/>
        <v>15</v>
      </c>
      <c r="M100" t="s">
        <v>135</v>
      </c>
      <c r="R100" t="s">
        <v>1348</v>
      </c>
    </row>
    <row r="101" spans="1:19" x14ac:dyDescent="0.25">
      <c r="A101" t="s">
        <v>341</v>
      </c>
      <c r="B101" s="4">
        <v>34552</v>
      </c>
      <c r="C101" s="9">
        <f t="shared" si="5"/>
        <v>8</v>
      </c>
      <c r="D101">
        <f t="shared" si="6"/>
        <v>1994</v>
      </c>
      <c r="E101">
        <v>1</v>
      </c>
      <c r="F101" t="s">
        <v>17</v>
      </c>
      <c r="G101" t="s">
        <v>89</v>
      </c>
      <c r="H101" t="s">
        <v>95</v>
      </c>
      <c r="J101">
        <v>15</v>
      </c>
      <c r="K101">
        <f t="shared" si="7"/>
        <v>15</v>
      </c>
      <c r="L101" t="s">
        <v>130</v>
      </c>
      <c r="R101" t="s">
        <v>1348</v>
      </c>
      <c r="S101" t="s">
        <v>1367</v>
      </c>
    </row>
    <row r="102" spans="1:19" x14ac:dyDescent="0.25">
      <c r="A102" t="s">
        <v>341</v>
      </c>
      <c r="B102" s="4">
        <v>34552</v>
      </c>
      <c r="C102" s="9">
        <f t="shared" si="5"/>
        <v>8</v>
      </c>
      <c r="D102">
        <f t="shared" si="6"/>
        <v>1994</v>
      </c>
      <c r="E102">
        <f t="shared" si="4"/>
        <v>0</v>
      </c>
      <c r="F102" t="s">
        <v>17</v>
      </c>
      <c r="G102" t="s">
        <v>89</v>
      </c>
      <c r="H102" t="s">
        <v>95</v>
      </c>
      <c r="J102">
        <v>15</v>
      </c>
      <c r="K102">
        <f t="shared" si="7"/>
        <v>15</v>
      </c>
      <c r="L102" t="s">
        <v>130</v>
      </c>
      <c r="R102" t="s">
        <v>1348</v>
      </c>
      <c r="S102" t="s">
        <v>1367</v>
      </c>
    </row>
    <row r="103" spans="1:19" x14ac:dyDescent="0.25">
      <c r="A103" t="s">
        <v>341</v>
      </c>
      <c r="B103" s="4">
        <v>34553</v>
      </c>
      <c r="C103" s="9">
        <f t="shared" si="5"/>
        <v>8</v>
      </c>
      <c r="D103">
        <f t="shared" si="6"/>
        <v>1994</v>
      </c>
      <c r="E103">
        <v>1</v>
      </c>
      <c r="F103" t="s">
        <v>17</v>
      </c>
      <c r="G103" t="s">
        <v>89</v>
      </c>
      <c r="H103" t="s">
        <v>95</v>
      </c>
      <c r="J103">
        <v>15</v>
      </c>
      <c r="K103">
        <f t="shared" si="7"/>
        <v>15</v>
      </c>
      <c r="L103" t="s">
        <v>130</v>
      </c>
      <c r="R103" t="s">
        <v>1348</v>
      </c>
      <c r="S103" t="s">
        <v>1367</v>
      </c>
    </row>
    <row r="104" spans="1:19" x14ac:dyDescent="0.25">
      <c r="A104" t="s">
        <v>341</v>
      </c>
      <c r="B104" s="4">
        <v>34553</v>
      </c>
      <c r="C104" s="9">
        <f t="shared" si="5"/>
        <v>8</v>
      </c>
      <c r="D104">
        <f t="shared" si="6"/>
        <v>1994</v>
      </c>
      <c r="E104">
        <f t="shared" si="4"/>
        <v>0</v>
      </c>
      <c r="F104" t="s">
        <v>17</v>
      </c>
      <c r="G104" t="s">
        <v>89</v>
      </c>
      <c r="H104" t="s">
        <v>95</v>
      </c>
      <c r="J104">
        <v>15</v>
      </c>
      <c r="K104">
        <f t="shared" si="7"/>
        <v>15</v>
      </c>
      <c r="L104" t="s">
        <v>130</v>
      </c>
      <c r="R104" t="s">
        <v>1348</v>
      </c>
      <c r="S104" t="s">
        <v>1367</v>
      </c>
    </row>
    <row r="105" spans="1:19" x14ac:dyDescent="0.25">
      <c r="A105" t="s">
        <v>341</v>
      </c>
      <c r="B105" s="4">
        <v>34559</v>
      </c>
      <c r="C105" s="9">
        <f t="shared" si="5"/>
        <v>8</v>
      </c>
      <c r="D105">
        <f t="shared" si="6"/>
        <v>1994</v>
      </c>
      <c r="E105">
        <f t="shared" si="4"/>
        <v>1</v>
      </c>
      <c r="F105" t="s">
        <v>86</v>
      </c>
      <c r="G105" t="s">
        <v>90</v>
      </c>
      <c r="H105" t="s">
        <v>96</v>
      </c>
      <c r="J105">
        <v>10</v>
      </c>
      <c r="K105">
        <f t="shared" si="7"/>
        <v>10</v>
      </c>
      <c r="R105" t="s">
        <v>1348</v>
      </c>
    </row>
    <row r="106" spans="1:19" x14ac:dyDescent="0.25">
      <c r="A106" t="s">
        <v>341</v>
      </c>
      <c r="B106" s="4">
        <v>34559</v>
      </c>
      <c r="C106" s="9">
        <f t="shared" si="5"/>
        <v>8</v>
      </c>
      <c r="D106">
        <f t="shared" si="6"/>
        <v>1994</v>
      </c>
      <c r="E106">
        <f t="shared" si="4"/>
        <v>0</v>
      </c>
      <c r="F106" t="s">
        <v>86</v>
      </c>
      <c r="G106" t="s">
        <v>90</v>
      </c>
      <c r="H106" t="s">
        <v>96</v>
      </c>
      <c r="J106">
        <v>15</v>
      </c>
      <c r="K106">
        <f t="shared" si="7"/>
        <v>15</v>
      </c>
      <c r="R106" t="s">
        <v>1348</v>
      </c>
    </row>
    <row r="107" spans="1:19" x14ac:dyDescent="0.25">
      <c r="A107" t="s">
        <v>341</v>
      </c>
      <c r="B107" s="4">
        <v>34559</v>
      </c>
      <c r="C107" s="9">
        <f t="shared" si="5"/>
        <v>8</v>
      </c>
      <c r="D107">
        <f t="shared" si="6"/>
        <v>1994</v>
      </c>
      <c r="E107">
        <f t="shared" si="4"/>
        <v>0</v>
      </c>
      <c r="F107" t="s">
        <v>86</v>
      </c>
      <c r="G107" t="s">
        <v>90</v>
      </c>
      <c r="H107" t="s">
        <v>96</v>
      </c>
      <c r="J107">
        <v>20</v>
      </c>
      <c r="K107">
        <f t="shared" si="7"/>
        <v>20</v>
      </c>
      <c r="R107" t="s">
        <v>1348</v>
      </c>
    </row>
    <row r="108" spans="1:19" x14ac:dyDescent="0.25">
      <c r="A108" t="s">
        <v>341</v>
      </c>
      <c r="B108" s="4">
        <v>34566</v>
      </c>
      <c r="C108" s="9">
        <f t="shared" si="5"/>
        <v>8</v>
      </c>
      <c r="D108">
        <f t="shared" si="6"/>
        <v>1994</v>
      </c>
      <c r="E108">
        <f t="shared" si="4"/>
        <v>1</v>
      </c>
      <c r="F108" t="s">
        <v>85</v>
      </c>
      <c r="G108" t="s">
        <v>7</v>
      </c>
      <c r="H108" t="s">
        <v>97</v>
      </c>
      <c r="J108">
        <v>20</v>
      </c>
      <c r="K108">
        <f t="shared" si="7"/>
        <v>20</v>
      </c>
      <c r="R108" t="s">
        <v>1348</v>
      </c>
    </row>
    <row r="109" spans="1:19" x14ac:dyDescent="0.25">
      <c r="A109" t="s">
        <v>341</v>
      </c>
      <c r="B109" s="4">
        <v>34566</v>
      </c>
      <c r="C109" s="9">
        <f t="shared" si="5"/>
        <v>8</v>
      </c>
      <c r="D109">
        <f t="shared" si="6"/>
        <v>1994</v>
      </c>
      <c r="E109">
        <f t="shared" si="4"/>
        <v>0</v>
      </c>
      <c r="F109" t="s">
        <v>85</v>
      </c>
      <c r="G109" t="s">
        <v>7</v>
      </c>
      <c r="H109" t="s">
        <v>97</v>
      </c>
      <c r="J109">
        <v>20</v>
      </c>
      <c r="K109">
        <f t="shared" si="7"/>
        <v>20</v>
      </c>
      <c r="R109" t="s">
        <v>1348</v>
      </c>
    </row>
    <row r="110" spans="1:19" x14ac:dyDescent="0.25">
      <c r="A110" t="s">
        <v>341</v>
      </c>
      <c r="B110" s="4">
        <v>34582</v>
      </c>
      <c r="C110" s="9">
        <f t="shared" si="5"/>
        <v>9</v>
      </c>
      <c r="D110">
        <f t="shared" si="6"/>
        <v>1994</v>
      </c>
      <c r="E110">
        <f t="shared" si="4"/>
        <v>1</v>
      </c>
      <c r="F110" t="s">
        <v>17</v>
      </c>
      <c r="G110" t="s">
        <v>91</v>
      </c>
      <c r="H110" t="s">
        <v>98</v>
      </c>
      <c r="J110">
        <v>8</v>
      </c>
      <c r="K110">
        <f t="shared" si="7"/>
        <v>8</v>
      </c>
      <c r="R110" t="s">
        <v>1348</v>
      </c>
    </row>
    <row r="111" spans="1:19" x14ac:dyDescent="0.25">
      <c r="A111" t="s">
        <v>341</v>
      </c>
      <c r="B111" s="4">
        <v>34582</v>
      </c>
      <c r="C111" s="9">
        <f t="shared" si="5"/>
        <v>9</v>
      </c>
      <c r="D111">
        <f t="shared" si="6"/>
        <v>1994</v>
      </c>
      <c r="E111">
        <f t="shared" si="4"/>
        <v>0</v>
      </c>
      <c r="F111" t="s">
        <v>17</v>
      </c>
      <c r="G111" t="s">
        <v>91</v>
      </c>
      <c r="H111" t="s">
        <v>98</v>
      </c>
      <c r="J111">
        <v>15</v>
      </c>
      <c r="K111">
        <f t="shared" si="7"/>
        <v>15</v>
      </c>
      <c r="R111" t="s">
        <v>1348</v>
      </c>
    </row>
    <row r="112" spans="1:19" x14ac:dyDescent="0.25">
      <c r="A112" t="s">
        <v>341</v>
      </c>
      <c r="B112" s="4">
        <v>34582</v>
      </c>
      <c r="C112" s="9">
        <f t="shared" si="5"/>
        <v>9</v>
      </c>
      <c r="D112">
        <f t="shared" si="6"/>
        <v>1994</v>
      </c>
      <c r="E112">
        <f t="shared" si="4"/>
        <v>0</v>
      </c>
      <c r="F112" t="s">
        <v>17</v>
      </c>
      <c r="G112" t="s">
        <v>91</v>
      </c>
      <c r="H112" t="s">
        <v>98</v>
      </c>
      <c r="J112">
        <v>8</v>
      </c>
      <c r="K112">
        <f t="shared" si="7"/>
        <v>8</v>
      </c>
      <c r="R112" t="s">
        <v>1348</v>
      </c>
    </row>
    <row r="113" spans="1:18" x14ac:dyDescent="0.25">
      <c r="A113" t="s">
        <v>341</v>
      </c>
      <c r="B113" s="4">
        <v>34597</v>
      </c>
      <c r="C113" s="9">
        <f t="shared" si="5"/>
        <v>9</v>
      </c>
      <c r="D113">
        <f t="shared" si="6"/>
        <v>1994</v>
      </c>
      <c r="E113">
        <f t="shared" si="4"/>
        <v>1</v>
      </c>
      <c r="F113" t="s">
        <v>17</v>
      </c>
      <c r="G113" t="s">
        <v>92</v>
      </c>
      <c r="H113" t="s">
        <v>73</v>
      </c>
      <c r="J113">
        <v>10</v>
      </c>
      <c r="K113">
        <f t="shared" si="7"/>
        <v>10</v>
      </c>
      <c r="R113" t="s">
        <v>1348</v>
      </c>
    </row>
    <row r="114" spans="1:18" x14ac:dyDescent="0.25">
      <c r="A114" t="s">
        <v>341</v>
      </c>
      <c r="B114" s="4">
        <v>34597</v>
      </c>
      <c r="C114" s="9">
        <f t="shared" si="5"/>
        <v>9</v>
      </c>
      <c r="D114">
        <f t="shared" si="6"/>
        <v>1994</v>
      </c>
      <c r="E114">
        <f t="shared" si="4"/>
        <v>0</v>
      </c>
      <c r="F114" t="s">
        <v>17</v>
      </c>
      <c r="G114" t="s">
        <v>71</v>
      </c>
      <c r="H114" t="s">
        <v>73</v>
      </c>
      <c r="J114">
        <v>12</v>
      </c>
      <c r="K114">
        <f t="shared" si="7"/>
        <v>12</v>
      </c>
      <c r="M114" t="s">
        <v>99</v>
      </c>
      <c r="R114" t="s">
        <v>1348</v>
      </c>
    </row>
    <row r="115" spans="1:18" x14ac:dyDescent="0.25">
      <c r="A115" t="s">
        <v>341</v>
      </c>
      <c r="B115" s="4">
        <v>34825</v>
      </c>
      <c r="C115" s="9">
        <f t="shared" si="5"/>
        <v>5</v>
      </c>
      <c r="D115">
        <f t="shared" si="6"/>
        <v>1995</v>
      </c>
      <c r="E115">
        <f t="shared" si="4"/>
        <v>1</v>
      </c>
      <c r="F115" t="s">
        <v>17</v>
      </c>
      <c r="G115" t="s">
        <v>91</v>
      </c>
      <c r="H115" t="s">
        <v>98</v>
      </c>
      <c r="J115">
        <v>19</v>
      </c>
      <c r="K115">
        <f t="shared" si="7"/>
        <v>19</v>
      </c>
      <c r="R115" t="s">
        <v>1348</v>
      </c>
    </row>
    <row r="116" spans="1:18" x14ac:dyDescent="0.25">
      <c r="A116" t="s">
        <v>341</v>
      </c>
      <c r="B116" s="4">
        <v>34825</v>
      </c>
      <c r="C116" s="9">
        <f t="shared" si="5"/>
        <v>5</v>
      </c>
      <c r="D116">
        <f t="shared" si="6"/>
        <v>1995</v>
      </c>
      <c r="E116">
        <f t="shared" si="4"/>
        <v>0</v>
      </c>
      <c r="F116" t="s">
        <v>17</v>
      </c>
      <c r="G116" t="s">
        <v>91</v>
      </c>
      <c r="H116" t="s">
        <v>98</v>
      </c>
      <c r="J116">
        <v>51</v>
      </c>
      <c r="K116">
        <f t="shared" si="7"/>
        <v>51</v>
      </c>
      <c r="R116" t="s">
        <v>1348</v>
      </c>
    </row>
    <row r="117" spans="1:18" x14ac:dyDescent="0.25">
      <c r="A117" t="s">
        <v>341</v>
      </c>
      <c r="B117" s="4">
        <v>34853</v>
      </c>
      <c r="C117" s="9">
        <f t="shared" si="5"/>
        <v>6</v>
      </c>
      <c r="D117">
        <f t="shared" si="6"/>
        <v>1995</v>
      </c>
      <c r="E117">
        <f t="shared" si="4"/>
        <v>1</v>
      </c>
      <c r="F117" t="s">
        <v>85</v>
      </c>
      <c r="G117" t="s">
        <v>91</v>
      </c>
      <c r="H117" t="s">
        <v>98</v>
      </c>
      <c r="J117">
        <v>12</v>
      </c>
      <c r="K117">
        <f t="shared" si="7"/>
        <v>12</v>
      </c>
      <c r="M117" t="s">
        <v>100</v>
      </c>
      <c r="R117" t="s">
        <v>1348</v>
      </c>
    </row>
    <row r="118" spans="1:18" x14ac:dyDescent="0.25">
      <c r="A118" t="s">
        <v>341</v>
      </c>
      <c r="B118" s="4">
        <v>34857</v>
      </c>
      <c r="C118" s="9">
        <f t="shared" si="5"/>
        <v>6</v>
      </c>
      <c r="D118">
        <f t="shared" si="6"/>
        <v>1995</v>
      </c>
      <c r="E118">
        <f t="shared" si="4"/>
        <v>1</v>
      </c>
      <c r="F118" t="s">
        <v>85</v>
      </c>
      <c r="G118" t="s">
        <v>91</v>
      </c>
      <c r="H118" t="s">
        <v>98</v>
      </c>
      <c r="J118">
        <v>8</v>
      </c>
      <c r="K118">
        <f t="shared" si="7"/>
        <v>8</v>
      </c>
      <c r="R118" t="s">
        <v>1348</v>
      </c>
    </row>
    <row r="119" spans="1:18" x14ac:dyDescent="0.25">
      <c r="A119" t="s">
        <v>341</v>
      </c>
      <c r="B119" s="4">
        <v>34857</v>
      </c>
      <c r="C119" s="9">
        <f t="shared" si="5"/>
        <v>6</v>
      </c>
      <c r="D119">
        <f t="shared" si="6"/>
        <v>1995</v>
      </c>
      <c r="E119">
        <f t="shared" si="4"/>
        <v>0</v>
      </c>
      <c r="F119" t="s">
        <v>85</v>
      </c>
      <c r="G119" t="s">
        <v>91</v>
      </c>
      <c r="H119" t="s">
        <v>98</v>
      </c>
      <c r="J119">
        <v>8</v>
      </c>
      <c r="K119">
        <f t="shared" si="7"/>
        <v>8</v>
      </c>
      <c r="R119" t="s">
        <v>1348</v>
      </c>
    </row>
    <row r="120" spans="1:18" x14ac:dyDescent="0.25">
      <c r="A120" t="s">
        <v>341</v>
      </c>
      <c r="B120" s="4">
        <v>34867</v>
      </c>
      <c r="C120" s="9">
        <f t="shared" si="5"/>
        <v>6</v>
      </c>
      <c r="D120">
        <f t="shared" si="6"/>
        <v>1995</v>
      </c>
      <c r="E120">
        <f t="shared" si="4"/>
        <v>1</v>
      </c>
      <c r="F120" t="s">
        <v>85</v>
      </c>
      <c r="G120" t="s">
        <v>91</v>
      </c>
      <c r="H120" t="s">
        <v>98</v>
      </c>
      <c r="J120">
        <v>6</v>
      </c>
      <c r="K120">
        <f t="shared" si="7"/>
        <v>6</v>
      </c>
      <c r="R120" t="s">
        <v>1348</v>
      </c>
    </row>
    <row r="121" spans="1:18" x14ac:dyDescent="0.25">
      <c r="A121" t="s">
        <v>341</v>
      </c>
      <c r="B121" s="4">
        <v>34867</v>
      </c>
      <c r="C121" s="9">
        <f t="shared" si="5"/>
        <v>6</v>
      </c>
      <c r="D121">
        <f t="shared" si="6"/>
        <v>1995</v>
      </c>
      <c r="E121">
        <f t="shared" si="4"/>
        <v>0</v>
      </c>
      <c r="F121" t="s">
        <v>85</v>
      </c>
      <c r="G121" t="s">
        <v>91</v>
      </c>
      <c r="H121" t="s">
        <v>98</v>
      </c>
      <c r="J121">
        <v>9</v>
      </c>
      <c r="K121">
        <f t="shared" si="7"/>
        <v>9</v>
      </c>
      <c r="R121" t="s">
        <v>1348</v>
      </c>
    </row>
    <row r="122" spans="1:18" x14ac:dyDescent="0.25">
      <c r="A122" t="s">
        <v>341</v>
      </c>
      <c r="B122" s="4">
        <v>34867</v>
      </c>
      <c r="C122" s="9">
        <f t="shared" si="5"/>
        <v>6</v>
      </c>
      <c r="D122">
        <f t="shared" si="6"/>
        <v>1995</v>
      </c>
      <c r="E122">
        <f t="shared" si="4"/>
        <v>0</v>
      </c>
      <c r="F122" t="s">
        <v>85</v>
      </c>
      <c r="G122" t="s">
        <v>91</v>
      </c>
      <c r="H122" t="s">
        <v>98</v>
      </c>
      <c r="J122">
        <v>32</v>
      </c>
      <c r="K122">
        <f t="shared" si="7"/>
        <v>32</v>
      </c>
      <c r="R122" t="s">
        <v>1348</v>
      </c>
    </row>
    <row r="123" spans="1:18" x14ac:dyDescent="0.25">
      <c r="A123" t="s">
        <v>341</v>
      </c>
      <c r="B123" s="4">
        <v>34876</v>
      </c>
      <c r="C123" s="9">
        <f t="shared" si="5"/>
        <v>6</v>
      </c>
      <c r="D123">
        <f t="shared" si="6"/>
        <v>1995</v>
      </c>
      <c r="E123">
        <f t="shared" si="4"/>
        <v>1</v>
      </c>
      <c r="F123" t="s">
        <v>85</v>
      </c>
      <c r="G123" t="s">
        <v>101</v>
      </c>
      <c r="H123" t="s">
        <v>273</v>
      </c>
      <c r="J123">
        <v>19</v>
      </c>
      <c r="K123">
        <f t="shared" si="7"/>
        <v>19</v>
      </c>
      <c r="L123" t="s">
        <v>102</v>
      </c>
      <c r="M123" t="s">
        <v>103</v>
      </c>
      <c r="R123" t="s">
        <v>1348</v>
      </c>
    </row>
    <row r="124" spans="1:18" x14ac:dyDescent="0.25">
      <c r="A124" t="s">
        <v>341</v>
      </c>
      <c r="B124" s="4">
        <v>34876</v>
      </c>
      <c r="C124" s="9">
        <f t="shared" si="5"/>
        <v>6</v>
      </c>
      <c r="D124">
        <f t="shared" si="6"/>
        <v>1995</v>
      </c>
      <c r="E124">
        <f t="shared" si="4"/>
        <v>0</v>
      </c>
      <c r="F124" t="s">
        <v>85</v>
      </c>
      <c r="G124" t="s">
        <v>101</v>
      </c>
      <c r="H124" t="s">
        <v>273</v>
      </c>
      <c r="I124">
        <v>1</v>
      </c>
      <c r="J124">
        <v>31</v>
      </c>
      <c r="K124">
        <f t="shared" si="7"/>
        <v>91</v>
      </c>
      <c r="L124" t="s">
        <v>102</v>
      </c>
      <c r="R124" t="s">
        <v>1348</v>
      </c>
    </row>
    <row r="125" spans="1:18" x14ac:dyDescent="0.25">
      <c r="A125" t="s">
        <v>341</v>
      </c>
      <c r="B125" s="4">
        <v>34877</v>
      </c>
      <c r="C125" s="9">
        <f t="shared" si="5"/>
        <v>6</v>
      </c>
      <c r="D125">
        <f t="shared" si="6"/>
        <v>1995</v>
      </c>
      <c r="E125">
        <f t="shared" si="4"/>
        <v>1</v>
      </c>
      <c r="F125" t="s">
        <v>85</v>
      </c>
      <c r="G125" t="s">
        <v>104</v>
      </c>
      <c r="H125" t="s">
        <v>105</v>
      </c>
      <c r="J125">
        <v>7</v>
      </c>
      <c r="K125">
        <f t="shared" si="7"/>
        <v>7</v>
      </c>
      <c r="L125" t="s">
        <v>102</v>
      </c>
      <c r="R125" t="s">
        <v>1348</v>
      </c>
    </row>
    <row r="126" spans="1:18" x14ac:dyDescent="0.25">
      <c r="A126" t="s">
        <v>341</v>
      </c>
      <c r="B126" s="4">
        <v>34877</v>
      </c>
      <c r="C126" s="9">
        <f t="shared" si="5"/>
        <v>6</v>
      </c>
      <c r="D126">
        <f t="shared" si="6"/>
        <v>1995</v>
      </c>
      <c r="E126">
        <f t="shared" si="4"/>
        <v>0</v>
      </c>
      <c r="F126" t="s">
        <v>85</v>
      </c>
      <c r="G126" t="s">
        <v>106</v>
      </c>
      <c r="H126" t="s">
        <v>105</v>
      </c>
      <c r="I126">
        <v>1</v>
      </c>
      <c r="J126">
        <v>3</v>
      </c>
      <c r="K126">
        <f t="shared" si="7"/>
        <v>63</v>
      </c>
      <c r="L126" t="s">
        <v>102</v>
      </c>
      <c r="N126">
        <v>4.4000000000000004</v>
      </c>
      <c r="P126">
        <v>3194</v>
      </c>
      <c r="R126" t="s">
        <v>1348</v>
      </c>
    </row>
    <row r="127" spans="1:18" x14ac:dyDescent="0.25">
      <c r="A127" t="s">
        <v>341</v>
      </c>
      <c r="B127" s="4">
        <v>34878</v>
      </c>
      <c r="C127" s="9">
        <f t="shared" si="5"/>
        <v>6</v>
      </c>
      <c r="D127">
        <f t="shared" si="6"/>
        <v>1995</v>
      </c>
      <c r="E127">
        <f t="shared" si="4"/>
        <v>1</v>
      </c>
      <c r="F127" t="s">
        <v>85</v>
      </c>
      <c r="G127" t="s">
        <v>104</v>
      </c>
      <c r="H127" t="s">
        <v>107</v>
      </c>
      <c r="J127">
        <v>17</v>
      </c>
      <c r="K127">
        <f t="shared" si="7"/>
        <v>17</v>
      </c>
      <c r="L127" t="s">
        <v>102</v>
      </c>
      <c r="R127" t="s">
        <v>1348</v>
      </c>
    </row>
    <row r="128" spans="1:18" x14ac:dyDescent="0.25">
      <c r="A128" t="s">
        <v>341</v>
      </c>
      <c r="B128" s="4">
        <v>34878</v>
      </c>
      <c r="C128" s="9">
        <f t="shared" si="5"/>
        <v>6</v>
      </c>
      <c r="D128">
        <f t="shared" si="6"/>
        <v>1995</v>
      </c>
      <c r="E128">
        <f t="shared" si="4"/>
        <v>0</v>
      </c>
      <c r="F128" t="s">
        <v>85</v>
      </c>
      <c r="G128" t="s">
        <v>106</v>
      </c>
      <c r="H128" t="s">
        <v>107</v>
      </c>
      <c r="J128">
        <v>45</v>
      </c>
      <c r="K128">
        <f t="shared" si="7"/>
        <v>45</v>
      </c>
      <c r="L128" t="s">
        <v>102</v>
      </c>
      <c r="R128" t="s">
        <v>1348</v>
      </c>
    </row>
    <row r="129" spans="1:18" x14ac:dyDescent="0.25">
      <c r="A129" t="s">
        <v>341</v>
      </c>
      <c r="B129" s="4">
        <v>34879</v>
      </c>
      <c r="C129" s="9">
        <f t="shared" si="5"/>
        <v>6</v>
      </c>
      <c r="D129">
        <f t="shared" si="6"/>
        <v>1995</v>
      </c>
      <c r="E129">
        <f t="shared" si="4"/>
        <v>1</v>
      </c>
      <c r="F129" t="s">
        <v>85</v>
      </c>
      <c r="G129" t="s">
        <v>101</v>
      </c>
      <c r="H129" t="s">
        <v>108</v>
      </c>
      <c r="J129">
        <v>54</v>
      </c>
      <c r="K129">
        <f t="shared" si="7"/>
        <v>54</v>
      </c>
      <c r="L129" t="s">
        <v>102</v>
      </c>
      <c r="M129" t="s">
        <v>109</v>
      </c>
      <c r="R129" t="s">
        <v>1348</v>
      </c>
    </row>
    <row r="130" spans="1:18" x14ac:dyDescent="0.25">
      <c r="A130" t="s">
        <v>341</v>
      </c>
      <c r="B130" s="4">
        <v>34880</v>
      </c>
      <c r="C130" s="9">
        <f t="shared" si="5"/>
        <v>6</v>
      </c>
      <c r="D130">
        <f t="shared" si="6"/>
        <v>1995</v>
      </c>
      <c r="E130">
        <f t="shared" ref="E130:E193" si="8">IF(OR(A130 = "GS",A130 = "BP"),IF( OR(A129="GS",A129="BP"),IF(B129=B130,0,1),1),0)</f>
        <v>1</v>
      </c>
      <c r="F130" t="s">
        <v>85</v>
      </c>
      <c r="G130" t="s">
        <v>110</v>
      </c>
      <c r="H130" t="s">
        <v>111</v>
      </c>
      <c r="J130">
        <v>54</v>
      </c>
      <c r="K130">
        <f t="shared" si="7"/>
        <v>54</v>
      </c>
      <c r="L130" t="s">
        <v>102</v>
      </c>
      <c r="R130" t="s">
        <v>1348</v>
      </c>
    </row>
    <row r="131" spans="1:18" x14ac:dyDescent="0.25">
      <c r="A131" t="s">
        <v>341</v>
      </c>
      <c r="B131" s="4">
        <v>34881</v>
      </c>
      <c r="C131" s="9">
        <f t="shared" ref="C131:C194" si="9">MONTH(B131)</f>
        <v>7</v>
      </c>
      <c r="D131">
        <f t="shared" ref="D131:D194" si="10">YEAR(B131)</f>
        <v>1995</v>
      </c>
      <c r="E131">
        <f t="shared" si="8"/>
        <v>1</v>
      </c>
      <c r="F131" t="s">
        <v>85</v>
      </c>
      <c r="G131" t="s">
        <v>101</v>
      </c>
      <c r="H131" t="s">
        <v>273</v>
      </c>
      <c r="I131">
        <v>2</v>
      </c>
      <c r="J131">
        <v>34</v>
      </c>
      <c r="K131">
        <f t="shared" ref="K131:K194" si="11">I131*60+J131</f>
        <v>154</v>
      </c>
      <c r="L131" t="s">
        <v>102</v>
      </c>
      <c r="M131" t="s">
        <v>112</v>
      </c>
      <c r="R131" t="s">
        <v>1348</v>
      </c>
    </row>
    <row r="132" spans="1:18" x14ac:dyDescent="0.25">
      <c r="A132" t="s">
        <v>341</v>
      </c>
      <c r="B132" s="4">
        <v>34886</v>
      </c>
      <c r="C132" s="9">
        <f t="shared" si="9"/>
        <v>7</v>
      </c>
      <c r="D132">
        <f t="shared" si="10"/>
        <v>1995</v>
      </c>
      <c r="E132">
        <f t="shared" si="8"/>
        <v>1</v>
      </c>
      <c r="F132" t="s">
        <v>85</v>
      </c>
      <c r="G132" t="s">
        <v>91</v>
      </c>
      <c r="H132" t="s">
        <v>98</v>
      </c>
      <c r="J132">
        <v>10</v>
      </c>
      <c r="K132">
        <f t="shared" si="11"/>
        <v>10</v>
      </c>
      <c r="R132" t="s">
        <v>1348</v>
      </c>
    </row>
    <row r="133" spans="1:18" x14ac:dyDescent="0.25">
      <c r="A133" t="s">
        <v>341</v>
      </c>
      <c r="B133" s="4">
        <v>34888</v>
      </c>
      <c r="C133" s="9">
        <f t="shared" si="9"/>
        <v>7</v>
      </c>
      <c r="D133">
        <f t="shared" si="10"/>
        <v>1995</v>
      </c>
      <c r="E133">
        <f t="shared" si="8"/>
        <v>1</v>
      </c>
      <c r="F133" t="s">
        <v>85</v>
      </c>
      <c r="G133" t="s">
        <v>91</v>
      </c>
      <c r="H133" t="s">
        <v>98</v>
      </c>
      <c r="J133">
        <v>10</v>
      </c>
      <c r="K133">
        <f t="shared" si="11"/>
        <v>10</v>
      </c>
      <c r="M133" t="s">
        <v>113</v>
      </c>
      <c r="R133" t="s">
        <v>1348</v>
      </c>
    </row>
    <row r="134" spans="1:18" x14ac:dyDescent="0.25">
      <c r="A134" t="s">
        <v>341</v>
      </c>
      <c r="B134" s="4">
        <v>34888</v>
      </c>
      <c r="C134" s="9">
        <f t="shared" si="9"/>
        <v>7</v>
      </c>
      <c r="D134">
        <f t="shared" si="10"/>
        <v>1995</v>
      </c>
      <c r="E134">
        <f t="shared" si="8"/>
        <v>0</v>
      </c>
      <c r="F134" t="s">
        <v>85</v>
      </c>
      <c r="G134" t="s">
        <v>91</v>
      </c>
      <c r="H134" t="s">
        <v>98</v>
      </c>
      <c r="J134">
        <v>10</v>
      </c>
      <c r="K134">
        <f t="shared" si="11"/>
        <v>10</v>
      </c>
      <c r="R134" t="s">
        <v>1348</v>
      </c>
    </row>
    <row r="135" spans="1:18" x14ac:dyDescent="0.25">
      <c r="A135" t="s">
        <v>341</v>
      </c>
      <c r="B135" s="4">
        <v>34905</v>
      </c>
      <c r="C135" s="9">
        <f t="shared" si="9"/>
        <v>7</v>
      </c>
      <c r="D135">
        <f t="shared" si="10"/>
        <v>1995</v>
      </c>
      <c r="E135">
        <f t="shared" si="8"/>
        <v>1</v>
      </c>
      <c r="F135" t="s">
        <v>85</v>
      </c>
      <c r="G135" t="s">
        <v>71</v>
      </c>
      <c r="H135" t="s">
        <v>72</v>
      </c>
      <c r="J135">
        <v>12</v>
      </c>
      <c r="K135">
        <f t="shared" si="11"/>
        <v>12</v>
      </c>
      <c r="R135" t="s">
        <v>1348</v>
      </c>
    </row>
    <row r="136" spans="1:18" x14ac:dyDescent="0.25">
      <c r="A136" t="s">
        <v>342</v>
      </c>
      <c r="B136" s="4">
        <v>34908</v>
      </c>
      <c r="C136" s="9">
        <f t="shared" si="9"/>
        <v>7</v>
      </c>
      <c r="D136">
        <f t="shared" si="10"/>
        <v>1995</v>
      </c>
      <c r="E136">
        <f t="shared" si="8"/>
        <v>0</v>
      </c>
      <c r="K136">
        <f t="shared" si="11"/>
        <v>0</v>
      </c>
      <c r="M136" t="s">
        <v>114</v>
      </c>
      <c r="R136" t="s">
        <v>1348</v>
      </c>
    </row>
    <row r="137" spans="1:18" x14ac:dyDescent="0.25">
      <c r="A137" t="s">
        <v>341</v>
      </c>
      <c r="B137" s="4">
        <v>34909</v>
      </c>
      <c r="C137" s="9">
        <f t="shared" si="9"/>
        <v>7</v>
      </c>
      <c r="D137">
        <f t="shared" si="10"/>
        <v>1995</v>
      </c>
      <c r="E137">
        <f t="shared" si="8"/>
        <v>1</v>
      </c>
      <c r="F137" t="s">
        <v>85</v>
      </c>
      <c r="G137" t="s">
        <v>101</v>
      </c>
      <c r="H137" t="s">
        <v>273</v>
      </c>
      <c r="J137">
        <v>20</v>
      </c>
      <c r="K137">
        <f t="shared" si="11"/>
        <v>20</v>
      </c>
      <c r="R137" t="s">
        <v>1348</v>
      </c>
    </row>
    <row r="138" spans="1:18" x14ac:dyDescent="0.25">
      <c r="A138" t="s">
        <v>341</v>
      </c>
      <c r="B138" s="4">
        <v>34909</v>
      </c>
      <c r="C138" s="9">
        <f t="shared" si="9"/>
        <v>7</v>
      </c>
      <c r="D138">
        <f t="shared" si="10"/>
        <v>1995</v>
      </c>
      <c r="E138">
        <f t="shared" si="8"/>
        <v>0</v>
      </c>
      <c r="F138" t="s">
        <v>85</v>
      </c>
      <c r="G138" t="s">
        <v>101</v>
      </c>
      <c r="H138" t="s">
        <v>273</v>
      </c>
      <c r="I138">
        <v>1</v>
      </c>
      <c r="J138">
        <v>1</v>
      </c>
      <c r="K138">
        <f t="shared" si="11"/>
        <v>61</v>
      </c>
      <c r="R138" t="s">
        <v>1348</v>
      </c>
    </row>
    <row r="139" spans="1:18" x14ac:dyDescent="0.25">
      <c r="A139" t="s">
        <v>341</v>
      </c>
      <c r="B139" s="4">
        <v>34916</v>
      </c>
      <c r="C139" s="9">
        <f t="shared" si="9"/>
        <v>8</v>
      </c>
      <c r="D139">
        <f t="shared" si="10"/>
        <v>1995</v>
      </c>
      <c r="E139">
        <f t="shared" si="8"/>
        <v>1</v>
      </c>
      <c r="F139" t="s">
        <v>85</v>
      </c>
      <c r="G139" t="s">
        <v>7</v>
      </c>
      <c r="H139" t="s">
        <v>97</v>
      </c>
      <c r="I139">
        <v>1</v>
      </c>
      <c r="J139">
        <v>32</v>
      </c>
      <c r="K139">
        <f t="shared" si="11"/>
        <v>92</v>
      </c>
      <c r="M139" t="s">
        <v>407</v>
      </c>
      <c r="R139" t="s">
        <v>1348</v>
      </c>
    </row>
    <row r="140" spans="1:18" x14ac:dyDescent="0.25">
      <c r="A140" t="s">
        <v>341</v>
      </c>
      <c r="B140" s="4">
        <v>35211</v>
      </c>
      <c r="C140" s="9">
        <f t="shared" si="9"/>
        <v>5</v>
      </c>
      <c r="D140">
        <f t="shared" si="10"/>
        <v>1996</v>
      </c>
      <c r="E140">
        <f t="shared" si="8"/>
        <v>1</v>
      </c>
      <c r="F140" t="s">
        <v>85</v>
      </c>
      <c r="G140" t="s">
        <v>115</v>
      </c>
      <c r="H140" t="s">
        <v>22</v>
      </c>
      <c r="J140">
        <v>10</v>
      </c>
      <c r="K140">
        <f t="shared" si="11"/>
        <v>10</v>
      </c>
      <c r="R140" t="s">
        <v>1348</v>
      </c>
    </row>
    <row r="141" spans="1:18" x14ac:dyDescent="0.25">
      <c r="A141" t="s">
        <v>341</v>
      </c>
      <c r="B141" s="4">
        <v>35234</v>
      </c>
      <c r="C141" s="9">
        <f t="shared" si="9"/>
        <v>6</v>
      </c>
      <c r="D141">
        <f t="shared" si="10"/>
        <v>1996</v>
      </c>
      <c r="E141">
        <f t="shared" si="8"/>
        <v>1</v>
      </c>
      <c r="F141" t="s">
        <v>85</v>
      </c>
      <c r="G141" t="s">
        <v>117</v>
      </c>
      <c r="H141" t="s">
        <v>116</v>
      </c>
      <c r="J141">
        <v>40</v>
      </c>
      <c r="K141">
        <f t="shared" si="11"/>
        <v>40</v>
      </c>
      <c r="R141" t="s">
        <v>1352</v>
      </c>
    </row>
    <row r="142" spans="1:18" x14ac:dyDescent="0.25">
      <c r="A142" t="s">
        <v>341</v>
      </c>
      <c r="B142" s="4">
        <v>35275</v>
      </c>
      <c r="C142" s="9">
        <f t="shared" si="9"/>
        <v>7</v>
      </c>
      <c r="D142">
        <f t="shared" si="10"/>
        <v>1996</v>
      </c>
      <c r="E142">
        <f t="shared" si="8"/>
        <v>1</v>
      </c>
      <c r="F142" t="s">
        <v>85</v>
      </c>
      <c r="G142" t="s">
        <v>7</v>
      </c>
      <c r="H142" t="s">
        <v>55</v>
      </c>
      <c r="J142">
        <v>27</v>
      </c>
      <c r="K142">
        <f t="shared" si="11"/>
        <v>27</v>
      </c>
      <c r="M142" t="s">
        <v>118</v>
      </c>
      <c r="R142" t="s">
        <v>1348</v>
      </c>
    </row>
    <row r="143" spans="1:18" x14ac:dyDescent="0.25">
      <c r="A143" t="s">
        <v>341</v>
      </c>
      <c r="B143" s="4">
        <v>35277</v>
      </c>
      <c r="C143" s="9">
        <f t="shared" si="9"/>
        <v>7</v>
      </c>
      <c r="D143">
        <f t="shared" si="10"/>
        <v>1996</v>
      </c>
      <c r="E143">
        <f t="shared" si="8"/>
        <v>1</v>
      </c>
      <c r="F143" t="s">
        <v>85</v>
      </c>
      <c r="G143" t="s">
        <v>7</v>
      </c>
      <c r="H143" t="s">
        <v>97</v>
      </c>
      <c r="I143">
        <v>1</v>
      </c>
      <c r="J143">
        <v>48</v>
      </c>
      <c r="K143">
        <f t="shared" si="11"/>
        <v>108</v>
      </c>
      <c r="M143" t="s">
        <v>119</v>
      </c>
      <c r="P143">
        <v>3004</v>
      </c>
      <c r="R143" t="s">
        <v>1348</v>
      </c>
    </row>
    <row r="144" spans="1:18" x14ac:dyDescent="0.25">
      <c r="A144" t="s">
        <v>341</v>
      </c>
      <c r="B144" s="4">
        <v>35278</v>
      </c>
      <c r="C144" s="9">
        <f t="shared" si="9"/>
        <v>8</v>
      </c>
      <c r="D144">
        <f t="shared" si="10"/>
        <v>1996</v>
      </c>
      <c r="E144">
        <f t="shared" si="8"/>
        <v>1</v>
      </c>
      <c r="F144" t="s">
        <v>85</v>
      </c>
      <c r="G144" t="s">
        <v>7</v>
      </c>
      <c r="H144" t="s">
        <v>97</v>
      </c>
      <c r="I144">
        <v>1</v>
      </c>
      <c r="J144">
        <v>50</v>
      </c>
      <c r="K144">
        <f t="shared" si="11"/>
        <v>110</v>
      </c>
      <c r="M144" t="s">
        <v>120</v>
      </c>
      <c r="P144">
        <v>3000</v>
      </c>
      <c r="R144" t="s">
        <v>1348</v>
      </c>
    </row>
    <row r="145" spans="1:19" x14ac:dyDescent="0.25">
      <c r="A145" t="s">
        <v>341</v>
      </c>
      <c r="B145" s="4">
        <v>35318</v>
      </c>
      <c r="C145" s="9">
        <f t="shared" si="9"/>
        <v>9</v>
      </c>
      <c r="D145">
        <f t="shared" si="10"/>
        <v>1996</v>
      </c>
      <c r="E145">
        <f t="shared" si="8"/>
        <v>1</v>
      </c>
      <c r="F145" t="s">
        <v>85</v>
      </c>
      <c r="G145" t="s">
        <v>91</v>
      </c>
      <c r="H145" t="s">
        <v>98</v>
      </c>
      <c r="J145">
        <v>10</v>
      </c>
      <c r="K145">
        <f t="shared" si="11"/>
        <v>10</v>
      </c>
      <c r="R145" t="s">
        <v>1348</v>
      </c>
    </row>
    <row r="146" spans="1:19" x14ac:dyDescent="0.25">
      <c r="A146" t="s">
        <v>341</v>
      </c>
      <c r="B146" s="4">
        <v>35318</v>
      </c>
      <c r="C146" s="9">
        <f t="shared" si="9"/>
        <v>9</v>
      </c>
      <c r="D146">
        <f t="shared" si="10"/>
        <v>1996</v>
      </c>
      <c r="E146">
        <f t="shared" si="8"/>
        <v>0</v>
      </c>
      <c r="F146" t="s">
        <v>85</v>
      </c>
      <c r="G146" t="s">
        <v>91</v>
      </c>
      <c r="H146" t="s">
        <v>98</v>
      </c>
      <c r="J146">
        <v>6</v>
      </c>
      <c r="K146">
        <f t="shared" si="11"/>
        <v>6</v>
      </c>
      <c r="R146" t="s">
        <v>1348</v>
      </c>
    </row>
    <row r="147" spans="1:19" x14ac:dyDescent="0.25">
      <c r="A147" t="s">
        <v>341</v>
      </c>
      <c r="B147" s="4">
        <v>35373</v>
      </c>
      <c r="C147" s="9">
        <f t="shared" si="9"/>
        <v>11</v>
      </c>
      <c r="D147">
        <f t="shared" si="10"/>
        <v>1996</v>
      </c>
      <c r="E147">
        <f t="shared" si="8"/>
        <v>1</v>
      </c>
      <c r="F147" t="s">
        <v>85</v>
      </c>
      <c r="G147" t="s">
        <v>264</v>
      </c>
      <c r="H147" t="s">
        <v>121</v>
      </c>
      <c r="J147">
        <v>52</v>
      </c>
      <c r="K147">
        <f t="shared" si="11"/>
        <v>52</v>
      </c>
      <c r="L147" t="s">
        <v>419</v>
      </c>
      <c r="M147" t="s">
        <v>122</v>
      </c>
      <c r="R147" t="s">
        <v>1351</v>
      </c>
    </row>
    <row r="148" spans="1:19" x14ac:dyDescent="0.25">
      <c r="A148" t="s">
        <v>341</v>
      </c>
      <c r="B148" s="4">
        <v>35375</v>
      </c>
      <c r="C148" s="9">
        <f t="shared" si="9"/>
        <v>11</v>
      </c>
      <c r="D148">
        <f t="shared" si="10"/>
        <v>1996</v>
      </c>
      <c r="E148">
        <f t="shared" si="8"/>
        <v>1</v>
      </c>
      <c r="F148" t="s">
        <v>85</v>
      </c>
      <c r="G148" t="s">
        <v>264</v>
      </c>
      <c r="H148" t="s">
        <v>121</v>
      </c>
      <c r="J148">
        <v>10</v>
      </c>
      <c r="K148">
        <f t="shared" si="11"/>
        <v>10</v>
      </c>
      <c r="L148" t="s">
        <v>419</v>
      </c>
      <c r="R148" t="s">
        <v>1351</v>
      </c>
    </row>
    <row r="149" spans="1:19" x14ac:dyDescent="0.25">
      <c r="A149" t="s">
        <v>341</v>
      </c>
      <c r="B149" s="4">
        <v>35375</v>
      </c>
      <c r="C149" s="9">
        <f t="shared" si="9"/>
        <v>11</v>
      </c>
      <c r="D149">
        <f t="shared" si="10"/>
        <v>1996</v>
      </c>
      <c r="E149">
        <f t="shared" si="8"/>
        <v>0</v>
      </c>
      <c r="F149" t="s">
        <v>85</v>
      </c>
      <c r="G149" t="s">
        <v>264</v>
      </c>
      <c r="H149" t="s">
        <v>121</v>
      </c>
      <c r="I149">
        <v>1</v>
      </c>
      <c r="J149">
        <v>4</v>
      </c>
      <c r="K149">
        <f t="shared" si="11"/>
        <v>64</v>
      </c>
      <c r="L149" t="s">
        <v>419</v>
      </c>
      <c r="R149" t="s">
        <v>1351</v>
      </c>
    </row>
    <row r="150" spans="1:19" x14ac:dyDescent="0.25">
      <c r="A150" t="s">
        <v>341</v>
      </c>
      <c r="B150" s="4">
        <v>35376</v>
      </c>
      <c r="C150" s="9">
        <f t="shared" si="9"/>
        <v>11</v>
      </c>
      <c r="D150">
        <f t="shared" si="10"/>
        <v>1996</v>
      </c>
      <c r="E150">
        <f t="shared" si="8"/>
        <v>1</v>
      </c>
      <c r="F150" t="s">
        <v>85</v>
      </c>
      <c r="G150" t="s">
        <v>264</v>
      </c>
      <c r="H150" t="s">
        <v>121</v>
      </c>
      <c r="J150">
        <v>32</v>
      </c>
      <c r="K150">
        <f t="shared" si="11"/>
        <v>32</v>
      </c>
      <c r="L150" t="s">
        <v>419</v>
      </c>
      <c r="M150" t="s">
        <v>123</v>
      </c>
      <c r="R150" t="s">
        <v>1351</v>
      </c>
    </row>
    <row r="151" spans="1:19" x14ac:dyDescent="0.25">
      <c r="A151" t="s">
        <v>341</v>
      </c>
      <c r="B151" s="4">
        <v>35484</v>
      </c>
      <c r="C151" s="9">
        <f t="shared" si="9"/>
        <v>2</v>
      </c>
      <c r="D151">
        <f t="shared" si="10"/>
        <v>1997</v>
      </c>
      <c r="E151">
        <f t="shared" si="8"/>
        <v>1</v>
      </c>
      <c r="F151" t="s">
        <v>85</v>
      </c>
      <c r="G151" t="s">
        <v>124</v>
      </c>
      <c r="H151" t="s">
        <v>125</v>
      </c>
      <c r="J151">
        <v>15</v>
      </c>
      <c r="K151">
        <f t="shared" si="11"/>
        <v>15</v>
      </c>
      <c r="R151" t="s">
        <v>1348</v>
      </c>
    </row>
    <row r="152" spans="1:19" x14ac:dyDescent="0.25">
      <c r="A152" t="s">
        <v>341</v>
      </c>
      <c r="B152" s="4">
        <v>35491</v>
      </c>
      <c r="C152" s="9">
        <f t="shared" si="9"/>
        <v>3</v>
      </c>
      <c r="D152">
        <f t="shared" si="10"/>
        <v>1997</v>
      </c>
      <c r="E152">
        <f t="shared" si="8"/>
        <v>1</v>
      </c>
      <c r="F152" t="s">
        <v>85</v>
      </c>
      <c r="G152" t="s">
        <v>126</v>
      </c>
      <c r="H152" t="s">
        <v>54</v>
      </c>
      <c r="J152">
        <v>36</v>
      </c>
      <c r="K152">
        <f t="shared" si="11"/>
        <v>36</v>
      </c>
      <c r="R152" t="s">
        <v>1348</v>
      </c>
    </row>
    <row r="153" spans="1:19" x14ac:dyDescent="0.25">
      <c r="A153" t="s">
        <v>341</v>
      </c>
      <c r="B153" s="4">
        <v>35492</v>
      </c>
      <c r="C153" s="9">
        <f t="shared" si="9"/>
        <v>3</v>
      </c>
      <c r="D153">
        <f t="shared" si="10"/>
        <v>1997</v>
      </c>
      <c r="E153">
        <f t="shared" si="8"/>
        <v>1</v>
      </c>
      <c r="F153" t="s">
        <v>85</v>
      </c>
      <c r="G153" t="s">
        <v>126</v>
      </c>
      <c r="H153" t="s">
        <v>54</v>
      </c>
      <c r="J153">
        <v>16</v>
      </c>
      <c r="K153">
        <f t="shared" si="11"/>
        <v>16</v>
      </c>
      <c r="R153" t="s">
        <v>1348</v>
      </c>
    </row>
    <row r="154" spans="1:19" x14ac:dyDescent="0.25">
      <c r="A154" t="s">
        <v>341</v>
      </c>
      <c r="B154" s="4">
        <v>35496</v>
      </c>
      <c r="C154" s="9">
        <f t="shared" si="9"/>
        <v>3</v>
      </c>
      <c r="D154">
        <f t="shared" si="10"/>
        <v>1997</v>
      </c>
      <c r="E154">
        <f t="shared" si="8"/>
        <v>1</v>
      </c>
      <c r="F154" t="s">
        <v>85</v>
      </c>
      <c r="G154" t="s">
        <v>126</v>
      </c>
      <c r="H154" t="s">
        <v>127</v>
      </c>
      <c r="J154">
        <v>16</v>
      </c>
      <c r="K154">
        <f t="shared" si="11"/>
        <v>16</v>
      </c>
      <c r="R154" t="s">
        <v>1348</v>
      </c>
    </row>
    <row r="155" spans="1:19" x14ac:dyDescent="0.25">
      <c r="A155" t="s">
        <v>341</v>
      </c>
      <c r="B155" s="4">
        <v>35585</v>
      </c>
      <c r="C155" s="9">
        <f t="shared" si="9"/>
        <v>6</v>
      </c>
      <c r="D155">
        <f t="shared" si="10"/>
        <v>1997</v>
      </c>
      <c r="E155">
        <f t="shared" si="8"/>
        <v>1</v>
      </c>
      <c r="F155" t="s">
        <v>85</v>
      </c>
      <c r="G155" t="s">
        <v>91</v>
      </c>
      <c r="H155" t="s">
        <v>98</v>
      </c>
      <c r="J155">
        <v>20</v>
      </c>
      <c r="K155">
        <f t="shared" si="11"/>
        <v>20</v>
      </c>
      <c r="R155" t="s">
        <v>1348</v>
      </c>
    </row>
    <row r="156" spans="1:19" x14ac:dyDescent="0.25">
      <c r="A156" t="s">
        <v>341</v>
      </c>
      <c r="B156" s="4">
        <v>35585</v>
      </c>
      <c r="C156" s="9">
        <f t="shared" si="9"/>
        <v>6</v>
      </c>
      <c r="D156">
        <f t="shared" si="10"/>
        <v>1997</v>
      </c>
      <c r="E156">
        <f t="shared" si="8"/>
        <v>0</v>
      </c>
      <c r="F156" t="s">
        <v>85</v>
      </c>
      <c r="G156" t="s">
        <v>91</v>
      </c>
      <c r="H156" t="s">
        <v>98</v>
      </c>
      <c r="J156">
        <v>10</v>
      </c>
      <c r="K156">
        <f t="shared" si="11"/>
        <v>10</v>
      </c>
      <c r="R156" t="s">
        <v>1348</v>
      </c>
    </row>
    <row r="157" spans="1:19" x14ac:dyDescent="0.25">
      <c r="A157" t="s">
        <v>341</v>
      </c>
      <c r="B157" s="4">
        <v>35596</v>
      </c>
      <c r="C157" s="9">
        <f t="shared" si="9"/>
        <v>6</v>
      </c>
      <c r="D157">
        <f t="shared" si="10"/>
        <v>1997</v>
      </c>
      <c r="E157">
        <v>1</v>
      </c>
      <c r="F157" t="s">
        <v>85</v>
      </c>
      <c r="G157" t="s">
        <v>128</v>
      </c>
      <c r="H157" t="s">
        <v>129</v>
      </c>
      <c r="J157">
        <v>10</v>
      </c>
      <c r="K157">
        <f t="shared" si="11"/>
        <v>10</v>
      </c>
      <c r="L157" t="s">
        <v>130</v>
      </c>
      <c r="R157" t="s">
        <v>1348</v>
      </c>
      <c r="S157" t="s">
        <v>1367</v>
      </c>
    </row>
    <row r="158" spans="1:19" x14ac:dyDescent="0.25">
      <c r="A158" t="s">
        <v>341</v>
      </c>
      <c r="B158" s="4">
        <v>35596</v>
      </c>
      <c r="C158" s="9">
        <f t="shared" si="9"/>
        <v>6</v>
      </c>
      <c r="D158">
        <f t="shared" si="10"/>
        <v>1997</v>
      </c>
      <c r="E158">
        <f t="shared" si="8"/>
        <v>0</v>
      </c>
      <c r="F158" t="s">
        <v>85</v>
      </c>
      <c r="G158" t="s">
        <v>128</v>
      </c>
      <c r="H158" t="s">
        <v>129</v>
      </c>
      <c r="J158">
        <v>10</v>
      </c>
      <c r="K158">
        <f t="shared" si="11"/>
        <v>10</v>
      </c>
      <c r="L158" t="s">
        <v>130</v>
      </c>
      <c r="R158" t="s">
        <v>1348</v>
      </c>
      <c r="S158" t="s">
        <v>1367</v>
      </c>
    </row>
    <row r="159" spans="1:19" x14ac:dyDescent="0.25">
      <c r="A159" t="s">
        <v>341</v>
      </c>
      <c r="B159" s="4">
        <v>35596</v>
      </c>
      <c r="C159" s="9">
        <f t="shared" si="9"/>
        <v>6</v>
      </c>
      <c r="D159">
        <f t="shared" si="10"/>
        <v>1997</v>
      </c>
      <c r="E159">
        <f t="shared" si="8"/>
        <v>0</v>
      </c>
      <c r="F159" t="s">
        <v>85</v>
      </c>
      <c r="G159" t="s">
        <v>128</v>
      </c>
      <c r="H159" t="s">
        <v>129</v>
      </c>
      <c r="J159">
        <v>10</v>
      </c>
      <c r="K159">
        <f t="shared" si="11"/>
        <v>10</v>
      </c>
      <c r="L159" t="s">
        <v>130</v>
      </c>
      <c r="R159" t="s">
        <v>1348</v>
      </c>
      <c r="S159" t="s">
        <v>1367</v>
      </c>
    </row>
    <row r="160" spans="1:19" x14ac:dyDescent="0.25">
      <c r="A160" t="s">
        <v>341</v>
      </c>
      <c r="B160" s="4">
        <v>35596</v>
      </c>
      <c r="C160" s="9">
        <f t="shared" si="9"/>
        <v>6</v>
      </c>
      <c r="D160">
        <f t="shared" si="10"/>
        <v>1997</v>
      </c>
      <c r="E160">
        <f t="shared" si="8"/>
        <v>0</v>
      </c>
      <c r="F160" t="s">
        <v>85</v>
      </c>
      <c r="G160" t="s">
        <v>128</v>
      </c>
      <c r="H160" t="s">
        <v>129</v>
      </c>
      <c r="J160">
        <v>10</v>
      </c>
      <c r="K160">
        <f t="shared" si="11"/>
        <v>10</v>
      </c>
      <c r="L160" t="s">
        <v>130</v>
      </c>
      <c r="R160" t="s">
        <v>1348</v>
      </c>
      <c r="S160" t="s">
        <v>1367</v>
      </c>
    </row>
    <row r="161" spans="1:19" x14ac:dyDescent="0.25">
      <c r="A161" t="s">
        <v>341</v>
      </c>
      <c r="B161" s="4">
        <v>35596</v>
      </c>
      <c r="C161" s="9">
        <f t="shared" si="9"/>
        <v>6</v>
      </c>
      <c r="D161">
        <f t="shared" si="10"/>
        <v>1997</v>
      </c>
      <c r="E161">
        <f t="shared" si="8"/>
        <v>0</v>
      </c>
      <c r="F161" t="s">
        <v>85</v>
      </c>
      <c r="G161" t="s">
        <v>128</v>
      </c>
      <c r="H161" t="s">
        <v>129</v>
      </c>
      <c r="J161">
        <v>10</v>
      </c>
      <c r="K161">
        <f t="shared" si="11"/>
        <v>10</v>
      </c>
      <c r="L161" t="s">
        <v>130</v>
      </c>
      <c r="R161" t="s">
        <v>1348</v>
      </c>
      <c r="S161" t="s">
        <v>1367</v>
      </c>
    </row>
    <row r="162" spans="1:19" x14ac:dyDescent="0.25">
      <c r="A162" t="s">
        <v>341</v>
      </c>
      <c r="B162" s="4">
        <v>35620</v>
      </c>
      <c r="C162" s="9">
        <f t="shared" si="9"/>
        <v>7</v>
      </c>
      <c r="D162">
        <f t="shared" si="10"/>
        <v>1997</v>
      </c>
      <c r="E162">
        <f t="shared" si="8"/>
        <v>1</v>
      </c>
      <c r="F162" t="s">
        <v>85</v>
      </c>
      <c r="G162" t="s">
        <v>71</v>
      </c>
      <c r="H162" t="s">
        <v>72</v>
      </c>
      <c r="J162">
        <v>50</v>
      </c>
      <c r="K162">
        <f t="shared" si="11"/>
        <v>50</v>
      </c>
      <c r="R162" t="s">
        <v>1348</v>
      </c>
    </row>
    <row r="163" spans="1:19" x14ac:dyDescent="0.25">
      <c r="A163" t="s">
        <v>341</v>
      </c>
      <c r="B163" s="4">
        <v>35623</v>
      </c>
      <c r="C163" s="9">
        <f t="shared" si="9"/>
        <v>7</v>
      </c>
      <c r="D163">
        <f t="shared" si="10"/>
        <v>1997</v>
      </c>
      <c r="E163">
        <f t="shared" si="8"/>
        <v>1</v>
      </c>
      <c r="F163" t="s">
        <v>85</v>
      </c>
      <c r="G163" t="s">
        <v>7</v>
      </c>
      <c r="H163" t="s">
        <v>97</v>
      </c>
      <c r="I163">
        <v>1</v>
      </c>
      <c r="J163">
        <v>45</v>
      </c>
      <c r="K163">
        <f t="shared" si="11"/>
        <v>105</v>
      </c>
      <c r="N163">
        <v>5.2</v>
      </c>
      <c r="R163" t="s">
        <v>1348</v>
      </c>
    </row>
    <row r="164" spans="1:19" x14ac:dyDescent="0.25">
      <c r="A164" t="s">
        <v>341</v>
      </c>
      <c r="B164" s="4">
        <v>35627</v>
      </c>
      <c r="C164" s="9">
        <f t="shared" si="9"/>
        <v>7</v>
      </c>
      <c r="D164">
        <f t="shared" si="10"/>
        <v>1997</v>
      </c>
      <c r="E164">
        <f t="shared" si="8"/>
        <v>1</v>
      </c>
      <c r="F164" t="s">
        <v>85</v>
      </c>
      <c r="G164" t="s">
        <v>7</v>
      </c>
      <c r="H164" t="s">
        <v>97</v>
      </c>
      <c r="J164">
        <v>22</v>
      </c>
      <c r="K164">
        <f t="shared" si="11"/>
        <v>22</v>
      </c>
      <c r="M164" t="s">
        <v>131</v>
      </c>
      <c r="R164" t="s">
        <v>1348</v>
      </c>
    </row>
    <row r="165" spans="1:19" x14ac:dyDescent="0.25">
      <c r="A165" t="s">
        <v>341</v>
      </c>
      <c r="B165" s="4">
        <v>35633</v>
      </c>
      <c r="C165" s="9">
        <f t="shared" si="9"/>
        <v>7</v>
      </c>
      <c r="D165">
        <f t="shared" si="10"/>
        <v>1997</v>
      </c>
      <c r="E165">
        <f t="shared" si="8"/>
        <v>1</v>
      </c>
      <c r="F165" t="s">
        <v>85</v>
      </c>
      <c r="G165" t="s">
        <v>7</v>
      </c>
      <c r="H165" t="s">
        <v>97</v>
      </c>
      <c r="J165">
        <v>17</v>
      </c>
      <c r="K165">
        <f t="shared" si="11"/>
        <v>17</v>
      </c>
      <c r="R165" t="s">
        <v>1348</v>
      </c>
    </row>
    <row r="166" spans="1:19" x14ac:dyDescent="0.25">
      <c r="A166" t="s">
        <v>341</v>
      </c>
      <c r="B166" s="4">
        <v>35638</v>
      </c>
      <c r="C166" s="9">
        <f t="shared" si="9"/>
        <v>7</v>
      </c>
      <c r="D166">
        <f t="shared" si="10"/>
        <v>1997</v>
      </c>
      <c r="E166">
        <f t="shared" si="8"/>
        <v>1</v>
      </c>
      <c r="F166" t="s">
        <v>85</v>
      </c>
      <c r="G166" t="s">
        <v>7</v>
      </c>
      <c r="H166" t="s">
        <v>97</v>
      </c>
      <c r="I166">
        <v>1</v>
      </c>
      <c r="J166">
        <v>45</v>
      </c>
      <c r="K166">
        <f t="shared" si="11"/>
        <v>105</v>
      </c>
      <c r="M166" t="s">
        <v>132</v>
      </c>
      <c r="R166" t="s">
        <v>1348</v>
      </c>
    </row>
    <row r="167" spans="1:19" x14ac:dyDescent="0.25">
      <c r="A167" t="s">
        <v>341</v>
      </c>
      <c r="B167" s="4">
        <v>35640</v>
      </c>
      <c r="C167" s="9">
        <f t="shared" si="9"/>
        <v>7</v>
      </c>
      <c r="D167">
        <f t="shared" si="10"/>
        <v>1997</v>
      </c>
      <c r="E167">
        <f t="shared" si="8"/>
        <v>1</v>
      </c>
      <c r="F167" t="s">
        <v>85</v>
      </c>
      <c r="G167" t="s">
        <v>71</v>
      </c>
      <c r="H167" t="s">
        <v>72</v>
      </c>
      <c r="J167">
        <v>27</v>
      </c>
      <c r="K167">
        <f t="shared" si="11"/>
        <v>27</v>
      </c>
      <c r="R167" t="s">
        <v>1348</v>
      </c>
    </row>
    <row r="168" spans="1:19" x14ac:dyDescent="0.25">
      <c r="A168" t="s">
        <v>341</v>
      </c>
      <c r="B168" s="4">
        <v>35641</v>
      </c>
      <c r="C168" s="9">
        <f t="shared" si="9"/>
        <v>7</v>
      </c>
      <c r="D168">
        <f t="shared" si="10"/>
        <v>1997</v>
      </c>
      <c r="E168">
        <f t="shared" si="8"/>
        <v>1</v>
      </c>
      <c r="F168" t="s">
        <v>85</v>
      </c>
      <c r="G168" t="s">
        <v>71</v>
      </c>
      <c r="H168" t="s">
        <v>72</v>
      </c>
      <c r="I168">
        <v>1</v>
      </c>
      <c r="J168">
        <v>35</v>
      </c>
      <c r="K168">
        <f t="shared" si="11"/>
        <v>95</v>
      </c>
      <c r="R168" t="s">
        <v>1348</v>
      </c>
    </row>
    <row r="169" spans="1:19" x14ac:dyDescent="0.25">
      <c r="A169" t="s">
        <v>341</v>
      </c>
      <c r="B169" s="4">
        <v>35647</v>
      </c>
      <c r="C169" s="9">
        <f t="shared" si="9"/>
        <v>8</v>
      </c>
      <c r="D169">
        <f t="shared" si="10"/>
        <v>1997</v>
      </c>
      <c r="E169">
        <f t="shared" si="8"/>
        <v>1</v>
      </c>
      <c r="F169" t="s">
        <v>85</v>
      </c>
      <c r="G169" t="s">
        <v>91</v>
      </c>
      <c r="H169" t="s">
        <v>98</v>
      </c>
      <c r="J169">
        <v>11</v>
      </c>
      <c r="K169">
        <f t="shared" si="11"/>
        <v>11</v>
      </c>
      <c r="R169" t="s">
        <v>1348</v>
      </c>
    </row>
    <row r="170" spans="1:19" x14ac:dyDescent="0.25">
      <c r="A170" t="s">
        <v>341</v>
      </c>
      <c r="B170" s="4">
        <v>35652</v>
      </c>
      <c r="C170" s="9">
        <f t="shared" si="9"/>
        <v>8</v>
      </c>
      <c r="D170">
        <f t="shared" si="10"/>
        <v>1997</v>
      </c>
      <c r="E170">
        <f t="shared" si="8"/>
        <v>1</v>
      </c>
      <c r="F170" t="s">
        <v>85</v>
      </c>
      <c r="G170" t="s">
        <v>71</v>
      </c>
      <c r="H170" t="s">
        <v>72</v>
      </c>
      <c r="I170">
        <v>1</v>
      </c>
      <c r="J170">
        <v>6</v>
      </c>
      <c r="K170">
        <f t="shared" si="11"/>
        <v>66</v>
      </c>
      <c r="R170" t="s">
        <v>1348</v>
      </c>
    </row>
    <row r="171" spans="1:19" x14ac:dyDescent="0.25">
      <c r="A171" t="s">
        <v>341</v>
      </c>
      <c r="B171" s="4">
        <v>35654</v>
      </c>
      <c r="C171" s="9">
        <f t="shared" si="9"/>
        <v>8</v>
      </c>
      <c r="D171">
        <f t="shared" si="10"/>
        <v>1997</v>
      </c>
      <c r="E171">
        <f t="shared" si="8"/>
        <v>1</v>
      </c>
      <c r="F171" t="s">
        <v>85</v>
      </c>
      <c r="G171" t="s">
        <v>71</v>
      </c>
      <c r="H171" t="s">
        <v>133</v>
      </c>
      <c r="J171">
        <v>11</v>
      </c>
      <c r="K171">
        <f t="shared" si="11"/>
        <v>11</v>
      </c>
      <c r="R171" t="s">
        <v>1348</v>
      </c>
    </row>
    <row r="172" spans="1:19" x14ac:dyDescent="0.25">
      <c r="A172" t="s">
        <v>342</v>
      </c>
      <c r="B172" s="4">
        <v>35655</v>
      </c>
      <c r="C172" s="9">
        <f t="shared" si="9"/>
        <v>8</v>
      </c>
      <c r="D172">
        <f t="shared" si="10"/>
        <v>1997</v>
      </c>
      <c r="E172">
        <f t="shared" si="8"/>
        <v>0</v>
      </c>
      <c r="F172" t="s">
        <v>136</v>
      </c>
      <c r="G172" t="s">
        <v>138</v>
      </c>
      <c r="H172" t="s">
        <v>137</v>
      </c>
      <c r="J172">
        <v>4</v>
      </c>
      <c r="K172">
        <f t="shared" si="11"/>
        <v>4</v>
      </c>
      <c r="M172" t="s">
        <v>134</v>
      </c>
      <c r="R172" t="s">
        <v>1348</v>
      </c>
    </row>
    <row r="173" spans="1:19" x14ac:dyDescent="0.25">
      <c r="A173" t="s">
        <v>341</v>
      </c>
      <c r="B173" s="4">
        <v>35691</v>
      </c>
      <c r="C173" s="9">
        <f t="shared" si="9"/>
        <v>9</v>
      </c>
      <c r="D173">
        <f t="shared" si="10"/>
        <v>1997</v>
      </c>
      <c r="E173">
        <f t="shared" si="8"/>
        <v>1</v>
      </c>
      <c r="F173" t="s">
        <v>85</v>
      </c>
      <c r="G173" t="s">
        <v>71</v>
      </c>
      <c r="H173" t="s">
        <v>72</v>
      </c>
      <c r="J173">
        <v>16</v>
      </c>
      <c r="K173">
        <f t="shared" si="11"/>
        <v>16</v>
      </c>
      <c r="R173" t="s">
        <v>1348</v>
      </c>
    </row>
    <row r="174" spans="1:19" x14ac:dyDescent="0.25">
      <c r="A174" t="s">
        <v>341</v>
      </c>
      <c r="B174" s="4">
        <v>35910</v>
      </c>
      <c r="C174" s="9">
        <f t="shared" si="9"/>
        <v>4</v>
      </c>
      <c r="D174">
        <f t="shared" si="10"/>
        <v>1998</v>
      </c>
      <c r="E174">
        <f t="shared" si="8"/>
        <v>1</v>
      </c>
      <c r="F174" t="s">
        <v>85</v>
      </c>
      <c r="G174" t="s">
        <v>139</v>
      </c>
      <c r="H174" t="s">
        <v>415</v>
      </c>
      <c r="I174">
        <v>1</v>
      </c>
      <c r="J174">
        <v>5</v>
      </c>
      <c r="K174">
        <f t="shared" si="11"/>
        <v>65</v>
      </c>
      <c r="L174" t="s">
        <v>140</v>
      </c>
      <c r="R174" t="s">
        <v>1349</v>
      </c>
    </row>
    <row r="175" spans="1:19" x14ac:dyDescent="0.25">
      <c r="A175" t="s">
        <v>341</v>
      </c>
      <c r="B175" s="4">
        <v>35911</v>
      </c>
      <c r="C175" s="9">
        <f t="shared" si="9"/>
        <v>4</v>
      </c>
      <c r="D175">
        <f t="shared" si="10"/>
        <v>1998</v>
      </c>
      <c r="E175">
        <f t="shared" si="8"/>
        <v>1</v>
      </c>
      <c r="F175" t="s">
        <v>85</v>
      </c>
      <c r="G175" t="s">
        <v>141</v>
      </c>
      <c r="H175" t="s">
        <v>415</v>
      </c>
      <c r="J175">
        <v>10</v>
      </c>
      <c r="K175">
        <f t="shared" si="11"/>
        <v>10</v>
      </c>
      <c r="L175" t="s">
        <v>140</v>
      </c>
      <c r="R175" t="s">
        <v>1349</v>
      </c>
    </row>
    <row r="176" spans="1:19" x14ac:dyDescent="0.25">
      <c r="A176" t="s">
        <v>341</v>
      </c>
      <c r="B176" s="4">
        <v>35911</v>
      </c>
      <c r="C176" s="9">
        <f t="shared" si="9"/>
        <v>4</v>
      </c>
      <c r="D176">
        <f t="shared" si="10"/>
        <v>1998</v>
      </c>
      <c r="E176">
        <f t="shared" si="8"/>
        <v>0</v>
      </c>
      <c r="F176" t="s">
        <v>85</v>
      </c>
      <c r="G176" t="s">
        <v>141</v>
      </c>
      <c r="H176" t="s">
        <v>415</v>
      </c>
      <c r="I176">
        <v>2</v>
      </c>
      <c r="J176">
        <v>0</v>
      </c>
      <c r="K176">
        <f t="shared" si="11"/>
        <v>120</v>
      </c>
      <c r="L176" t="s">
        <v>140</v>
      </c>
      <c r="R176" t="s">
        <v>1349</v>
      </c>
    </row>
    <row r="177" spans="1:18" x14ac:dyDescent="0.25">
      <c r="A177" t="s">
        <v>341</v>
      </c>
      <c r="B177" s="4">
        <v>35947</v>
      </c>
      <c r="C177" s="9">
        <f t="shared" si="9"/>
        <v>6</v>
      </c>
      <c r="D177">
        <f t="shared" si="10"/>
        <v>1998</v>
      </c>
      <c r="E177">
        <f t="shared" si="8"/>
        <v>1</v>
      </c>
      <c r="F177" t="s">
        <v>85</v>
      </c>
      <c r="G177" t="s">
        <v>71</v>
      </c>
      <c r="H177" t="s">
        <v>72</v>
      </c>
      <c r="I177">
        <v>1</v>
      </c>
      <c r="J177">
        <v>50</v>
      </c>
      <c r="K177">
        <f t="shared" si="11"/>
        <v>110</v>
      </c>
      <c r="R177" t="s">
        <v>1348</v>
      </c>
    </row>
    <row r="178" spans="1:18" x14ac:dyDescent="0.25">
      <c r="A178" t="s">
        <v>341</v>
      </c>
      <c r="B178" s="4">
        <v>35994</v>
      </c>
      <c r="C178" s="9">
        <f t="shared" si="9"/>
        <v>7</v>
      </c>
      <c r="D178">
        <f t="shared" si="10"/>
        <v>1998</v>
      </c>
      <c r="E178">
        <f t="shared" si="8"/>
        <v>1</v>
      </c>
      <c r="F178" t="s">
        <v>85</v>
      </c>
      <c r="G178" t="s">
        <v>7</v>
      </c>
      <c r="H178" t="s">
        <v>97</v>
      </c>
      <c r="I178">
        <v>1</v>
      </c>
      <c r="J178">
        <v>20</v>
      </c>
      <c r="K178">
        <f t="shared" si="11"/>
        <v>80</v>
      </c>
      <c r="R178" t="s">
        <v>1348</v>
      </c>
    </row>
    <row r="179" spans="1:18" x14ac:dyDescent="0.25">
      <c r="A179" t="s">
        <v>341</v>
      </c>
      <c r="B179" s="4">
        <v>35995</v>
      </c>
      <c r="C179" s="9">
        <f t="shared" si="9"/>
        <v>7</v>
      </c>
      <c r="D179">
        <f t="shared" si="10"/>
        <v>1998</v>
      </c>
      <c r="E179">
        <f t="shared" si="8"/>
        <v>1</v>
      </c>
      <c r="F179" t="s">
        <v>85</v>
      </c>
      <c r="G179" t="s">
        <v>7</v>
      </c>
      <c r="H179" t="s">
        <v>97</v>
      </c>
      <c r="I179">
        <v>1</v>
      </c>
      <c r="K179">
        <f t="shared" si="11"/>
        <v>60</v>
      </c>
      <c r="R179" t="s">
        <v>1348</v>
      </c>
    </row>
    <row r="180" spans="1:18" x14ac:dyDescent="0.25">
      <c r="A180" t="s">
        <v>341</v>
      </c>
      <c r="B180" s="4">
        <v>35996</v>
      </c>
      <c r="C180" s="9">
        <f t="shared" si="9"/>
        <v>7</v>
      </c>
      <c r="D180">
        <f t="shared" si="10"/>
        <v>1998</v>
      </c>
      <c r="E180">
        <f t="shared" si="8"/>
        <v>1</v>
      </c>
      <c r="F180" t="s">
        <v>85</v>
      </c>
      <c r="G180" t="s">
        <v>7</v>
      </c>
      <c r="H180" t="s">
        <v>97</v>
      </c>
      <c r="I180">
        <v>1</v>
      </c>
      <c r="J180">
        <v>40</v>
      </c>
      <c r="K180">
        <f t="shared" si="11"/>
        <v>100</v>
      </c>
      <c r="M180" t="s">
        <v>142</v>
      </c>
      <c r="P180">
        <v>4000</v>
      </c>
      <c r="R180" t="s">
        <v>1348</v>
      </c>
    </row>
    <row r="181" spans="1:18" x14ac:dyDescent="0.25">
      <c r="A181" t="s">
        <v>341</v>
      </c>
      <c r="B181" s="4">
        <v>36013</v>
      </c>
      <c r="C181" s="9">
        <f t="shared" si="9"/>
        <v>8</v>
      </c>
      <c r="D181">
        <f t="shared" si="10"/>
        <v>1998</v>
      </c>
      <c r="E181">
        <f t="shared" si="8"/>
        <v>1</v>
      </c>
      <c r="F181" t="s">
        <v>85</v>
      </c>
      <c r="G181" t="s">
        <v>71</v>
      </c>
      <c r="H181" t="s">
        <v>72</v>
      </c>
      <c r="J181">
        <v>10</v>
      </c>
      <c r="K181">
        <f t="shared" si="11"/>
        <v>10</v>
      </c>
      <c r="R181" t="s">
        <v>1348</v>
      </c>
    </row>
    <row r="182" spans="1:18" x14ac:dyDescent="0.25">
      <c r="A182" t="s">
        <v>341</v>
      </c>
      <c r="B182" s="4">
        <v>36015</v>
      </c>
      <c r="C182" s="9">
        <f t="shared" si="9"/>
        <v>8</v>
      </c>
      <c r="D182">
        <f t="shared" si="10"/>
        <v>1998</v>
      </c>
      <c r="E182">
        <f t="shared" si="8"/>
        <v>1</v>
      </c>
      <c r="F182" t="s">
        <v>85</v>
      </c>
      <c r="G182" t="s">
        <v>71</v>
      </c>
      <c r="H182" t="s">
        <v>72</v>
      </c>
      <c r="J182">
        <v>10</v>
      </c>
      <c r="K182">
        <f t="shared" si="11"/>
        <v>10</v>
      </c>
      <c r="R182" t="s">
        <v>1348</v>
      </c>
    </row>
    <row r="183" spans="1:18" x14ac:dyDescent="0.25">
      <c r="A183" t="s">
        <v>341</v>
      </c>
      <c r="B183" s="4">
        <v>36021</v>
      </c>
      <c r="C183" s="9">
        <f t="shared" si="9"/>
        <v>8</v>
      </c>
      <c r="D183">
        <f t="shared" si="10"/>
        <v>1998</v>
      </c>
      <c r="E183">
        <f t="shared" si="8"/>
        <v>1</v>
      </c>
      <c r="F183" t="s">
        <v>85</v>
      </c>
      <c r="G183" t="s">
        <v>71</v>
      </c>
      <c r="H183" t="s">
        <v>72</v>
      </c>
      <c r="J183">
        <v>57</v>
      </c>
      <c r="K183">
        <f t="shared" si="11"/>
        <v>57</v>
      </c>
      <c r="R183" t="s">
        <v>1348</v>
      </c>
    </row>
    <row r="184" spans="1:18" x14ac:dyDescent="0.25">
      <c r="A184" t="s">
        <v>341</v>
      </c>
      <c r="B184" s="4">
        <v>36252</v>
      </c>
      <c r="C184" s="9">
        <f t="shared" si="9"/>
        <v>4</v>
      </c>
      <c r="D184">
        <f t="shared" si="10"/>
        <v>1999</v>
      </c>
      <c r="E184">
        <f t="shared" si="8"/>
        <v>1</v>
      </c>
      <c r="F184" t="s">
        <v>85</v>
      </c>
      <c r="G184" t="s">
        <v>7</v>
      </c>
      <c r="H184" t="s">
        <v>55</v>
      </c>
      <c r="J184">
        <v>34</v>
      </c>
      <c r="K184">
        <f t="shared" si="11"/>
        <v>34</v>
      </c>
      <c r="R184" t="s">
        <v>1348</v>
      </c>
    </row>
    <row r="185" spans="1:18" x14ac:dyDescent="0.25">
      <c r="A185" t="s">
        <v>341</v>
      </c>
      <c r="B185" s="4">
        <v>36253</v>
      </c>
      <c r="C185" s="9">
        <f t="shared" si="9"/>
        <v>4</v>
      </c>
      <c r="D185">
        <f t="shared" si="10"/>
        <v>1999</v>
      </c>
      <c r="E185">
        <f t="shared" si="8"/>
        <v>1</v>
      </c>
      <c r="F185" t="s">
        <v>85</v>
      </c>
      <c r="G185" t="s">
        <v>7</v>
      </c>
      <c r="H185" t="s">
        <v>55</v>
      </c>
      <c r="J185">
        <v>37</v>
      </c>
      <c r="K185">
        <f t="shared" si="11"/>
        <v>37</v>
      </c>
      <c r="R185" t="s">
        <v>1348</v>
      </c>
    </row>
    <row r="186" spans="1:18" x14ac:dyDescent="0.25">
      <c r="A186" t="s">
        <v>341</v>
      </c>
      <c r="B186" s="4">
        <v>36256</v>
      </c>
      <c r="C186" s="9">
        <f t="shared" si="9"/>
        <v>4</v>
      </c>
      <c r="D186">
        <f t="shared" si="10"/>
        <v>1999</v>
      </c>
      <c r="E186">
        <f t="shared" si="8"/>
        <v>1</v>
      </c>
      <c r="F186" t="s">
        <v>85</v>
      </c>
      <c r="G186" t="s">
        <v>91</v>
      </c>
      <c r="H186" t="s">
        <v>98</v>
      </c>
      <c r="J186">
        <v>6</v>
      </c>
      <c r="K186">
        <f t="shared" si="11"/>
        <v>6</v>
      </c>
      <c r="R186" t="s">
        <v>1348</v>
      </c>
    </row>
    <row r="187" spans="1:18" x14ac:dyDescent="0.25">
      <c r="A187" t="s">
        <v>341</v>
      </c>
      <c r="B187" s="4">
        <v>36288</v>
      </c>
      <c r="C187" s="9">
        <f t="shared" si="9"/>
        <v>5</v>
      </c>
      <c r="D187">
        <f t="shared" si="10"/>
        <v>1999</v>
      </c>
      <c r="E187">
        <f t="shared" si="8"/>
        <v>1</v>
      </c>
      <c r="F187" t="s">
        <v>85</v>
      </c>
      <c r="G187" t="s">
        <v>143</v>
      </c>
      <c r="H187" t="s">
        <v>144</v>
      </c>
      <c r="J187">
        <v>15</v>
      </c>
      <c r="K187">
        <f t="shared" si="11"/>
        <v>15</v>
      </c>
      <c r="L187" t="s">
        <v>144</v>
      </c>
      <c r="M187" t="s">
        <v>145</v>
      </c>
      <c r="R187" t="s">
        <v>1351</v>
      </c>
    </row>
    <row r="188" spans="1:18" x14ac:dyDescent="0.25">
      <c r="A188" t="s">
        <v>341</v>
      </c>
      <c r="B188" s="4">
        <v>36289</v>
      </c>
      <c r="C188" s="9">
        <f t="shared" si="9"/>
        <v>5</v>
      </c>
      <c r="D188">
        <f t="shared" si="10"/>
        <v>1999</v>
      </c>
      <c r="E188">
        <f t="shared" si="8"/>
        <v>1</v>
      </c>
      <c r="F188" t="s">
        <v>85</v>
      </c>
      <c r="H188" t="s">
        <v>146</v>
      </c>
      <c r="J188">
        <v>6</v>
      </c>
      <c r="K188">
        <f t="shared" si="11"/>
        <v>6</v>
      </c>
      <c r="L188" t="s">
        <v>144</v>
      </c>
      <c r="R188" t="s">
        <v>1351</v>
      </c>
    </row>
    <row r="189" spans="1:18" x14ac:dyDescent="0.25">
      <c r="A189" t="s">
        <v>341</v>
      </c>
      <c r="B189" s="4">
        <v>36290</v>
      </c>
      <c r="C189" s="9">
        <f t="shared" si="9"/>
        <v>5</v>
      </c>
      <c r="D189">
        <f t="shared" si="10"/>
        <v>1999</v>
      </c>
      <c r="E189">
        <f t="shared" si="8"/>
        <v>1</v>
      </c>
      <c r="F189" t="s">
        <v>85</v>
      </c>
      <c r="H189" t="s">
        <v>146</v>
      </c>
      <c r="J189">
        <v>25</v>
      </c>
      <c r="K189">
        <f t="shared" si="11"/>
        <v>25</v>
      </c>
      <c r="L189" t="s">
        <v>144</v>
      </c>
      <c r="R189" t="s">
        <v>1351</v>
      </c>
    </row>
    <row r="190" spans="1:18" x14ac:dyDescent="0.25">
      <c r="A190" t="s">
        <v>341</v>
      </c>
      <c r="B190" s="4">
        <v>36290</v>
      </c>
      <c r="C190" s="9">
        <f t="shared" si="9"/>
        <v>5</v>
      </c>
      <c r="D190">
        <f t="shared" si="10"/>
        <v>1999</v>
      </c>
      <c r="E190">
        <f t="shared" si="8"/>
        <v>0</v>
      </c>
      <c r="F190" t="s">
        <v>85</v>
      </c>
      <c r="H190" t="s">
        <v>146</v>
      </c>
      <c r="J190">
        <v>5</v>
      </c>
      <c r="K190">
        <f t="shared" si="11"/>
        <v>5</v>
      </c>
      <c r="L190" t="s">
        <v>144</v>
      </c>
      <c r="R190" t="s">
        <v>1351</v>
      </c>
    </row>
    <row r="191" spans="1:18" x14ac:dyDescent="0.25">
      <c r="A191" t="s">
        <v>341</v>
      </c>
      <c r="B191" s="4">
        <v>36291</v>
      </c>
      <c r="C191" s="9">
        <f t="shared" si="9"/>
        <v>5</v>
      </c>
      <c r="D191">
        <f t="shared" si="10"/>
        <v>1999</v>
      </c>
      <c r="E191">
        <f t="shared" si="8"/>
        <v>1</v>
      </c>
      <c r="F191" t="s">
        <v>85</v>
      </c>
      <c r="G191" t="s">
        <v>143</v>
      </c>
      <c r="H191" t="s">
        <v>144</v>
      </c>
      <c r="I191">
        <v>1</v>
      </c>
      <c r="J191">
        <v>19</v>
      </c>
      <c r="K191">
        <f t="shared" si="11"/>
        <v>79</v>
      </c>
      <c r="L191" t="s">
        <v>144</v>
      </c>
      <c r="R191" t="s">
        <v>1351</v>
      </c>
    </row>
    <row r="192" spans="1:18" x14ac:dyDescent="0.25">
      <c r="A192" t="s">
        <v>341</v>
      </c>
      <c r="B192" s="4">
        <v>36293</v>
      </c>
      <c r="C192" s="9">
        <f t="shared" si="9"/>
        <v>5</v>
      </c>
      <c r="D192">
        <f t="shared" si="10"/>
        <v>1999</v>
      </c>
      <c r="E192">
        <f t="shared" si="8"/>
        <v>1</v>
      </c>
      <c r="F192" t="s">
        <v>85</v>
      </c>
      <c r="G192" t="s">
        <v>147</v>
      </c>
      <c r="J192">
        <v>4</v>
      </c>
      <c r="K192">
        <f t="shared" si="11"/>
        <v>4</v>
      </c>
      <c r="L192" t="s">
        <v>144</v>
      </c>
      <c r="R192" t="s">
        <v>1351</v>
      </c>
    </row>
    <row r="193" spans="1:18" x14ac:dyDescent="0.25">
      <c r="A193" t="s">
        <v>341</v>
      </c>
      <c r="B193" s="4">
        <v>36293</v>
      </c>
      <c r="C193" s="9">
        <f t="shared" si="9"/>
        <v>5</v>
      </c>
      <c r="D193">
        <f t="shared" si="10"/>
        <v>1999</v>
      </c>
      <c r="E193">
        <f t="shared" si="8"/>
        <v>0</v>
      </c>
      <c r="F193" t="s">
        <v>85</v>
      </c>
      <c r="G193" t="s">
        <v>147</v>
      </c>
      <c r="J193">
        <v>4</v>
      </c>
      <c r="K193">
        <f t="shared" si="11"/>
        <v>4</v>
      </c>
      <c r="L193" t="s">
        <v>144</v>
      </c>
      <c r="R193" t="s">
        <v>1351</v>
      </c>
    </row>
    <row r="194" spans="1:18" x14ac:dyDescent="0.25">
      <c r="A194" t="s">
        <v>341</v>
      </c>
      <c r="B194" s="4">
        <v>36293</v>
      </c>
      <c r="C194" s="9">
        <f t="shared" si="9"/>
        <v>5</v>
      </c>
      <c r="D194">
        <f t="shared" si="10"/>
        <v>1999</v>
      </c>
      <c r="E194">
        <f t="shared" ref="E194:E257" si="12">IF(OR(A194 = "GS",A194 = "BP"),IF( OR(A193="GS",A193="BP"),IF(B193=B194,0,1),1),0)</f>
        <v>0</v>
      </c>
      <c r="F194" t="s">
        <v>85</v>
      </c>
      <c r="G194" t="s">
        <v>143</v>
      </c>
      <c r="H194" t="s">
        <v>144</v>
      </c>
      <c r="I194">
        <v>1</v>
      </c>
      <c r="J194">
        <v>8</v>
      </c>
      <c r="K194">
        <f t="shared" si="11"/>
        <v>68</v>
      </c>
      <c r="L194" t="s">
        <v>144</v>
      </c>
      <c r="M194" t="s">
        <v>148</v>
      </c>
      <c r="R194" t="s">
        <v>1351</v>
      </c>
    </row>
    <row r="195" spans="1:18" x14ac:dyDescent="0.25">
      <c r="A195" t="s">
        <v>341</v>
      </c>
      <c r="B195" s="4">
        <v>36294</v>
      </c>
      <c r="C195" s="9">
        <f t="shared" ref="C195:C258" si="13">MONTH(B195)</f>
        <v>5</v>
      </c>
      <c r="D195">
        <f t="shared" ref="D195:D258" si="14">YEAR(B195)</f>
        <v>1999</v>
      </c>
      <c r="E195">
        <f t="shared" si="12"/>
        <v>1</v>
      </c>
      <c r="F195" t="s">
        <v>85</v>
      </c>
      <c r="G195" t="s">
        <v>143</v>
      </c>
      <c r="H195" t="s">
        <v>144</v>
      </c>
      <c r="J195">
        <v>6</v>
      </c>
      <c r="K195">
        <f t="shared" ref="K195:K258" si="15">I195*60+J195</f>
        <v>6</v>
      </c>
      <c r="L195" t="s">
        <v>144</v>
      </c>
      <c r="R195" t="s">
        <v>1351</v>
      </c>
    </row>
    <row r="196" spans="1:18" x14ac:dyDescent="0.25">
      <c r="A196" t="s">
        <v>341</v>
      </c>
      <c r="B196" s="4">
        <v>36309</v>
      </c>
      <c r="C196" s="9">
        <f t="shared" si="13"/>
        <v>5</v>
      </c>
      <c r="D196">
        <f t="shared" si="14"/>
        <v>1999</v>
      </c>
      <c r="E196">
        <f t="shared" si="12"/>
        <v>1</v>
      </c>
      <c r="F196" t="s">
        <v>85</v>
      </c>
      <c r="G196" t="s">
        <v>71</v>
      </c>
      <c r="H196" t="s">
        <v>94</v>
      </c>
      <c r="I196">
        <v>1</v>
      </c>
      <c r="J196">
        <v>30</v>
      </c>
      <c r="K196">
        <f t="shared" si="15"/>
        <v>90</v>
      </c>
      <c r="R196" t="s">
        <v>1348</v>
      </c>
    </row>
    <row r="197" spans="1:18" x14ac:dyDescent="0.25">
      <c r="A197" t="s">
        <v>341</v>
      </c>
      <c r="B197" s="4">
        <v>36335</v>
      </c>
      <c r="C197" s="9">
        <f t="shared" si="13"/>
        <v>6</v>
      </c>
      <c r="D197">
        <f t="shared" si="14"/>
        <v>1999</v>
      </c>
      <c r="E197">
        <f t="shared" si="12"/>
        <v>1</v>
      </c>
      <c r="F197" t="s">
        <v>85</v>
      </c>
      <c r="G197" t="s">
        <v>71</v>
      </c>
      <c r="H197" t="s">
        <v>72</v>
      </c>
      <c r="I197">
        <v>1</v>
      </c>
      <c r="J197">
        <v>30</v>
      </c>
      <c r="K197">
        <f t="shared" si="15"/>
        <v>90</v>
      </c>
      <c r="R197" t="s">
        <v>1348</v>
      </c>
    </row>
    <row r="198" spans="1:18" x14ac:dyDescent="0.25">
      <c r="A198" t="s">
        <v>341</v>
      </c>
      <c r="B198" s="4">
        <v>36374</v>
      </c>
      <c r="C198" s="9">
        <f t="shared" si="13"/>
        <v>8</v>
      </c>
      <c r="D198">
        <f t="shared" si="14"/>
        <v>1999</v>
      </c>
      <c r="E198">
        <f t="shared" si="12"/>
        <v>1</v>
      </c>
      <c r="F198" t="s">
        <v>85</v>
      </c>
      <c r="G198" t="s">
        <v>7</v>
      </c>
      <c r="H198" t="s">
        <v>55</v>
      </c>
      <c r="J198">
        <v>30</v>
      </c>
      <c r="K198">
        <f t="shared" si="15"/>
        <v>30</v>
      </c>
      <c r="R198" t="s">
        <v>1348</v>
      </c>
    </row>
    <row r="199" spans="1:18" x14ac:dyDescent="0.25">
      <c r="A199" t="s">
        <v>341</v>
      </c>
      <c r="B199" s="4">
        <v>36379</v>
      </c>
      <c r="C199" s="9">
        <f t="shared" si="13"/>
        <v>8</v>
      </c>
      <c r="D199">
        <f t="shared" si="14"/>
        <v>1999</v>
      </c>
      <c r="E199">
        <f t="shared" si="12"/>
        <v>1</v>
      </c>
      <c r="F199" t="s">
        <v>149</v>
      </c>
      <c r="G199" t="s">
        <v>101</v>
      </c>
      <c r="H199" t="s">
        <v>273</v>
      </c>
      <c r="I199">
        <v>1</v>
      </c>
      <c r="J199">
        <v>36</v>
      </c>
      <c r="K199">
        <f t="shared" si="15"/>
        <v>96</v>
      </c>
      <c r="R199" t="s">
        <v>1348</v>
      </c>
    </row>
    <row r="200" spans="1:18" x14ac:dyDescent="0.25">
      <c r="A200" t="s">
        <v>341</v>
      </c>
      <c r="B200" s="4">
        <v>36380</v>
      </c>
      <c r="C200" s="9">
        <f t="shared" si="13"/>
        <v>8</v>
      </c>
      <c r="D200">
        <f t="shared" si="14"/>
        <v>1999</v>
      </c>
      <c r="E200">
        <f t="shared" si="12"/>
        <v>1</v>
      </c>
      <c r="F200" t="s">
        <v>149</v>
      </c>
      <c r="G200" t="s">
        <v>150</v>
      </c>
      <c r="H200" t="s">
        <v>273</v>
      </c>
      <c r="J200">
        <v>10</v>
      </c>
      <c r="K200">
        <f t="shared" si="15"/>
        <v>10</v>
      </c>
      <c r="R200" t="s">
        <v>1348</v>
      </c>
    </row>
    <row r="201" spans="1:18" x14ac:dyDescent="0.25">
      <c r="A201" t="s">
        <v>341</v>
      </c>
      <c r="B201" s="4">
        <v>36413</v>
      </c>
      <c r="C201" s="9">
        <f t="shared" si="13"/>
        <v>9</v>
      </c>
      <c r="D201">
        <f t="shared" si="14"/>
        <v>1999</v>
      </c>
      <c r="E201">
        <f t="shared" si="12"/>
        <v>1</v>
      </c>
      <c r="F201" t="s">
        <v>85</v>
      </c>
      <c r="G201" t="s">
        <v>91</v>
      </c>
      <c r="H201" t="s">
        <v>98</v>
      </c>
      <c r="J201">
        <v>10</v>
      </c>
      <c r="K201">
        <f t="shared" si="15"/>
        <v>10</v>
      </c>
      <c r="R201" t="s">
        <v>1348</v>
      </c>
    </row>
    <row r="202" spans="1:18" x14ac:dyDescent="0.25">
      <c r="A202" t="s">
        <v>341</v>
      </c>
      <c r="B202" s="4">
        <v>36415</v>
      </c>
      <c r="C202" s="9">
        <f t="shared" si="13"/>
        <v>9</v>
      </c>
      <c r="D202">
        <f t="shared" si="14"/>
        <v>1999</v>
      </c>
      <c r="E202">
        <f t="shared" si="12"/>
        <v>1</v>
      </c>
      <c r="F202" t="s">
        <v>85</v>
      </c>
      <c r="G202" t="s">
        <v>71</v>
      </c>
      <c r="H202" t="s">
        <v>72</v>
      </c>
      <c r="I202">
        <v>1</v>
      </c>
      <c r="J202">
        <v>0</v>
      </c>
      <c r="K202">
        <f t="shared" si="15"/>
        <v>60</v>
      </c>
      <c r="R202" t="s">
        <v>1348</v>
      </c>
    </row>
    <row r="203" spans="1:18" x14ac:dyDescent="0.25">
      <c r="A203" t="s">
        <v>341</v>
      </c>
      <c r="B203" s="4">
        <v>36626</v>
      </c>
      <c r="C203" s="9">
        <f t="shared" si="13"/>
        <v>4</v>
      </c>
      <c r="D203">
        <f t="shared" si="14"/>
        <v>2000</v>
      </c>
      <c r="E203">
        <f t="shared" si="12"/>
        <v>1</v>
      </c>
      <c r="F203" t="s">
        <v>151</v>
      </c>
      <c r="G203" t="s">
        <v>150</v>
      </c>
      <c r="H203" t="s">
        <v>273</v>
      </c>
      <c r="J203">
        <v>5</v>
      </c>
      <c r="K203">
        <f t="shared" si="15"/>
        <v>5</v>
      </c>
      <c r="R203" t="s">
        <v>1348</v>
      </c>
    </row>
    <row r="204" spans="1:18" x14ac:dyDescent="0.25">
      <c r="A204" t="s">
        <v>341</v>
      </c>
      <c r="B204" s="4">
        <v>36654</v>
      </c>
      <c r="C204" s="9">
        <f t="shared" si="13"/>
        <v>5</v>
      </c>
      <c r="D204">
        <f t="shared" si="14"/>
        <v>2000</v>
      </c>
      <c r="E204">
        <f t="shared" si="12"/>
        <v>1</v>
      </c>
      <c r="F204" t="s">
        <v>151</v>
      </c>
      <c r="G204" t="s">
        <v>150</v>
      </c>
      <c r="H204" t="s">
        <v>273</v>
      </c>
      <c r="J204">
        <v>10</v>
      </c>
      <c r="K204">
        <f t="shared" si="15"/>
        <v>10</v>
      </c>
      <c r="L204" t="s">
        <v>152</v>
      </c>
      <c r="R204" t="s">
        <v>1348</v>
      </c>
    </row>
    <row r="205" spans="1:18" x14ac:dyDescent="0.25">
      <c r="A205" t="s">
        <v>341</v>
      </c>
      <c r="B205" s="4">
        <v>36654</v>
      </c>
      <c r="C205" s="9">
        <f t="shared" si="13"/>
        <v>5</v>
      </c>
      <c r="D205">
        <f t="shared" si="14"/>
        <v>2000</v>
      </c>
      <c r="E205">
        <f t="shared" si="12"/>
        <v>0</v>
      </c>
      <c r="F205" t="s">
        <v>151</v>
      </c>
      <c r="G205" t="s">
        <v>150</v>
      </c>
      <c r="H205" t="s">
        <v>273</v>
      </c>
      <c r="J205">
        <v>12</v>
      </c>
      <c r="K205">
        <f t="shared" si="15"/>
        <v>12</v>
      </c>
      <c r="L205" t="s">
        <v>152</v>
      </c>
      <c r="R205" t="s">
        <v>1348</v>
      </c>
    </row>
    <row r="206" spans="1:18" x14ac:dyDescent="0.25">
      <c r="A206" t="s">
        <v>341</v>
      </c>
      <c r="B206" s="4">
        <v>36655</v>
      </c>
      <c r="C206" s="9">
        <f t="shared" si="13"/>
        <v>5</v>
      </c>
      <c r="D206">
        <f t="shared" si="14"/>
        <v>2000</v>
      </c>
      <c r="E206">
        <f t="shared" si="12"/>
        <v>1</v>
      </c>
      <c r="F206" t="s">
        <v>151</v>
      </c>
      <c r="G206" t="s">
        <v>101</v>
      </c>
      <c r="H206" t="s">
        <v>153</v>
      </c>
      <c r="I206">
        <v>1</v>
      </c>
      <c r="J206">
        <v>15</v>
      </c>
      <c r="K206">
        <f t="shared" si="15"/>
        <v>75</v>
      </c>
      <c r="L206" t="s">
        <v>152</v>
      </c>
      <c r="R206" t="s">
        <v>1348</v>
      </c>
    </row>
    <row r="207" spans="1:18" x14ac:dyDescent="0.25">
      <c r="A207" t="s">
        <v>341</v>
      </c>
      <c r="B207" s="4">
        <v>36656</v>
      </c>
      <c r="C207" s="9">
        <f t="shared" si="13"/>
        <v>5</v>
      </c>
      <c r="D207">
        <f t="shared" si="14"/>
        <v>2000</v>
      </c>
      <c r="E207">
        <f t="shared" si="12"/>
        <v>1</v>
      </c>
      <c r="F207" t="s">
        <v>151</v>
      </c>
      <c r="G207" t="s">
        <v>154</v>
      </c>
      <c r="H207" t="s">
        <v>273</v>
      </c>
      <c r="J207">
        <v>18</v>
      </c>
      <c r="K207">
        <f t="shared" si="15"/>
        <v>18</v>
      </c>
      <c r="L207" t="s">
        <v>152</v>
      </c>
      <c r="R207" t="s">
        <v>1348</v>
      </c>
    </row>
    <row r="208" spans="1:18" x14ac:dyDescent="0.25">
      <c r="A208" t="s">
        <v>341</v>
      </c>
      <c r="B208" s="4">
        <v>36660</v>
      </c>
      <c r="C208" s="9">
        <f t="shared" si="13"/>
        <v>5</v>
      </c>
      <c r="D208">
        <f t="shared" si="14"/>
        <v>2000</v>
      </c>
      <c r="E208">
        <f t="shared" si="12"/>
        <v>1</v>
      </c>
      <c r="F208" t="s">
        <v>151</v>
      </c>
      <c r="G208" t="s">
        <v>71</v>
      </c>
      <c r="H208" t="s">
        <v>94</v>
      </c>
      <c r="I208">
        <v>1</v>
      </c>
      <c r="J208">
        <v>56</v>
      </c>
      <c r="K208">
        <f t="shared" si="15"/>
        <v>116</v>
      </c>
      <c r="R208" t="s">
        <v>1348</v>
      </c>
    </row>
    <row r="209" spans="1:18" x14ac:dyDescent="0.25">
      <c r="A209" t="s">
        <v>341</v>
      </c>
      <c r="B209" s="4">
        <v>36661</v>
      </c>
      <c r="C209" s="9">
        <f t="shared" si="13"/>
        <v>5</v>
      </c>
      <c r="D209">
        <f t="shared" si="14"/>
        <v>2000</v>
      </c>
      <c r="E209">
        <f t="shared" si="12"/>
        <v>1</v>
      </c>
      <c r="F209" t="s">
        <v>151</v>
      </c>
      <c r="G209" t="s">
        <v>91</v>
      </c>
      <c r="H209" t="s">
        <v>98</v>
      </c>
      <c r="J209">
        <v>8</v>
      </c>
      <c r="K209">
        <f t="shared" si="15"/>
        <v>8</v>
      </c>
      <c r="R209" t="s">
        <v>1348</v>
      </c>
    </row>
    <row r="210" spans="1:18" x14ac:dyDescent="0.25">
      <c r="A210" t="s">
        <v>341</v>
      </c>
      <c r="B210" s="4">
        <v>36669</v>
      </c>
      <c r="C210" s="9">
        <f t="shared" si="13"/>
        <v>5</v>
      </c>
      <c r="D210">
        <f t="shared" si="14"/>
        <v>2000</v>
      </c>
      <c r="E210">
        <f t="shared" si="12"/>
        <v>1</v>
      </c>
      <c r="F210" t="s">
        <v>151</v>
      </c>
      <c r="G210" t="s">
        <v>71</v>
      </c>
      <c r="H210" t="s">
        <v>72</v>
      </c>
      <c r="J210">
        <v>33</v>
      </c>
      <c r="K210">
        <f t="shared" si="15"/>
        <v>33</v>
      </c>
      <c r="R210" t="s">
        <v>1348</v>
      </c>
    </row>
    <row r="211" spans="1:18" x14ac:dyDescent="0.25">
      <c r="A211" t="s">
        <v>341</v>
      </c>
      <c r="B211" s="4">
        <v>36670</v>
      </c>
      <c r="C211" s="9">
        <f t="shared" si="13"/>
        <v>5</v>
      </c>
      <c r="D211">
        <f t="shared" si="14"/>
        <v>2000</v>
      </c>
      <c r="E211">
        <f t="shared" si="12"/>
        <v>1</v>
      </c>
      <c r="F211" t="s">
        <v>151</v>
      </c>
      <c r="G211" t="s">
        <v>71</v>
      </c>
      <c r="H211" t="s">
        <v>72</v>
      </c>
      <c r="J211">
        <v>45</v>
      </c>
      <c r="K211">
        <f t="shared" si="15"/>
        <v>45</v>
      </c>
      <c r="R211" t="s">
        <v>1348</v>
      </c>
    </row>
    <row r="212" spans="1:18" x14ac:dyDescent="0.25">
      <c r="A212" t="s">
        <v>341</v>
      </c>
      <c r="B212" s="4">
        <v>36678</v>
      </c>
      <c r="C212" s="9">
        <f t="shared" si="13"/>
        <v>6</v>
      </c>
      <c r="D212">
        <f t="shared" si="14"/>
        <v>2000</v>
      </c>
      <c r="E212">
        <f t="shared" si="12"/>
        <v>1</v>
      </c>
      <c r="F212" t="s">
        <v>151</v>
      </c>
      <c r="G212" t="s">
        <v>71</v>
      </c>
      <c r="H212" t="s">
        <v>72</v>
      </c>
      <c r="I212">
        <v>1</v>
      </c>
      <c r="J212">
        <v>32</v>
      </c>
      <c r="K212">
        <f t="shared" si="15"/>
        <v>92</v>
      </c>
      <c r="M212" t="s">
        <v>155</v>
      </c>
      <c r="R212" t="s">
        <v>1348</v>
      </c>
    </row>
    <row r="213" spans="1:18" x14ac:dyDescent="0.25">
      <c r="A213" t="s">
        <v>341</v>
      </c>
      <c r="B213" s="4">
        <v>36680</v>
      </c>
      <c r="C213" s="9">
        <f t="shared" si="13"/>
        <v>6</v>
      </c>
      <c r="D213">
        <f t="shared" si="14"/>
        <v>2000</v>
      </c>
      <c r="E213">
        <f t="shared" si="12"/>
        <v>1</v>
      </c>
      <c r="F213" t="s">
        <v>151</v>
      </c>
      <c r="G213" t="s">
        <v>156</v>
      </c>
      <c r="H213" t="s">
        <v>157</v>
      </c>
      <c r="I213">
        <v>1</v>
      </c>
      <c r="J213">
        <v>11</v>
      </c>
      <c r="K213">
        <f t="shared" si="15"/>
        <v>71</v>
      </c>
      <c r="R213" t="s">
        <v>1348</v>
      </c>
    </row>
    <row r="214" spans="1:18" x14ac:dyDescent="0.25">
      <c r="A214" t="s">
        <v>341</v>
      </c>
      <c r="B214" s="4">
        <v>36685</v>
      </c>
      <c r="C214" s="9">
        <f t="shared" si="13"/>
        <v>6</v>
      </c>
      <c r="D214">
        <f t="shared" si="14"/>
        <v>2000</v>
      </c>
      <c r="E214">
        <f t="shared" si="12"/>
        <v>1</v>
      </c>
      <c r="F214" t="s">
        <v>151</v>
      </c>
      <c r="G214" t="s">
        <v>158</v>
      </c>
      <c r="H214" t="s">
        <v>211</v>
      </c>
      <c r="J214">
        <v>25</v>
      </c>
      <c r="K214">
        <f t="shared" si="15"/>
        <v>25</v>
      </c>
      <c r="R214" t="s">
        <v>1348</v>
      </c>
    </row>
    <row r="215" spans="1:18" x14ac:dyDescent="0.25">
      <c r="A215" t="s">
        <v>341</v>
      </c>
      <c r="B215" s="4">
        <v>36685</v>
      </c>
      <c r="C215" s="9">
        <f t="shared" si="13"/>
        <v>6</v>
      </c>
      <c r="D215">
        <f t="shared" si="14"/>
        <v>2000</v>
      </c>
      <c r="E215">
        <f t="shared" si="12"/>
        <v>0</v>
      </c>
      <c r="F215" t="s">
        <v>151</v>
      </c>
      <c r="G215" t="s">
        <v>71</v>
      </c>
      <c r="H215" t="s">
        <v>72</v>
      </c>
      <c r="J215">
        <v>15</v>
      </c>
      <c r="K215">
        <f t="shared" si="15"/>
        <v>15</v>
      </c>
      <c r="R215" t="s">
        <v>1348</v>
      </c>
    </row>
    <row r="216" spans="1:18" x14ac:dyDescent="0.25">
      <c r="A216" t="s">
        <v>341</v>
      </c>
      <c r="B216" s="4">
        <v>36694</v>
      </c>
      <c r="C216" s="9">
        <f t="shared" si="13"/>
        <v>6</v>
      </c>
      <c r="D216">
        <f t="shared" si="14"/>
        <v>2000</v>
      </c>
      <c r="E216">
        <f t="shared" si="12"/>
        <v>1</v>
      </c>
      <c r="F216" t="s">
        <v>151</v>
      </c>
      <c r="G216" t="s">
        <v>71</v>
      </c>
      <c r="H216" t="s">
        <v>72</v>
      </c>
      <c r="I216">
        <v>1</v>
      </c>
      <c r="J216">
        <v>1</v>
      </c>
      <c r="K216">
        <f t="shared" si="15"/>
        <v>61</v>
      </c>
      <c r="R216" t="s">
        <v>1348</v>
      </c>
    </row>
    <row r="217" spans="1:18" x14ac:dyDescent="0.25">
      <c r="A217" t="s">
        <v>341</v>
      </c>
      <c r="B217" s="4">
        <v>36696</v>
      </c>
      <c r="C217" s="9">
        <f t="shared" si="13"/>
        <v>6</v>
      </c>
      <c r="D217">
        <f t="shared" si="14"/>
        <v>2000</v>
      </c>
      <c r="E217">
        <f t="shared" si="12"/>
        <v>1</v>
      </c>
      <c r="F217" t="s">
        <v>151</v>
      </c>
      <c r="G217" t="s">
        <v>88</v>
      </c>
      <c r="H217" t="s">
        <v>94</v>
      </c>
      <c r="J217">
        <v>24</v>
      </c>
      <c r="K217">
        <f t="shared" si="15"/>
        <v>24</v>
      </c>
      <c r="R217" t="s">
        <v>1348</v>
      </c>
    </row>
    <row r="218" spans="1:18" x14ac:dyDescent="0.25">
      <c r="A218" t="s">
        <v>341</v>
      </c>
      <c r="B218" s="4">
        <v>36696</v>
      </c>
      <c r="C218" s="9">
        <f t="shared" si="13"/>
        <v>6</v>
      </c>
      <c r="D218">
        <f t="shared" si="14"/>
        <v>2000</v>
      </c>
      <c r="E218">
        <f t="shared" si="12"/>
        <v>0</v>
      </c>
      <c r="F218" t="s">
        <v>151</v>
      </c>
      <c r="G218" t="s">
        <v>71</v>
      </c>
      <c r="H218" t="s">
        <v>72</v>
      </c>
      <c r="J218">
        <v>16</v>
      </c>
      <c r="K218">
        <f t="shared" si="15"/>
        <v>16</v>
      </c>
      <c r="R218" t="s">
        <v>1348</v>
      </c>
    </row>
    <row r="219" spans="1:18" x14ac:dyDescent="0.25">
      <c r="A219" t="s">
        <v>341</v>
      </c>
      <c r="B219" s="4">
        <v>36709</v>
      </c>
      <c r="C219" s="9">
        <f t="shared" si="13"/>
        <v>7</v>
      </c>
      <c r="D219">
        <f t="shared" si="14"/>
        <v>2000</v>
      </c>
      <c r="E219">
        <f t="shared" si="12"/>
        <v>1</v>
      </c>
      <c r="F219" t="s">
        <v>151</v>
      </c>
      <c r="G219" t="s">
        <v>71</v>
      </c>
      <c r="H219" t="s">
        <v>72</v>
      </c>
      <c r="J219">
        <v>16</v>
      </c>
      <c r="K219">
        <f t="shared" si="15"/>
        <v>16</v>
      </c>
      <c r="R219" t="s">
        <v>1348</v>
      </c>
    </row>
    <row r="220" spans="1:18" x14ac:dyDescent="0.25">
      <c r="A220" t="s">
        <v>341</v>
      </c>
      <c r="B220" s="4">
        <v>36713</v>
      </c>
      <c r="C220" s="9">
        <f t="shared" si="13"/>
        <v>7</v>
      </c>
      <c r="D220">
        <f t="shared" si="14"/>
        <v>2000</v>
      </c>
      <c r="E220">
        <f t="shared" si="12"/>
        <v>1</v>
      </c>
      <c r="F220" t="s">
        <v>151</v>
      </c>
      <c r="G220" t="s">
        <v>91</v>
      </c>
      <c r="H220" t="s">
        <v>98</v>
      </c>
      <c r="J220">
        <v>9</v>
      </c>
      <c r="K220">
        <f t="shared" si="15"/>
        <v>9</v>
      </c>
      <c r="R220" t="s">
        <v>1348</v>
      </c>
    </row>
    <row r="221" spans="1:18" x14ac:dyDescent="0.25">
      <c r="A221" t="s">
        <v>341</v>
      </c>
      <c r="B221" s="4">
        <v>36728</v>
      </c>
      <c r="C221" s="9">
        <f t="shared" si="13"/>
        <v>7</v>
      </c>
      <c r="D221">
        <f t="shared" si="14"/>
        <v>2000</v>
      </c>
      <c r="E221">
        <f t="shared" si="12"/>
        <v>1</v>
      </c>
      <c r="F221" t="s">
        <v>151</v>
      </c>
      <c r="G221" t="s">
        <v>91</v>
      </c>
      <c r="H221" t="s">
        <v>98</v>
      </c>
      <c r="J221">
        <v>15</v>
      </c>
      <c r="K221">
        <f t="shared" si="15"/>
        <v>15</v>
      </c>
      <c r="R221" t="s">
        <v>1348</v>
      </c>
    </row>
    <row r="222" spans="1:18" x14ac:dyDescent="0.25">
      <c r="A222" t="s">
        <v>341</v>
      </c>
      <c r="B222" s="4">
        <v>36728</v>
      </c>
      <c r="C222" s="9">
        <f t="shared" si="13"/>
        <v>7</v>
      </c>
      <c r="D222">
        <f t="shared" si="14"/>
        <v>2000</v>
      </c>
      <c r="E222">
        <f t="shared" si="12"/>
        <v>0</v>
      </c>
      <c r="F222" t="s">
        <v>151</v>
      </c>
      <c r="G222" t="s">
        <v>71</v>
      </c>
      <c r="H222" t="s">
        <v>72</v>
      </c>
      <c r="I222">
        <v>2</v>
      </c>
      <c r="J222">
        <v>1</v>
      </c>
      <c r="K222">
        <f t="shared" si="15"/>
        <v>121</v>
      </c>
      <c r="R222" t="s">
        <v>1348</v>
      </c>
    </row>
    <row r="223" spans="1:18" x14ac:dyDescent="0.25">
      <c r="A223" t="s">
        <v>341</v>
      </c>
      <c r="B223" s="4">
        <v>36729</v>
      </c>
      <c r="C223" s="9">
        <f t="shared" si="13"/>
        <v>7</v>
      </c>
      <c r="D223">
        <f t="shared" si="14"/>
        <v>2000</v>
      </c>
      <c r="E223">
        <f t="shared" si="12"/>
        <v>1</v>
      </c>
      <c r="F223" t="s">
        <v>151</v>
      </c>
      <c r="G223" t="s">
        <v>71</v>
      </c>
      <c r="H223" t="s">
        <v>72</v>
      </c>
      <c r="I223">
        <v>1</v>
      </c>
      <c r="J223">
        <v>48</v>
      </c>
      <c r="K223">
        <f t="shared" si="15"/>
        <v>108</v>
      </c>
      <c r="R223" t="s">
        <v>1348</v>
      </c>
    </row>
    <row r="224" spans="1:18" x14ac:dyDescent="0.25">
      <c r="A224" t="s">
        <v>341</v>
      </c>
      <c r="B224" s="4">
        <v>36734</v>
      </c>
      <c r="C224" s="9">
        <f t="shared" si="13"/>
        <v>7</v>
      </c>
      <c r="D224">
        <f t="shared" si="14"/>
        <v>2000</v>
      </c>
      <c r="E224">
        <f t="shared" si="12"/>
        <v>1</v>
      </c>
      <c r="F224" t="s">
        <v>151</v>
      </c>
      <c r="G224" t="s">
        <v>159</v>
      </c>
      <c r="H224" t="s">
        <v>160</v>
      </c>
      <c r="J224">
        <v>28</v>
      </c>
      <c r="K224">
        <f t="shared" si="15"/>
        <v>28</v>
      </c>
      <c r="M224" t="s">
        <v>162</v>
      </c>
      <c r="R224" t="s">
        <v>1348</v>
      </c>
    </row>
    <row r="225" spans="1:18" x14ac:dyDescent="0.25">
      <c r="A225" t="s">
        <v>341</v>
      </c>
      <c r="B225" s="4">
        <v>36738</v>
      </c>
      <c r="C225" s="9">
        <f t="shared" si="13"/>
        <v>7</v>
      </c>
      <c r="D225">
        <f t="shared" si="14"/>
        <v>2000</v>
      </c>
      <c r="E225">
        <f t="shared" si="12"/>
        <v>1</v>
      </c>
      <c r="F225" t="s">
        <v>151</v>
      </c>
      <c r="G225" t="s">
        <v>88</v>
      </c>
      <c r="H225" t="s">
        <v>94</v>
      </c>
      <c r="I225">
        <v>1</v>
      </c>
      <c r="J225">
        <v>26</v>
      </c>
      <c r="K225">
        <f t="shared" si="15"/>
        <v>86</v>
      </c>
      <c r="M225" t="s">
        <v>161</v>
      </c>
      <c r="R225" t="s">
        <v>1348</v>
      </c>
    </row>
    <row r="226" spans="1:18" x14ac:dyDescent="0.25">
      <c r="A226" t="s">
        <v>341</v>
      </c>
      <c r="B226" s="4">
        <v>36739</v>
      </c>
      <c r="C226" s="9">
        <f t="shared" si="13"/>
        <v>8</v>
      </c>
      <c r="D226">
        <f t="shared" si="14"/>
        <v>2000</v>
      </c>
      <c r="E226">
        <f t="shared" si="12"/>
        <v>1</v>
      </c>
      <c r="F226" t="s">
        <v>151</v>
      </c>
      <c r="G226" t="s">
        <v>71</v>
      </c>
      <c r="H226" t="s">
        <v>72</v>
      </c>
      <c r="J226">
        <v>18</v>
      </c>
      <c r="K226">
        <f t="shared" si="15"/>
        <v>18</v>
      </c>
      <c r="R226" t="s">
        <v>1348</v>
      </c>
    </row>
    <row r="227" spans="1:18" x14ac:dyDescent="0.25">
      <c r="A227" t="s">
        <v>341</v>
      </c>
      <c r="B227" s="4">
        <v>36748</v>
      </c>
      <c r="C227" s="9">
        <f t="shared" si="13"/>
        <v>8</v>
      </c>
      <c r="D227">
        <f t="shared" si="14"/>
        <v>2000</v>
      </c>
      <c r="E227">
        <f t="shared" si="12"/>
        <v>1</v>
      </c>
      <c r="F227" t="s">
        <v>151</v>
      </c>
      <c r="G227" t="s">
        <v>88</v>
      </c>
      <c r="H227" t="s">
        <v>94</v>
      </c>
      <c r="J227">
        <v>17</v>
      </c>
      <c r="K227">
        <f t="shared" si="15"/>
        <v>17</v>
      </c>
      <c r="R227" t="s">
        <v>1348</v>
      </c>
    </row>
    <row r="228" spans="1:18" x14ac:dyDescent="0.25">
      <c r="A228" t="s">
        <v>341</v>
      </c>
      <c r="B228" s="4">
        <v>36749</v>
      </c>
      <c r="C228" s="9">
        <f t="shared" si="13"/>
        <v>8</v>
      </c>
      <c r="D228">
        <f t="shared" si="14"/>
        <v>2000</v>
      </c>
      <c r="E228">
        <f t="shared" si="12"/>
        <v>1</v>
      </c>
      <c r="F228" t="s">
        <v>151</v>
      </c>
      <c r="G228" t="s">
        <v>88</v>
      </c>
      <c r="H228" t="s">
        <v>94</v>
      </c>
      <c r="I228">
        <v>1</v>
      </c>
      <c r="J228">
        <v>30</v>
      </c>
      <c r="K228">
        <f t="shared" si="15"/>
        <v>90</v>
      </c>
      <c r="R228" t="s">
        <v>1348</v>
      </c>
    </row>
    <row r="229" spans="1:18" x14ac:dyDescent="0.25">
      <c r="A229" t="s">
        <v>341</v>
      </c>
      <c r="B229" s="4">
        <v>36749</v>
      </c>
      <c r="C229" s="9">
        <f t="shared" si="13"/>
        <v>8</v>
      </c>
      <c r="D229">
        <f t="shared" si="14"/>
        <v>2000</v>
      </c>
      <c r="E229">
        <f t="shared" si="12"/>
        <v>0</v>
      </c>
      <c r="F229" t="s">
        <v>151</v>
      </c>
      <c r="G229" t="s">
        <v>71</v>
      </c>
      <c r="H229" t="s">
        <v>72</v>
      </c>
      <c r="I229">
        <v>2</v>
      </c>
      <c r="J229">
        <v>5</v>
      </c>
      <c r="K229">
        <f t="shared" si="15"/>
        <v>125</v>
      </c>
      <c r="M229" t="s">
        <v>163</v>
      </c>
      <c r="R229" t="s">
        <v>1348</v>
      </c>
    </row>
    <row r="230" spans="1:18" x14ac:dyDescent="0.25">
      <c r="A230" t="s">
        <v>341</v>
      </c>
      <c r="B230" s="4">
        <v>36753</v>
      </c>
      <c r="C230" s="9">
        <f t="shared" si="13"/>
        <v>8</v>
      </c>
      <c r="D230">
        <f t="shared" si="14"/>
        <v>2000</v>
      </c>
      <c r="E230">
        <f t="shared" si="12"/>
        <v>1</v>
      </c>
      <c r="F230" t="s">
        <v>151</v>
      </c>
      <c r="G230" t="s">
        <v>7</v>
      </c>
      <c r="H230" t="s">
        <v>97</v>
      </c>
      <c r="J230">
        <v>42</v>
      </c>
      <c r="K230">
        <f t="shared" si="15"/>
        <v>42</v>
      </c>
      <c r="M230" t="s">
        <v>164</v>
      </c>
      <c r="R230" t="s">
        <v>1348</v>
      </c>
    </row>
    <row r="231" spans="1:18" x14ac:dyDescent="0.25">
      <c r="A231" t="s">
        <v>341</v>
      </c>
      <c r="B231" s="4">
        <v>36761</v>
      </c>
      <c r="C231" s="9">
        <f t="shared" si="13"/>
        <v>8</v>
      </c>
      <c r="D231">
        <f t="shared" si="14"/>
        <v>2000</v>
      </c>
      <c r="E231">
        <f t="shared" si="12"/>
        <v>1</v>
      </c>
      <c r="F231" t="s">
        <v>151</v>
      </c>
      <c r="G231" t="s">
        <v>71</v>
      </c>
      <c r="H231" t="s">
        <v>72</v>
      </c>
      <c r="J231">
        <v>16</v>
      </c>
      <c r="K231">
        <f t="shared" si="15"/>
        <v>16</v>
      </c>
      <c r="R231" t="s">
        <v>1348</v>
      </c>
    </row>
    <row r="232" spans="1:18" x14ac:dyDescent="0.25">
      <c r="A232" t="s">
        <v>341</v>
      </c>
      <c r="B232" s="4">
        <v>36761</v>
      </c>
      <c r="C232" s="9">
        <f t="shared" si="13"/>
        <v>8</v>
      </c>
      <c r="D232">
        <f t="shared" si="14"/>
        <v>2000</v>
      </c>
      <c r="E232">
        <f t="shared" si="12"/>
        <v>0</v>
      </c>
      <c r="F232" t="s">
        <v>151</v>
      </c>
      <c r="G232" t="s">
        <v>71</v>
      </c>
      <c r="H232" t="s">
        <v>72</v>
      </c>
      <c r="J232">
        <v>16</v>
      </c>
      <c r="K232">
        <f t="shared" si="15"/>
        <v>16</v>
      </c>
      <c r="R232" t="s">
        <v>1348</v>
      </c>
    </row>
    <row r="233" spans="1:18" x14ac:dyDescent="0.25">
      <c r="A233" t="s">
        <v>341</v>
      </c>
      <c r="B233" s="4">
        <v>36780</v>
      </c>
      <c r="C233" s="9">
        <f t="shared" si="13"/>
        <v>9</v>
      </c>
      <c r="D233">
        <f t="shared" si="14"/>
        <v>2000</v>
      </c>
      <c r="E233">
        <f t="shared" si="12"/>
        <v>1</v>
      </c>
      <c r="F233" t="s">
        <v>151</v>
      </c>
      <c r="G233" t="s">
        <v>71</v>
      </c>
      <c r="H233" t="s">
        <v>72</v>
      </c>
      <c r="J233">
        <v>14</v>
      </c>
      <c r="K233">
        <f t="shared" si="15"/>
        <v>14</v>
      </c>
      <c r="R233" t="s">
        <v>1348</v>
      </c>
    </row>
    <row r="234" spans="1:18" x14ac:dyDescent="0.25">
      <c r="A234" t="s">
        <v>341</v>
      </c>
      <c r="B234" s="4">
        <v>36982</v>
      </c>
      <c r="C234" s="9">
        <f t="shared" si="13"/>
        <v>4</v>
      </c>
      <c r="D234">
        <f t="shared" si="14"/>
        <v>2001</v>
      </c>
      <c r="E234">
        <f t="shared" si="12"/>
        <v>1</v>
      </c>
      <c r="F234" t="s">
        <v>151</v>
      </c>
      <c r="G234" t="s">
        <v>165</v>
      </c>
      <c r="J234">
        <v>10</v>
      </c>
      <c r="K234">
        <f t="shared" si="15"/>
        <v>10</v>
      </c>
      <c r="M234" t="s">
        <v>172</v>
      </c>
      <c r="R234" t="s">
        <v>1348</v>
      </c>
    </row>
    <row r="235" spans="1:18" x14ac:dyDescent="0.25">
      <c r="A235" t="s">
        <v>341</v>
      </c>
      <c r="B235" s="4">
        <v>37004</v>
      </c>
      <c r="C235" s="9">
        <f t="shared" si="13"/>
        <v>4</v>
      </c>
      <c r="D235">
        <f t="shared" si="14"/>
        <v>2001</v>
      </c>
      <c r="E235">
        <f t="shared" si="12"/>
        <v>1</v>
      </c>
      <c r="F235" t="s">
        <v>151</v>
      </c>
      <c r="G235" t="s">
        <v>166</v>
      </c>
      <c r="H235" t="s">
        <v>168</v>
      </c>
      <c r="J235">
        <v>45</v>
      </c>
      <c r="K235">
        <f t="shared" si="15"/>
        <v>45</v>
      </c>
      <c r="L235" t="s">
        <v>173</v>
      </c>
      <c r="R235" t="s">
        <v>1348</v>
      </c>
    </row>
    <row r="236" spans="1:18" x14ac:dyDescent="0.25">
      <c r="A236" t="s">
        <v>341</v>
      </c>
      <c r="B236" s="4">
        <v>37004</v>
      </c>
      <c r="C236" s="9">
        <f t="shared" si="13"/>
        <v>4</v>
      </c>
      <c r="D236">
        <f t="shared" si="14"/>
        <v>2001</v>
      </c>
      <c r="E236">
        <f t="shared" si="12"/>
        <v>0</v>
      </c>
      <c r="F236" t="s">
        <v>151</v>
      </c>
      <c r="G236" t="s">
        <v>166</v>
      </c>
      <c r="H236" t="s">
        <v>169</v>
      </c>
      <c r="I236">
        <v>1</v>
      </c>
      <c r="J236">
        <v>0</v>
      </c>
      <c r="K236">
        <f t="shared" si="15"/>
        <v>60</v>
      </c>
      <c r="L236" t="s">
        <v>173</v>
      </c>
      <c r="R236" t="s">
        <v>1348</v>
      </c>
    </row>
    <row r="237" spans="1:18" x14ac:dyDescent="0.25">
      <c r="A237" t="s">
        <v>341</v>
      </c>
      <c r="B237" s="4">
        <v>37005</v>
      </c>
      <c r="C237" s="9">
        <f t="shared" si="13"/>
        <v>4</v>
      </c>
      <c r="D237">
        <f t="shared" si="14"/>
        <v>2001</v>
      </c>
      <c r="E237">
        <f t="shared" si="12"/>
        <v>1</v>
      </c>
      <c r="F237" t="s">
        <v>151</v>
      </c>
      <c r="G237" t="s">
        <v>167</v>
      </c>
      <c r="H237" t="s">
        <v>170</v>
      </c>
      <c r="I237">
        <v>2</v>
      </c>
      <c r="J237">
        <v>45</v>
      </c>
      <c r="K237">
        <f t="shared" si="15"/>
        <v>165</v>
      </c>
      <c r="L237" t="s">
        <v>173</v>
      </c>
      <c r="R237" t="s">
        <v>1348</v>
      </c>
    </row>
    <row r="238" spans="1:18" x14ac:dyDescent="0.25">
      <c r="A238" t="s">
        <v>341</v>
      </c>
      <c r="B238" s="4">
        <v>37005</v>
      </c>
      <c r="C238" s="9">
        <f t="shared" si="13"/>
        <v>4</v>
      </c>
      <c r="D238">
        <f t="shared" si="14"/>
        <v>2001</v>
      </c>
      <c r="E238">
        <f t="shared" si="12"/>
        <v>0</v>
      </c>
      <c r="F238" t="s">
        <v>151</v>
      </c>
      <c r="G238" t="s">
        <v>167</v>
      </c>
      <c r="H238" t="s">
        <v>170</v>
      </c>
      <c r="I238">
        <v>1</v>
      </c>
      <c r="J238">
        <v>15</v>
      </c>
      <c r="K238">
        <f t="shared" si="15"/>
        <v>75</v>
      </c>
      <c r="L238" t="s">
        <v>173</v>
      </c>
      <c r="R238" t="s">
        <v>1348</v>
      </c>
    </row>
    <row r="239" spans="1:18" x14ac:dyDescent="0.25">
      <c r="A239" t="s">
        <v>341</v>
      </c>
      <c r="B239" s="4">
        <v>37008</v>
      </c>
      <c r="C239" s="9">
        <f t="shared" si="13"/>
        <v>4</v>
      </c>
      <c r="D239">
        <f t="shared" si="14"/>
        <v>2001</v>
      </c>
      <c r="E239">
        <f t="shared" si="12"/>
        <v>1</v>
      </c>
      <c r="F239" t="s">
        <v>151</v>
      </c>
      <c r="G239" t="s">
        <v>167</v>
      </c>
      <c r="H239" t="s">
        <v>171</v>
      </c>
      <c r="J239">
        <v>12</v>
      </c>
      <c r="K239">
        <f t="shared" si="15"/>
        <v>12</v>
      </c>
      <c r="L239" t="s">
        <v>173</v>
      </c>
      <c r="R239" t="s">
        <v>1348</v>
      </c>
    </row>
    <row r="240" spans="1:18" x14ac:dyDescent="0.25">
      <c r="A240" t="s">
        <v>341</v>
      </c>
      <c r="B240" s="4">
        <v>37008</v>
      </c>
      <c r="C240" s="9">
        <f t="shared" si="13"/>
        <v>4</v>
      </c>
      <c r="D240">
        <f t="shared" si="14"/>
        <v>2001</v>
      </c>
      <c r="E240">
        <f t="shared" si="12"/>
        <v>0</v>
      </c>
      <c r="F240" t="s">
        <v>151</v>
      </c>
      <c r="G240" t="s">
        <v>167</v>
      </c>
      <c r="H240" t="s">
        <v>171</v>
      </c>
      <c r="J240">
        <v>18</v>
      </c>
      <c r="K240">
        <f t="shared" si="15"/>
        <v>18</v>
      </c>
      <c r="L240" t="s">
        <v>173</v>
      </c>
      <c r="R240" t="s">
        <v>1348</v>
      </c>
    </row>
    <row r="241" spans="1:18" x14ac:dyDescent="0.25">
      <c r="A241" t="s">
        <v>341</v>
      </c>
      <c r="B241" s="4">
        <v>37008</v>
      </c>
      <c r="C241" s="9">
        <f t="shared" si="13"/>
        <v>4</v>
      </c>
      <c r="D241">
        <f t="shared" si="14"/>
        <v>2001</v>
      </c>
      <c r="E241">
        <f t="shared" si="12"/>
        <v>0</v>
      </c>
      <c r="F241" t="s">
        <v>151</v>
      </c>
      <c r="G241" t="s">
        <v>167</v>
      </c>
      <c r="H241" t="s">
        <v>171</v>
      </c>
      <c r="J241">
        <v>10</v>
      </c>
      <c r="K241">
        <f t="shared" si="15"/>
        <v>10</v>
      </c>
      <c r="L241" t="s">
        <v>173</v>
      </c>
      <c r="R241" t="s">
        <v>1348</v>
      </c>
    </row>
    <row r="242" spans="1:18" x14ac:dyDescent="0.25">
      <c r="A242" t="s">
        <v>341</v>
      </c>
      <c r="B242" s="4">
        <v>37024</v>
      </c>
      <c r="C242" s="9">
        <f t="shared" si="13"/>
        <v>5</v>
      </c>
      <c r="D242">
        <f t="shared" si="14"/>
        <v>2001</v>
      </c>
      <c r="E242">
        <f t="shared" si="12"/>
        <v>1</v>
      </c>
      <c r="F242" t="s">
        <v>151</v>
      </c>
      <c r="G242" t="s">
        <v>88</v>
      </c>
      <c r="H242" t="s">
        <v>94</v>
      </c>
      <c r="J242">
        <v>12</v>
      </c>
      <c r="K242">
        <f t="shared" si="15"/>
        <v>12</v>
      </c>
      <c r="R242" t="s">
        <v>1348</v>
      </c>
    </row>
    <row r="243" spans="1:18" x14ac:dyDescent="0.25">
      <c r="A243" t="s">
        <v>341</v>
      </c>
      <c r="B243" s="4">
        <v>37034</v>
      </c>
      <c r="C243" s="9">
        <f t="shared" si="13"/>
        <v>5</v>
      </c>
      <c r="D243">
        <f t="shared" si="14"/>
        <v>2001</v>
      </c>
      <c r="E243">
        <f t="shared" si="12"/>
        <v>1</v>
      </c>
      <c r="F243" t="s">
        <v>151</v>
      </c>
      <c r="G243" t="s">
        <v>91</v>
      </c>
      <c r="H243" t="s">
        <v>98</v>
      </c>
      <c r="J243">
        <v>12</v>
      </c>
      <c r="K243">
        <f t="shared" si="15"/>
        <v>12</v>
      </c>
      <c r="R243" t="s">
        <v>1348</v>
      </c>
    </row>
    <row r="244" spans="1:18" x14ac:dyDescent="0.25">
      <c r="A244" t="s">
        <v>341</v>
      </c>
      <c r="B244" s="4">
        <v>37035</v>
      </c>
      <c r="C244" s="9">
        <f t="shared" si="13"/>
        <v>5</v>
      </c>
      <c r="D244">
        <f t="shared" si="14"/>
        <v>2001</v>
      </c>
      <c r="E244">
        <f t="shared" si="12"/>
        <v>1</v>
      </c>
      <c r="F244" t="s">
        <v>151</v>
      </c>
      <c r="G244" t="s">
        <v>71</v>
      </c>
      <c r="H244" t="s">
        <v>72</v>
      </c>
      <c r="J244">
        <v>15</v>
      </c>
      <c r="K244">
        <f t="shared" si="15"/>
        <v>15</v>
      </c>
      <c r="M244" t="s">
        <v>178</v>
      </c>
      <c r="R244" t="s">
        <v>1348</v>
      </c>
    </row>
    <row r="245" spans="1:18" x14ac:dyDescent="0.25">
      <c r="A245" t="s">
        <v>341</v>
      </c>
      <c r="B245" s="4">
        <v>37037</v>
      </c>
      <c r="C245" s="9">
        <f t="shared" si="13"/>
        <v>5</v>
      </c>
      <c r="D245">
        <f t="shared" si="14"/>
        <v>2001</v>
      </c>
      <c r="E245">
        <f t="shared" si="12"/>
        <v>1</v>
      </c>
      <c r="F245" t="s">
        <v>151</v>
      </c>
      <c r="G245" t="s">
        <v>71</v>
      </c>
      <c r="H245" t="s">
        <v>72</v>
      </c>
      <c r="I245">
        <v>1</v>
      </c>
      <c r="J245">
        <v>32</v>
      </c>
      <c r="K245">
        <f t="shared" si="15"/>
        <v>92</v>
      </c>
      <c r="R245" t="s">
        <v>1348</v>
      </c>
    </row>
    <row r="246" spans="1:18" x14ac:dyDescent="0.25">
      <c r="A246" t="s">
        <v>341</v>
      </c>
      <c r="B246" s="4">
        <v>37038</v>
      </c>
      <c r="C246" s="9">
        <f t="shared" si="13"/>
        <v>5</v>
      </c>
      <c r="D246">
        <f t="shared" si="14"/>
        <v>2001</v>
      </c>
      <c r="E246">
        <f t="shared" si="12"/>
        <v>1</v>
      </c>
      <c r="F246" t="s">
        <v>151</v>
      </c>
      <c r="G246" t="s">
        <v>71</v>
      </c>
      <c r="H246" t="s">
        <v>72</v>
      </c>
      <c r="J246">
        <v>56</v>
      </c>
      <c r="K246">
        <f t="shared" si="15"/>
        <v>56</v>
      </c>
      <c r="R246" t="s">
        <v>1348</v>
      </c>
    </row>
    <row r="247" spans="1:18" x14ac:dyDescent="0.25">
      <c r="A247" t="s">
        <v>341</v>
      </c>
      <c r="B247" s="4">
        <v>37041</v>
      </c>
      <c r="C247" s="9">
        <f t="shared" si="13"/>
        <v>5</v>
      </c>
      <c r="D247">
        <f t="shared" si="14"/>
        <v>2001</v>
      </c>
      <c r="E247">
        <f t="shared" si="12"/>
        <v>1</v>
      </c>
      <c r="F247" t="s">
        <v>151</v>
      </c>
      <c r="G247" t="s">
        <v>88</v>
      </c>
      <c r="H247" t="s">
        <v>94</v>
      </c>
      <c r="I247">
        <v>1</v>
      </c>
      <c r="J247">
        <v>44</v>
      </c>
      <c r="K247">
        <f t="shared" si="15"/>
        <v>104</v>
      </c>
      <c r="R247" t="s">
        <v>1348</v>
      </c>
    </row>
    <row r="248" spans="1:18" x14ac:dyDescent="0.25">
      <c r="A248" t="s">
        <v>341</v>
      </c>
      <c r="B248" s="4">
        <v>37046</v>
      </c>
      <c r="C248" s="9">
        <f t="shared" si="13"/>
        <v>6</v>
      </c>
      <c r="D248">
        <f t="shared" si="14"/>
        <v>2001</v>
      </c>
      <c r="E248">
        <f t="shared" si="12"/>
        <v>1</v>
      </c>
      <c r="F248" t="s">
        <v>151</v>
      </c>
      <c r="G248" t="s">
        <v>88</v>
      </c>
      <c r="H248" t="s">
        <v>94</v>
      </c>
      <c r="J248">
        <v>36</v>
      </c>
      <c r="K248">
        <f t="shared" si="15"/>
        <v>36</v>
      </c>
      <c r="M248" t="s">
        <v>179</v>
      </c>
      <c r="R248" t="s">
        <v>1348</v>
      </c>
    </row>
    <row r="249" spans="1:18" x14ac:dyDescent="0.25">
      <c r="A249" t="s">
        <v>341</v>
      </c>
      <c r="B249" s="4">
        <v>37047</v>
      </c>
      <c r="C249" s="9">
        <f t="shared" si="13"/>
        <v>6</v>
      </c>
      <c r="D249">
        <f t="shared" si="14"/>
        <v>2001</v>
      </c>
      <c r="E249">
        <f t="shared" si="12"/>
        <v>1</v>
      </c>
      <c r="F249" t="s">
        <v>151</v>
      </c>
      <c r="G249" t="s">
        <v>71</v>
      </c>
      <c r="H249" t="s">
        <v>72</v>
      </c>
      <c r="J249">
        <v>16</v>
      </c>
      <c r="K249">
        <f t="shared" si="15"/>
        <v>16</v>
      </c>
      <c r="R249" t="s">
        <v>1348</v>
      </c>
    </row>
    <row r="250" spans="1:18" x14ac:dyDescent="0.25">
      <c r="A250" t="s">
        <v>341</v>
      </c>
      <c r="B250" s="4">
        <v>37065</v>
      </c>
      <c r="C250" s="9">
        <f t="shared" si="13"/>
        <v>6</v>
      </c>
      <c r="D250">
        <f t="shared" si="14"/>
        <v>2001</v>
      </c>
      <c r="E250">
        <f t="shared" si="12"/>
        <v>1</v>
      </c>
      <c r="F250" t="s">
        <v>151</v>
      </c>
      <c r="G250" t="s">
        <v>71</v>
      </c>
      <c r="H250" t="s">
        <v>177</v>
      </c>
      <c r="J250">
        <v>16</v>
      </c>
      <c r="K250">
        <f t="shared" si="15"/>
        <v>16</v>
      </c>
      <c r="R250" t="s">
        <v>1348</v>
      </c>
    </row>
    <row r="251" spans="1:18" x14ac:dyDescent="0.25">
      <c r="A251" t="s">
        <v>341</v>
      </c>
      <c r="B251" s="4">
        <v>37066</v>
      </c>
      <c r="C251" s="9">
        <f t="shared" si="13"/>
        <v>6</v>
      </c>
      <c r="D251">
        <f t="shared" si="14"/>
        <v>2001</v>
      </c>
      <c r="E251">
        <f t="shared" si="12"/>
        <v>1</v>
      </c>
      <c r="F251" t="s">
        <v>151</v>
      </c>
      <c r="G251" t="s">
        <v>7</v>
      </c>
      <c r="H251" t="s">
        <v>97</v>
      </c>
      <c r="I251">
        <v>1</v>
      </c>
      <c r="J251">
        <v>0</v>
      </c>
      <c r="K251">
        <f t="shared" si="15"/>
        <v>60</v>
      </c>
      <c r="M251" t="s">
        <v>180</v>
      </c>
      <c r="R251" t="s">
        <v>1348</v>
      </c>
    </row>
    <row r="252" spans="1:18" x14ac:dyDescent="0.25">
      <c r="A252" t="s">
        <v>341</v>
      </c>
      <c r="B252" s="4">
        <v>37067</v>
      </c>
      <c r="C252" s="9">
        <f t="shared" si="13"/>
        <v>6</v>
      </c>
      <c r="D252">
        <f t="shared" si="14"/>
        <v>2001</v>
      </c>
      <c r="E252">
        <f t="shared" si="12"/>
        <v>1</v>
      </c>
      <c r="F252" t="s">
        <v>174</v>
      </c>
      <c r="G252" t="s">
        <v>7</v>
      </c>
      <c r="H252" t="s">
        <v>97</v>
      </c>
      <c r="J252">
        <v>10</v>
      </c>
      <c r="K252">
        <f t="shared" si="15"/>
        <v>10</v>
      </c>
      <c r="M252" t="s">
        <v>181</v>
      </c>
      <c r="R252" t="s">
        <v>1348</v>
      </c>
    </row>
    <row r="253" spans="1:18" x14ac:dyDescent="0.25">
      <c r="A253" t="s">
        <v>341</v>
      </c>
      <c r="B253" s="4">
        <v>37067</v>
      </c>
      <c r="C253" s="9">
        <f t="shared" si="13"/>
        <v>6</v>
      </c>
      <c r="D253">
        <f t="shared" si="14"/>
        <v>2001</v>
      </c>
      <c r="E253">
        <f t="shared" si="12"/>
        <v>0</v>
      </c>
      <c r="F253" t="s">
        <v>174</v>
      </c>
      <c r="G253" t="s">
        <v>7</v>
      </c>
      <c r="H253" t="s">
        <v>97</v>
      </c>
      <c r="I253">
        <v>2</v>
      </c>
      <c r="J253">
        <v>17</v>
      </c>
      <c r="K253">
        <f t="shared" si="15"/>
        <v>137</v>
      </c>
      <c r="R253" t="s">
        <v>1348</v>
      </c>
    </row>
    <row r="254" spans="1:18" x14ac:dyDescent="0.25">
      <c r="A254" t="s">
        <v>341</v>
      </c>
      <c r="B254" s="4">
        <v>37097</v>
      </c>
      <c r="C254" s="9">
        <f t="shared" si="13"/>
        <v>7</v>
      </c>
      <c r="D254">
        <f t="shared" si="14"/>
        <v>2001</v>
      </c>
      <c r="E254">
        <f t="shared" si="12"/>
        <v>1</v>
      </c>
      <c r="F254" t="s">
        <v>151</v>
      </c>
      <c r="G254" t="s">
        <v>175</v>
      </c>
      <c r="H254" t="s">
        <v>176</v>
      </c>
      <c r="J254">
        <v>13</v>
      </c>
      <c r="K254">
        <f t="shared" si="15"/>
        <v>13</v>
      </c>
      <c r="M254" t="s">
        <v>220</v>
      </c>
      <c r="R254" t="s">
        <v>1348</v>
      </c>
    </row>
    <row r="255" spans="1:18" x14ac:dyDescent="0.25">
      <c r="A255" t="s">
        <v>341</v>
      </c>
      <c r="B255" s="4">
        <v>37101</v>
      </c>
      <c r="C255" s="9">
        <f t="shared" si="13"/>
        <v>7</v>
      </c>
      <c r="D255">
        <f t="shared" si="14"/>
        <v>2001</v>
      </c>
      <c r="E255">
        <f t="shared" si="12"/>
        <v>1</v>
      </c>
      <c r="F255" t="s">
        <v>151</v>
      </c>
      <c r="G255" t="s">
        <v>175</v>
      </c>
      <c r="H255" t="s">
        <v>176</v>
      </c>
      <c r="J255">
        <v>13</v>
      </c>
      <c r="K255">
        <f t="shared" si="15"/>
        <v>13</v>
      </c>
      <c r="M255" t="s">
        <v>220</v>
      </c>
      <c r="R255" t="s">
        <v>1348</v>
      </c>
    </row>
    <row r="256" spans="1:18" x14ac:dyDescent="0.25">
      <c r="A256" t="s">
        <v>341</v>
      </c>
      <c r="B256" s="4">
        <v>37102</v>
      </c>
      <c r="C256" s="9">
        <f t="shared" si="13"/>
        <v>7</v>
      </c>
      <c r="D256">
        <f t="shared" si="14"/>
        <v>2001</v>
      </c>
      <c r="E256">
        <f t="shared" si="12"/>
        <v>1</v>
      </c>
      <c r="F256" t="s">
        <v>151</v>
      </c>
      <c r="G256" t="s">
        <v>71</v>
      </c>
      <c r="H256" t="s">
        <v>72</v>
      </c>
      <c r="I256">
        <v>1</v>
      </c>
      <c r="J256">
        <v>57</v>
      </c>
      <c r="K256">
        <f t="shared" si="15"/>
        <v>117</v>
      </c>
      <c r="R256" t="s">
        <v>1348</v>
      </c>
    </row>
    <row r="257" spans="1:18" x14ac:dyDescent="0.25">
      <c r="A257" t="s">
        <v>341</v>
      </c>
      <c r="B257" s="4">
        <v>37103</v>
      </c>
      <c r="C257" s="9">
        <f t="shared" si="13"/>
        <v>7</v>
      </c>
      <c r="D257">
        <f t="shared" si="14"/>
        <v>2001</v>
      </c>
      <c r="E257">
        <f t="shared" si="12"/>
        <v>1</v>
      </c>
      <c r="F257" t="s">
        <v>151</v>
      </c>
      <c r="G257" t="s">
        <v>71</v>
      </c>
      <c r="H257" t="s">
        <v>72</v>
      </c>
      <c r="J257">
        <v>25</v>
      </c>
      <c r="K257">
        <f t="shared" si="15"/>
        <v>25</v>
      </c>
      <c r="R257" t="s">
        <v>1348</v>
      </c>
    </row>
    <row r="258" spans="1:18" x14ac:dyDescent="0.25">
      <c r="A258" t="s">
        <v>341</v>
      </c>
      <c r="B258" s="4">
        <v>37117</v>
      </c>
      <c r="C258" s="9">
        <f t="shared" si="13"/>
        <v>8</v>
      </c>
      <c r="D258">
        <f t="shared" si="14"/>
        <v>2001</v>
      </c>
      <c r="E258">
        <f t="shared" ref="E258:E321" si="16">IF(OR(A258 = "GS",A258 = "BP"),IF( OR(A257="GS",A257="BP"),IF(B257=B258,0,1),1),0)</f>
        <v>1</v>
      </c>
      <c r="F258" t="s">
        <v>151</v>
      </c>
      <c r="G258" t="s">
        <v>71</v>
      </c>
      <c r="H258" t="s">
        <v>72</v>
      </c>
      <c r="J258">
        <v>14</v>
      </c>
      <c r="K258">
        <f t="shared" si="15"/>
        <v>14</v>
      </c>
      <c r="R258" t="s">
        <v>1348</v>
      </c>
    </row>
    <row r="259" spans="1:18" x14ac:dyDescent="0.25">
      <c r="A259" t="s">
        <v>341</v>
      </c>
      <c r="B259" s="4">
        <v>37121</v>
      </c>
      <c r="C259" s="9">
        <f t="shared" ref="C259:C322" si="17">MONTH(B259)</f>
        <v>8</v>
      </c>
      <c r="D259">
        <f t="shared" ref="D259:D322" si="18">YEAR(B259)</f>
        <v>2001</v>
      </c>
      <c r="E259">
        <f t="shared" si="16"/>
        <v>1</v>
      </c>
      <c r="F259" t="s">
        <v>151</v>
      </c>
      <c r="G259" t="s">
        <v>150</v>
      </c>
      <c r="H259" t="s">
        <v>157</v>
      </c>
      <c r="J259">
        <v>2.4</v>
      </c>
      <c r="K259">
        <f t="shared" ref="K259:K322" si="19">I259*60+J259</f>
        <v>2.4</v>
      </c>
      <c r="M259" t="s">
        <v>182</v>
      </c>
      <c r="R259" t="s">
        <v>1348</v>
      </c>
    </row>
    <row r="260" spans="1:18" x14ac:dyDescent="0.25">
      <c r="A260" t="s">
        <v>341</v>
      </c>
      <c r="B260" s="4">
        <v>37128</v>
      </c>
      <c r="C260" s="9">
        <f t="shared" si="17"/>
        <v>8</v>
      </c>
      <c r="D260">
        <f t="shared" si="18"/>
        <v>2001</v>
      </c>
      <c r="E260">
        <f t="shared" si="16"/>
        <v>1</v>
      </c>
      <c r="F260" t="s">
        <v>151</v>
      </c>
      <c r="G260" t="s">
        <v>150</v>
      </c>
      <c r="H260" t="s">
        <v>157</v>
      </c>
      <c r="J260">
        <v>24</v>
      </c>
      <c r="K260">
        <f t="shared" si="19"/>
        <v>24</v>
      </c>
      <c r="R260" t="s">
        <v>1348</v>
      </c>
    </row>
    <row r="261" spans="1:18" x14ac:dyDescent="0.25">
      <c r="A261" t="s">
        <v>341</v>
      </c>
      <c r="B261" s="4">
        <v>37128</v>
      </c>
      <c r="C261" s="9">
        <f t="shared" si="17"/>
        <v>8</v>
      </c>
      <c r="D261">
        <f t="shared" si="18"/>
        <v>2001</v>
      </c>
      <c r="E261">
        <f t="shared" si="16"/>
        <v>0</v>
      </c>
      <c r="F261" t="s">
        <v>151</v>
      </c>
      <c r="G261" t="s">
        <v>150</v>
      </c>
      <c r="H261" t="s">
        <v>157</v>
      </c>
      <c r="J261">
        <v>27</v>
      </c>
      <c r="K261">
        <f t="shared" si="19"/>
        <v>27</v>
      </c>
      <c r="R261" t="s">
        <v>1348</v>
      </c>
    </row>
    <row r="262" spans="1:18" x14ac:dyDescent="0.25">
      <c r="A262" t="s">
        <v>341</v>
      </c>
      <c r="B262" s="4">
        <v>37177</v>
      </c>
      <c r="C262" s="9">
        <f t="shared" si="17"/>
        <v>10</v>
      </c>
      <c r="D262">
        <f t="shared" si="18"/>
        <v>2001</v>
      </c>
      <c r="E262">
        <f t="shared" si="16"/>
        <v>1</v>
      </c>
      <c r="F262" t="s">
        <v>151</v>
      </c>
      <c r="G262" t="s">
        <v>150</v>
      </c>
      <c r="H262" t="s">
        <v>157</v>
      </c>
      <c r="J262">
        <v>14</v>
      </c>
      <c r="K262">
        <f t="shared" si="19"/>
        <v>14</v>
      </c>
      <c r="R262" t="s">
        <v>1348</v>
      </c>
    </row>
    <row r="263" spans="1:18" x14ac:dyDescent="0.25">
      <c r="A263" t="s">
        <v>341</v>
      </c>
      <c r="B263" s="4">
        <v>37347</v>
      </c>
      <c r="C263" s="9">
        <f t="shared" si="17"/>
        <v>4</v>
      </c>
      <c r="D263">
        <f t="shared" si="18"/>
        <v>2002</v>
      </c>
      <c r="E263">
        <f t="shared" si="16"/>
        <v>1</v>
      </c>
      <c r="F263" t="s">
        <v>151</v>
      </c>
      <c r="G263" t="s">
        <v>183</v>
      </c>
      <c r="H263" t="s">
        <v>184</v>
      </c>
      <c r="I263">
        <v>2</v>
      </c>
      <c r="J263">
        <v>0</v>
      </c>
      <c r="K263">
        <f t="shared" si="19"/>
        <v>120</v>
      </c>
      <c r="L263" t="s">
        <v>192</v>
      </c>
      <c r="M263" t="s">
        <v>193</v>
      </c>
      <c r="R263" t="s">
        <v>1351</v>
      </c>
    </row>
    <row r="264" spans="1:18" x14ac:dyDescent="0.25">
      <c r="A264" t="s">
        <v>341</v>
      </c>
      <c r="B264" s="4">
        <v>37348</v>
      </c>
      <c r="C264" s="9">
        <f t="shared" si="17"/>
        <v>4</v>
      </c>
      <c r="D264">
        <f t="shared" si="18"/>
        <v>2002</v>
      </c>
      <c r="E264">
        <f t="shared" si="16"/>
        <v>1</v>
      </c>
      <c r="F264" t="s">
        <v>151</v>
      </c>
      <c r="G264" t="s">
        <v>185</v>
      </c>
      <c r="H264" t="s">
        <v>185</v>
      </c>
      <c r="J264">
        <v>10</v>
      </c>
      <c r="K264">
        <f t="shared" si="19"/>
        <v>10</v>
      </c>
      <c r="L264" t="s">
        <v>192</v>
      </c>
      <c r="R264" t="s">
        <v>1351</v>
      </c>
    </row>
    <row r="265" spans="1:18" x14ac:dyDescent="0.25">
      <c r="A265" t="s">
        <v>341</v>
      </c>
      <c r="B265" s="4">
        <v>37348</v>
      </c>
      <c r="C265" s="9">
        <f t="shared" si="17"/>
        <v>4</v>
      </c>
      <c r="D265">
        <f t="shared" si="18"/>
        <v>2002</v>
      </c>
      <c r="E265">
        <f t="shared" si="16"/>
        <v>0</v>
      </c>
      <c r="F265" t="s">
        <v>151</v>
      </c>
      <c r="G265" t="s">
        <v>185</v>
      </c>
      <c r="H265" t="s">
        <v>185</v>
      </c>
      <c r="J265">
        <v>15</v>
      </c>
      <c r="K265">
        <f t="shared" si="19"/>
        <v>15</v>
      </c>
      <c r="L265" t="s">
        <v>192</v>
      </c>
      <c r="R265" t="s">
        <v>1351</v>
      </c>
    </row>
    <row r="266" spans="1:18" x14ac:dyDescent="0.25">
      <c r="A266" t="s">
        <v>341</v>
      </c>
      <c r="B266" s="4">
        <v>37348</v>
      </c>
      <c r="C266" s="9">
        <f t="shared" si="17"/>
        <v>4</v>
      </c>
      <c r="D266">
        <f t="shared" si="18"/>
        <v>2002</v>
      </c>
      <c r="E266">
        <f t="shared" si="16"/>
        <v>0</v>
      </c>
      <c r="F266" t="s">
        <v>151</v>
      </c>
      <c r="G266" t="s">
        <v>185</v>
      </c>
      <c r="H266" t="s">
        <v>185</v>
      </c>
      <c r="J266">
        <v>51</v>
      </c>
      <c r="K266">
        <f t="shared" si="19"/>
        <v>51</v>
      </c>
      <c r="L266" t="s">
        <v>192</v>
      </c>
      <c r="R266" t="s">
        <v>1351</v>
      </c>
    </row>
    <row r="267" spans="1:18" x14ac:dyDescent="0.25">
      <c r="A267" t="s">
        <v>341</v>
      </c>
      <c r="B267" s="4">
        <v>37349</v>
      </c>
      <c r="C267" s="9">
        <f t="shared" si="17"/>
        <v>4</v>
      </c>
      <c r="D267">
        <f t="shared" si="18"/>
        <v>2002</v>
      </c>
      <c r="E267">
        <f t="shared" si="16"/>
        <v>1</v>
      </c>
      <c r="F267" t="s">
        <v>151</v>
      </c>
      <c r="G267" t="s">
        <v>185</v>
      </c>
      <c r="H267" t="s">
        <v>185</v>
      </c>
      <c r="J267">
        <v>5</v>
      </c>
      <c r="K267">
        <f t="shared" si="19"/>
        <v>5</v>
      </c>
      <c r="L267" t="s">
        <v>192</v>
      </c>
      <c r="R267" t="s">
        <v>1351</v>
      </c>
    </row>
    <row r="268" spans="1:18" x14ac:dyDescent="0.25">
      <c r="A268" t="s">
        <v>341</v>
      </c>
      <c r="B268" s="4">
        <v>37349</v>
      </c>
      <c r="C268" s="9">
        <f t="shared" si="17"/>
        <v>4</v>
      </c>
      <c r="D268">
        <f t="shared" si="18"/>
        <v>2002</v>
      </c>
      <c r="E268">
        <f t="shared" si="16"/>
        <v>0</v>
      </c>
      <c r="F268" t="s">
        <v>151</v>
      </c>
      <c r="G268" t="s">
        <v>185</v>
      </c>
      <c r="H268" t="s">
        <v>185</v>
      </c>
      <c r="J268">
        <v>5</v>
      </c>
      <c r="K268">
        <f t="shared" si="19"/>
        <v>5</v>
      </c>
      <c r="L268" t="s">
        <v>192</v>
      </c>
      <c r="R268" t="s">
        <v>1351</v>
      </c>
    </row>
    <row r="269" spans="1:18" x14ac:dyDescent="0.25">
      <c r="A269" t="s">
        <v>341</v>
      </c>
      <c r="B269" s="4">
        <v>37349</v>
      </c>
      <c r="C269" s="9">
        <f t="shared" si="17"/>
        <v>4</v>
      </c>
      <c r="D269">
        <f t="shared" si="18"/>
        <v>2002</v>
      </c>
      <c r="E269">
        <f t="shared" si="16"/>
        <v>0</v>
      </c>
      <c r="F269" t="s">
        <v>151</v>
      </c>
      <c r="G269" t="s">
        <v>186</v>
      </c>
      <c r="H269" t="s">
        <v>187</v>
      </c>
      <c r="J269">
        <v>8</v>
      </c>
      <c r="K269">
        <f t="shared" si="19"/>
        <v>8</v>
      </c>
      <c r="L269" t="s">
        <v>192</v>
      </c>
      <c r="R269" t="s">
        <v>1351</v>
      </c>
    </row>
    <row r="270" spans="1:18" x14ac:dyDescent="0.25">
      <c r="A270" t="s">
        <v>341</v>
      </c>
      <c r="B270" s="4">
        <v>37350</v>
      </c>
      <c r="C270" s="9">
        <f t="shared" si="17"/>
        <v>4</v>
      </c>
      <c r="D270">
        <f t="shared" si="18"/>
        <v>2002</v>
      </c>
      <c r="E270">
        <f t="shared" si="16"/>
        <v>1</v>
      </c>
      <c r="F270" t="s">
        <v>151</v>
      </c>
      <c r="G270" t="s">
        <v>188</v>
      </c>
      <c r="H270" t="s">
        <v>189</v>
      </c>
      <c r="I270">
        <v>1</v>
      </c>
      <c r="J270">
        <v>17</v>
      </c>
      <c r="K270">
        <f t="shared" si="19"/>
        <v>77</v>
      </c>
      <c r="L270" t="s">
        <v>192</v>
      </c>
      <c r="M270" t="s">
        <v>194</v>
      </c>
      <c r="R270" t="s">
        <v>1351</v>
      </c>
    </row>
    <row r="271" spans="1:18" x14ac:dyDescent="0.25">
      <c r="A271" t="s">
        <v>341</v>
      </c>
      <c r="B271" s="4">
        <v>37351</v>
      </c>
      <c r="C271" s="9">
        <f t="shared" si="17"/>
        <v>4</v>
      </c>
      <c r="D271">
        <f t="shared" si="18"/>
        <v>2002</v>
      </c>
      <c r="E271">
        <f t="shared" si="16"/>
        <v>1</v>
      </c>
      <c r="F271" t="s">
        <v>151</v>
      </c>
      <c r="G271" t="s">
        <v>190</v>
      </c>
      <c r="H271" t="s">
        <v>191</v>
      </c>
      <c r="J271">
        <v>54</v>
      </c>
      <c r="K271">
        <f t="shared" si="19"/>
        <v>54</v>
      </c>
      <c r="L271" t="s">
        <v>192</v>
      </c>
      <c r="R271" t="s">
        <v>1351</v>
      </c>
    </row>
    <row r="272" spans="1:18" x14ac:dyDescent="0.25">
      <c r="A272" t="s">
        <v>341</v>
      </c>
      <c r="B272" s="4">
        <v>37351</v>
      </c>
      <c r="C272" s="9">
        <f t="shared" si="17"/>
        <v>4</v>
      </c>
      <c r="D272">
        <f t="shared" si="18"/>
        <v>2002</v>
      </c>
      <c r="E272">
        <f t="shared" si="16"/>
        <v>0</v>
      </c>
      <c r="F272" t="s">
        <v>151</v>
      </c>
      <c r="G272" t="s">
        <v>190</v>
      </c>
      <c r="H272" t="s">
        <v>191</v>
      </c>
      <c r="J272">
        <v>24</v>
      </c>
      <c r="K272">
        <f t="shared" si="19"/>
        <v>24</v>
      </c>
      <c r="L272" t="s">
        <v>192</v>
      </c>
      <c r="R272" t="s">
        <v>1351</v>
      </c>
    </row>
    <row r="273" spans="1:18" x14ac:dyDescent="0.25">
      <c r="A273" t="s">
        <v>341</v>
      </c>
      <c r="B273" s="4">
        <v>37351</v>
      </c>
      <c r="C273" s="9">
        <f t="shared" si="17"/>
        <v>4</v>
      </c>
      <c r="D273">
        <f t="shared" si="18"/>
        <v>2002</v>
      </c>
      <c r="E273">
        <f t="shared" si="16"/>
        <v>0</v>
      </c>
      <c r="F273" t="s">
        <v>151</v>
      </c>
      <c r="G273" t="s">
        <v>190</v>
      </c>
      <c r="H273" t="s">
        <v>191</v>
      </c>
      <c r="J273">
        <v>28</v>
      </c>
      <c r="K273">
        <f t="shared" si="19"/>
        <v>28</v>
      </c>
      <c r="L273" t="s">
        <v>192</v>
      </c>
      <c r="R273" t="s">
        <v>1351</v>
      </c>
    </row>
    <row r="274" spans="1:18" x14ac:dyDescent="0.25">
      <c r="A274" t="s">
        <v>341</v>
      </c>
      <c r="B274" s="4">
        <v>37382</v>
      </c>
      <c r="C274" s="9">
        <f t="shared" si="17"/>
        <v>5</v>
      </c>
      <c r="D274">
        <f t="shared" si="18"/>
        <v>2002</v>
      </c>
      <c r="E274">
        <f t="shared" si="16"/>
        <v>1</v>
      </c>
      <c r="F274" t="s">
        <v>151</v>
      </c>
      <c r="G274" t="s">
        <v>150</v>
      </c>
      <c r="H274" t="s">
        <v>157</v>
      </c>
      <c r="J274">
        <v>15</v>
      </c>
      <c r="K274">
        <f t="shared" si="19"/>
        <v>15</v>
      </c>
      <c r="M274" t="s">
        <v>195</v>
      </c>
      <c r="R274" t="s">
        <v>1348</v>
      </c>
    </row>
    <row r="275" spans="1:18" x14ac:dyDescent="0.25">
      <c r="A275" t="s">
        <v>341</v>
      </c>
      <c r="B275" s="4">
        <v>37391</v>
      </c>
      <c r="C275" s="9">
        <f t="shared" si="17"/>
        <v>5</v>
      </c>
      <c r="D275">
        <f t="shared" si="18"/>
        <v>2002</v>
      </c>
      <c r="E275">
        <f t="shared" si="16"/>
        <v>1</v>
      </c>
      <c r="F275" t="s">
        <v>151</v>
      </c>
      <c r="G275" t="s">
        <v>71</v>
      </c>
      <c r="H275" t="s">
        <v>72</v>
      </c>
      <c r="J275">
        <v>18</v>
      </c>
      <c r="K275">
        <f t="shared" si="19"/>
        <v>18</v>
      </c>
      <c r="R275" t="s">
        <v>1348</v>
      </c>
    </row>
    <row r="276" spans="1:18" x14ac:dyDescent="0.25">
      <c r="A276" t="s">
        <v>341</v>
      </c>
      <c r="B276" s="4">
        <v>37392</v>
      </c>
      <c r="C276" s="9">
        <f t="shared" si="17"/>
        <v>5</v>
      </c>
      <c r="D276">
        <f t="shared" si="18"/>
        <v>2002</v>
      </c>
      <c r="E276">
        <f t="shared" si="16"/>
        <v>1</v>
      </c>
      <c r="F276" t="s">
        <v>151</v>
      </c>
      <c r="G276" t="s">
        <v>88</v>
      </c>
      <c r="H276" t="s">
        <v>94</v>
      </c>
      <c r="J276">
        <v>14</v>
      </c>
      <c r="K276">
        <f t="shared" si="19"/>
        <v>14</v>
      </c>
      <c r="R276" t="s">
        <v>1348</v>
      </c>
    </row>
    <row r="277" spans="1:18" x14ac:dyDescent="0.25">
      <c r="A277" t="s">
        <v>341</v>
      </c>
      <c r="B277" s="4">
        <v>37405</v>
      </c>
      <c r="C277" s="9">
        <f t="shared" si="17"/>
        <v>5</v>
      </c>
      <c r="D277">
        <f t="shared" si="18"/>
        <v>2002</v>
      </c>
      <c r="E277">
        <f t="shared" si="16"/>
        <v>1</v>
      </c>
      <c r="F277" t="s">
        <v>151</v>
      </c>
      <c r="G277" t="s">
        <v>167</v>
      </c>
      <c r="H277" t="s">
        <v>197</v>
      </c>
      <c r="J277">
        <v>45</v>
      </c>
      <c r="K277">
        <f t="shared" si="19"/>
        <v>45</v>
      </c>
      <c r="L277" t="s">
        <v>173</v>
      </c>
      <c r="M277" t="s">
        <v>203</v>
      </c>
      <c r="R277" t="s">
        <v>1348</v>
      </c>
    </row>
    <row r="278" spans="1:18" x14ac:dyDescent="0.25">
      <c r="A278" t="s">
        <v>341</v>
      </c>
      <c r="B278" s="4">
        <v>37406</v>
      </c>
      <c r="C278" s="9">
        <f t="shared" si="17"/>
        <v>5</v>
      </c>
      <c r="D278">
        <f t="shared" si="18"/>
        <v>2002</v>
      </c>
      <c r="E278">
        <f t="shared" si="16"/>
        <v>1</v>
      </c>
      <c r="F278" t="s">
        <v>151</v>
      </c>
      <c r="G278" t="s">
        <v>196</v>
      </c>
      <c r="H278" t="s">
        <v>198</v>
      </c>
      <c r="I278">
        <v>4</v>
      </c>
      <c r="J278">
        <v>1</v>
      </c>
      <c r="K278">
        <f t="shared" si="19"/>
        <v>241</v>
      </c>
      <c r="L278" t="s">
        <v>173</v>
      </c>
      <c r="R278" t="s">
        <v>1348</v>
      </c>
    </row>
    <row r="279" spans="1:18" x14ac:dyDescent="0.25">
      <c r="A279" t="s">
        <v>341</v>
      </c>
      <c r="B279" s="4">
        <v>37407</v>
      </c>
      <c r="C279" s="9">
        <f t="shared" si="17"/>
        <v>5</v>
      </c>
      <c r="D279">
        <f t="shared" si="18"/>
        <v>2002</v>
      </c>
      <c r="E279">
        <f t="shared" si="16"/>
        <v>1</v>
      </c>
      <c r="F279" t="s">
        <v>151</v>
      </c>
      <c r="G279" t="s">
        <v>166</v>
      </c>
      <c r="H279" t="s">
        <v>199</v>
      </c>
      <c r="I279">
        <v>1</v>
      </c>
      <c r="J279">
        <v>50</v>
      </c>
      <c r="K279">
        <f t="shared" si="19"/>
        <v>110</v>
      </c>
      <c r="L279" t="s">
        <v>173</v>
      </c>
      <c r="M279" t="s">
        <v>204</v>
      </c>
      <c r="R279" t="s">
        <v>1348</v>
      </c>
    </row>
    <row r="280" spans="1:18" x14ac:dyDescent="0.25">
      <c r="A280" t="s">
        <v>341</v>
      </c>
      <c r="B280" s="4">
        <v>37408</v>
      </c>
      <c r="C280" s="9">
        <f t="shared" si="17"/>
        <v>6</v>
      </c>
      <c r="D280">
        <f t="shared" si="18"/>
        <v>2002</v>
      </c>
      <c r="E280">
        <f t="shared" si="16"/>
        <v>1</v>
      </c>
      <c r="F280" t="s">
        <v>151</v>
      </c>
      <c r="G280" t="s">
        <v>101</v>
      </c>
      <c r="H280" t="s">
        <v>273</v>
      </c>
      <c r="I280">
        <v>3</v>
      </c>
      <c r="J280">
        <v>10</v>
      </c>
      <c r="K280">
        <f t="shared" si="19"/>
        <v>190</v>
      </c>
      <c r="M280" t="s">
        <v>205</v>
      </c>
      <c r="R280" t="s">
        <v>1348</v>
      </c>
    </row>
    <row r="281" spans="1:18" x14ac:dyDescent="0.25">
      <c r="A281" t="s">
        <v>341</v>
      </c>
      <c r="B281" s="4">
        <v>37421</v>
      </c>
      <c r="C281" s="9">
        <f t="shared" si="17"/>
        <v>6</v>
      </c>
      <c r="D281">
        <f t="shared" si="18"/>
        <v>2002</v>
      </c>
      <c r="E281">
        <f t="shared" si="16"/>
        <v>1</v>
      </c>
      <c r="F281" t="s">
        <v>151</v>
      </c>
      <c r="G281" t="s">
        <v>71</v>
      </c>
      <c r="H281" t="s">
        <v>200</v>
      </c>
      <c r="I281">
        <v>1</v>
      </c>
      <c r="J281">
        <v>41</v>
      </c>
      <c r="K281">
        <f t="shared" si="19"/>
        <v>101</v>
      </c>
      <c r="M281" t="s">
        <v>206</v>
      </c>
      <c r="R281" t="s">
        <v>1348</v>
      </c>
    </row>
    <row r="282" spans="1:18" x14ac:dyDescent="0.25">
      <c r="A282" t="s">
        <v>341</v>
      </c>
      <c r="B282" s="4">
        <v>37424</v>
      </c>
      <c r="C282" s="9">
        <f t="shared" si="17"/>
        <v>6</v>
      </c>
      <c r="D282">
        <f t="shared" si="18"/>
        <v>2002</v>
      </c>
      <c r="E282">
        <f t="shared" si="16"/>
        <v>1</v>
      </c>
      <c r="F282" t="s">
        <v>151</v>
      </c>
      <c r="G282" t="s">
        <v>71</v>
      </c>
      <c r="H282" t="s">
        <v>177</v>
      </c>
      <c r="J282">
        <v>34</v>
      </c>
      <c r="K282">
        <f t="shared" si="19"/>
        <v>34</v>
      </c>
      <c r="R282" t="s">
        <v>1348</v>
      </c>
    </row>
    <row r="283" spans="1:18" x14ac:dyDescent="0.25">
      <c r="A283" t="s">
        <v>341</v>
      </c>
      <c r="B283" s="4">
        <v>37425</v>
      </c>
      <c r="C283" s="9">
        <f t="shared" si="17"/>
        <v>6</v>
      </c>
      <c r="D283">
        <f t="shared" si="18"/>
        <v>2002</v>
      </c>
      <c r="E283">
        <f t="shared" si="16"/>
        <v>1</v>
      </c>
      <c r="F283" t="s">
        <v>151</v>
      </c>
      <c r="G283" t="s">
        <v>71</v>
      </c>
      <c r="H283" t="s">
        <v>201</v>
      </c>
      <c r="I283">
        <v>2</v>
      </c>
      <c r="J283">
        <v>30</v>
      </c>
      <c r="K283">
        <f t="shared" si="19"/>
        <v>150</v>
      </c>
      <c r="R283" t="s">
        <v>1348</v>
      </c>
    </row>
    <row r="284" spans="1:18" x14ac:dyDescent="0.25">
      <c r="A284" t="s">
        <v>341</v>
      </c>
      <c r="B284" s="4">
        <v>37426</v>
      </c>
      <c r="C284" s="9">
        <f t="shared" si="17"/>
        <v>6</v>
      </c>
      <c r="D284">
        <f t="shared" si="18"/>
        <v>2002</v>
      </c>
      <c r="E284">
        <f t="shared" si="16"/>
        <v>1</v>
      </c>
      <c r="F284" t="s">
        <v>151</v>
      </c>
      <c r="G284" t="s">
        <v>71</v>
      </c>
      <c r="H284" t="s">
        <v>72</v>
      </c>
      <c r="I284">
        <v>1</v>
      </c>
      <c r="J284">
        <v>6</v>
      </c>
      <c r="K284">
        <f t="shared" si="19"/>
        <v>66</v>
      </c>
      <c r="M284" t="s">
        <v>207</v>
      </c>
      <c r="N284">
        <v>7</v>
      </c>
      <c r="O284">
        <v>-16</v>
      </c>
      <c r="R284" t="s">
        <v>1348</v>
      </c>
    </row>
    <row r="285" spans="1:18" x14ac:dyDescent="0.25">
      <c r="A285" t="s">
        <v>341</v>
      </c>
      <c r="B285" s="4">
        <v>37436</v>
      </c>
      <c r="C285" s="9">
        <f t="shared" si="17"/>
        <v>6</v>
      </c>
      <c r="D285">
        <f t="shared" si="18"/>
        <v>2002</v>
      </c>
      <c r="E285">
        <f t="shared" si="16"/>
        <v>1</v>
      </c>
      <c r="F285" t="s">
        <v>151</v>
      </c>
      <c r="G285" t="s">
        <v>158</v>
      </c>
      <c r="H285" t="s">
        <v>211</v>
      </c>
      <c r="I285">
        <v>2</v>
      </c>
      <c r="J285">
        <v>8</v>
      </c>
      <c r="K285">
        <f t="shared" si="19"/>
        <v>128</v>
      </c>
      <c r="R285" t="s">
        <v>1348</v>
      </c>
    </row>
    <row r="286" spans="1:18" x14ac:dyDescent="0.25">
      <c r="A286" t="s">
        <v>341</v>
      </c>
      <c r="B286" s="4">
        <v>37456</v>
      </c>
      <c r="C286" s="9">
        <f t="shared" si="17"/>
        <v>7</v>
      </c>
      <c r="D286">
        <f t="shared" si="18"/>
        <v>2002</v>
      </c>
      <c r="E286">
        <f t="shared" si="16"/>
        <v>1</v>
      </c>
      <c r="F286" t="s">
        <v>151</v>
      </c>
      <c r="G286" t="s">
        <v>7</v>
      </c>
      <c r="H286" t="s">
        <v>97</v>
      </c>
      <c r="J286">
        <v>18</v>
      </c>
      <c r="K286">
        <f t="shared" si="19"/>
        <v>18</v>
      </c>
      <c r="R286" t="s">
        <v>1348</v>
      </c>
    </row>
    <row r="287" spans="1:18" x14ac:dyDescent="0.25">
      <c r="A287" t="s">
        <v>341</v>
      </c>
      <c r="B287" s="4">
        <v>37459</v>
      </c>
      <c r="C287" s="9">
        <f t="shared" si="17"/>
        <v>7</v>
      </c>
      <c r="D287">
        <f t="shared" si="18"/>
        <v>2002</v>
      </c>
      <c r="E287">
        <f t="shared" si="16"/>
        <v>1</v>
      </c>
      <c r="F287" t="s">
        <v>151</v>
      </c>
      <c r="G287" t="s">
        <v>71</v>
      </c>
      <c r="H287" t="s">
        <v>72</v>
      </c>
      <c r="J287">
        <v>49</v>
      </c>
      <c r="K287">
        <f t="shared" si="19"/>
        <v>49</v>
      </c>
      <c r="R287" t="s">
        <v>1348</v>
      </c>
    </row>
    <row r="288" spans="1:18" x14ac:dyDescent="0.25">
      <c r="A288" t="s">
        <v>341</v>
      </c>
      <c r="B288" s="4">
        <v>37460</v>
      </c>
      <c r="C288" s="9">
        <f t="shared" si="17"/>
        <v>7</v>
      </c>
      <c r="D288">
        <f t="shared" si="18"/>
        <v>2002</v>
      </c>
      <c r="E288">
        <f t="shared" si="16"/>
        <v>1</v>
      </c>
      <c r="F288" t="s">
        <v>151</v>
      </c>
      <c r="G288" t="s">
        <v>7</v>
      </c>
      <c r="H288" t="s">
        <v>55</v>
      </c>
      <c r="I288">
        <v>1</v>
      </c>
      <c r="J288">
        <v>28</v>
      </c>
      <c r="K288">
        <f t="shared" si="19"/>
        <v>88</v>
      </c>
      <c r="M288" t="s">
        <v>208</v>
      </c>
      <c r="R288" t="s">
        <v>1348</v>
      </c>
    </row>
    <row r="289" spans="1:18" x14ac:dyDescent="0.25">
      <c r="A289" t="s">
        <v>341</v>
      </c>
      <c r="B289" s="4">
        <v>37470</v>
      </c>
      <c r="C289" s="9">
        <f t="shared" si="17"/>
        <v>8</v>
      </c>
      <c r="D289">
        <f t="shared" si="18"/>
        <v>2002</v>
      </c>
      <c r="E289">
        <f t="shared" si="16"/>
        <v>1</v>
      </c>
      <c r="F289" t="s">
        <v>151</v>
      </c>
      <c r="G289" t="s">
        <v>71</v>
      </c>
      <c r="H289" t="s">
        <v>72</v>
      </c>
      <c r="J289">
        <v>19</v>
      </c>
      <c r="K289">
        <f t="shared" si="19"/>
        <v>19</v>
      </c>
      <c r="R289" t="s">
        <v>1348</v>
      </c>
    </row>
    <row r="290" spans="1:18" x14ac:dyDescent="0.25">
      <c r="A290" t="s">
        <v>341</v>
      </c>
      <c r="B290" s="4">
        <v>37483</v>
      </c>
      <c r="C290" s="9">
        <f t="shared" si="17"/>
        <v>8</v>
      </c>
      <c r="D290">
        <f t="shared" si="18"/>
        <v>2002</v>
      </c>
      <c r="E290">
        <f t="shared" si="16"/>
        <v>1</v>
      </c>
      <c r="F290" t="s">
        <v>151</v>
      </c>
      <c r="G290" t="s">
        <v>71</v>
      </c>
      <c r="H290" t="s">
        <v>202</v>
      </c>
      <c r="J290">
        <v>18</v>
      </c>
      <c r="K290">
        <f t="shared" si="19"/>
        <v>18</v>
      </c>
      <c r="R290" t="s">
        <v>1348</v>
      </c>
    </row>
    <row r="291" spans="1:18" x14ac:dyDescent="0.25">
      <c r="A291" t="s">
        <v>341</v>
      </c>
      <c r="B291" s="4">
        <v>37493</v>
      </c>
      <c r="C291" s="9">
        <f t="shared" si="17"/>
        <v>8</v>
      </c>
      <c r="D291">
        <f t="shared" si="18"/>
        <v>2002</v>
      </c>
      <c r="E291">
        <f t="shared" si="16"/>
        <v>1</v>
      </c>
      <c r="F291" t="s">
        <v>209</v>
      </c>
      <c r="G291" t="s">
        <v>7</v>
      </c>
      <c r="H291" t="s">
        <v>97</v>
      </c>
      <c r="J291">
        <v>15</v>
      </c>
      <c r="K291">
        <f t="shared" si="19"/>
        <v>15</v>
      </c>
      <c r="M291" t="s">
        <v>210</v>
      </c>
      <c r="R291" t="s">
        <v>1348</v>
      </c>
    </row>
    <row r="292" spans="1:18" x14ac:dyDescent="0.25">
      <c r="A292" t="s">
        <v>341</v>
      </c>
      <c r="B292" s="4">
        <v>37517</v>
      </c>
      <c r="C292" s="9">
        <f t="shared" si="17"/>
        <v>9</v>
      </c>
      <c r="D292">
        <f t="shared" si="18"/>
        <v>2002</v>
      </c>
      <c r="E292">
        <f t="shared" si="16"/>
        <v>1</v>
      </c>
      <c r="F292" t="s">
        <v>151</v>
      </c>
      <c r="G292" t="s">
        <v>71</v>
      </c>
      <c r="H292" t="s">
        <v>202</v>
      </c>
      <c r="J292">
        <v>18</v>
      </c>
      <c r="K292">
        <f t="shared" si="19"/>
        <v>18</v>
      </c>
      <c r="R292" t="s">
        <v>1348</v>
      </c>
    </row>
    <row r="293" spans="1:18" x14ac:dyDescent="0.25">
      <c r="A293" t="s">
        <v>341</v>
      </c>
      <c r="B293" s="4">
        <v>37529</v>
      </c>
      <c r="C293" s="9">
        <f t="shared" si="17"/>
        <v>9</v>
      </c>
      <c r="D293">
        <f t="shared" si="18"/>
        <v>2002</v>
      </c>
      <c r="E293">
        <f t="shared" si="16"/>
        <v>1</v>
      </c>
      <c r="F293" t="s">
        <v>151</v>
      </c>
      <c r="G293" t="s">
        <v>88</v>
      </c>
      <c r="H293" t="s">
        <v>202</v>
      </c>
      <c r="J293">
        <v>14</v>
      </c>
      <c r="K293">
        <f t="shared" si="19"/>
        <v>14</v>
      </c>
      <c r="R293" t="s">
        <v>1348</v>
      </c>
    </row>
    <row r="294" spans="1:18" x14ac:dyDescent="0.25">
      <c r="A294" t="s">
        <v>341</v>
      </c>
      <c r="B294" s="4">
        <v>37704</v>
      </c>
      <c r="C294" s="9">
        <f t="shared" si="17"/>
        <v>3</v>
      </c>
      <c r="D294">
        <f t="shared" si="18"/>
        <v>2003</v>
      </c>
      <c r="E294">
        <f t="shared" si="16"/>
        <v>1</v>
      </c>
      <c r="F294" t="s">
        <v>151</v>
      </c>
      <c r="G294" t="s">
        <v>150</v>
      </c>
      <c r="H294" t="s">
        <v>94</v>
      </c>
      <c r="I294">
        <v>1</v>
      </c>
      <c r="J294">
        <v>48</v>
      </c>
      <c r="K294">
        <f t="shared" si="19"/>
        <v>108</v>
      </c>
      <c r="R294" t="s">
        <v>1348</v>
      </c>
    </row>
    <row r="295" spans="1:18" x14ac:dyDescent="0.25">
      <c r="A295" t="s">
        <v>341</v>
      </c>
      <c r="B295" s="4">
        <v>37706</v>
      </c>
      <c r="C295" s="9">
        <f t="shared" si="17"/>
        <v>3</v>
      </c>
      <c r="D295">
        <f t="shared" si="18"/>
        <v>2003</v>
      </c>
      <c r="E295">
        <f t="shared" si="16"/>
        <v>1</v>
      </c>
      <c r="F295" t="s">
        <v>151</v>
      </c>
      <c r="G295" t="s">
        <v>150</v>
      </c>
      <c r="H295" t="s">
        <v>211</v>
      </c>
      <c r="I295">
        <v>2</v>
      </c>
      <c r="J295">
        <v>15</v>
      </c>
      <c r="K295">
        <f t="shared" si="19"/>
        <v>135</v>
      </c>
      <c r="M295" t="s">
        <v>212</v>
      </c>
      <c r="R295" t="s">
        <v>1348</v>
      </c>
    </row>
    <row r="296" spans="1:18" x14ac:dyDescent="0.25">
      <c r="A296" t="s">
        <v>341</v>
      </c>
      <c r="B296" s="4">
        <v>37726</v>
      </c>
      <c r="C296" s="9">
        <f t="shared" si="17"/>
        <v>4</v>
      </c>
      <c r="D296">
        <f t="shared" si="18"/>
        <v>2003</v>
      </c>
      <c r="E296">
        <f t="shared" si="16"/>
        <v>1</v>
      </c>
      <c r="F296" t="s">
        <v>151</v>
      </c>
      <c r="G296" t="s">
        <v>150</v>
      </c>
      <c r="H296" t="s">
        <v>157</v>
      </c>
      <c r="J296">
        <v>40</v>
      </c>
      <c r="K296">
        <f t="shared" si="19"/>
        <v>40</v>
      </c>
      <c r="R296" t="s">
        <v>1348</v>
      </c>
    </row>
    <row r="297" spans="1:18" x14ac:dyDescent="0.25">
      <c r="A297" t="s">
        <v>341</v>
      </c>
      <c r="B297" s="4">
        <v>37729</v>
      </c>
      <c r="C297" s="9">
        <f t="shared" si="17"/>
        <v>4</v>
      </c>
      <c r="D297">
        <f t="shared" si="18"/>
        <v>2003</v>
      </c>
      <c r="E297">
        <f t="shared" si="16"/>
        <v>1</v>
      </c>
      <c r="F297" t="s">
        <v>151</v>
      </c>
      <c r="G297" t="s">
        <v>150</v>
      </c>
      <c r="H297" t="s">
        <v>157</v>
      </c>
      <c r="I297">
        <v>2</v>
      </c>
      <c r="J297">
        <v>5</v>
      </c>
      <c r="K297">
        <f t="shared" si="19"/>
        <v>125</v>
      </c>
      <c r="M297" t="s">
        <v>213</v>
      </c>
      <c r="R297" t="s">
        <v>1348</v>
      </c>
    </row>
    <row r="298" spans="1:18" x14ac:dyDescent="0.25">
      <c r="A298" t="s">
        <v>341</v>
      </c>
      <c r="B298" s="4">
        <v>37736</v>
      </c>
      <c r="C298" s="9">
        <f t="shared" si="17"/>
        <v>4</v>
      </c>
      <c r="D298">
        <f t="shared" si="18"/>
        <v>2003</v>
      </c>
      <c r="E298">
        <f t="shared" si="16"/>
        <v>1</v>
      </c>
      <c r="F298" t="s">
        <v>151</v>
      </c>
      <c r="G298" t="s">
        <v>156</v>
      </c>
      <c r="H298" t="s">
        <v>211</v>
      </c>
      <c r="I298">
        <v>2</v>
      </c>
      <c r="J298">
        <v>38</v>
      </c>
      <c r="K298">
        <f t="shared" si="19"/>
        <v>158</v>
      </c>
      <c r="M298" t="s">
        <v>214</v>
      </c>
      <c r="R298" t="s">
        <v>1348</v>
      </c>
    </row>
    <row r="299" spans="1:18" x14ac:dyDescent="0.25">
      <c r="A299" t="s">
        <v>341</v>
      </c>
      <c r="B299" s="4">
        <v>37745</v>
      </c>
      <c r="C299" s="9">
        <f t="shared" si="17"/>
        <v>5</v>
      </c>
      <c r="D299">
        <f t="shared" si="18"/>
        <v>2003</v>
      </c>
      <c r="E299">
        <f t="shared" si="16"/>
        <v>1</v>
      </c>
      <c r="F299" t="s">
        <v>151</v>
      </c>
      <c r="G299" t="s">
        <v>156</v>
      </c>
      <c r="H299" t="s">
        <v>157</v>
      </c>
      <c r="J299">
        <v>19</v>
      </c>
      <c r="K299">
        <f t="shared" si="19"/>
        <v>19</v>
      </c>
      <c r="M299" t="s">
        <v>215</v>
      </c>
      <c r="R299" t="s">
        <v>1348</v>
      </c>
    </row>
    <row r="300" spans="1:18" x14ac:dyDescent="0.25">
      <c r="A300" t="s">
        <v>341</v>
      </c>
      <c r="B300" s="4">
        <v>37748</v>
      </c>
      <c r="C300" s="9">
        <f t="shared" si="17"/>
        <v>5</v>
      </c>
      <c r="D300">
        <f t="shared" si="18"/>
        <v>2003</v>
      </c>
      <c r="E300">
        <f t="shared" si="16"/>
        <v>1</v>
      </c>
      <c r="F300" t="s">
        <v>151</v>
      </c>
      <c r="G300" t="s">
        <v>158</v>
      </c>
      <c r="H300" t="s">
        <v>211</v>
      </c>
      <c r="J300">
        <v>18</v>
      </c>
      <c r="K300">
        <f t="shared" si="19"/>
        <v>18</v>
      </c>
      <c r="R300" t="s">
        <v>1348</v>
      </c>
    </row>
    <row r="301" spans="1:18" x14ac:dyDescent="0.25">
      <c r="A301" t="s">
        <v>341</v>
      </c>
      <c r="B301" s="4">
        <v>37766</v>
      </c>
      <c r="C301" s="9">
        <f t="shared" si="17"/>
        <v>5</v>
      </c>
      <c r="D301">
        <f t="shared" si="18"/>
        <v>2003</v>
      </c>
      <c r="E301">
        <f t="shared" si="16"/>
        <v>1</v>
      </c>
      <c r="F301" t="s">
        <v>151</v>
      </c>
      <c r="G301" t="s">
        <v>117</v>
      </c>
      <c r="H301" t="s">
        <v>116</v>
      </c>
      <c r="I301">
        <v>2</v>
      </c>
      <c r="J301">
        <v>25</v>
      </c>
      <c r="K301">
        <f t="shared" si="19"/>
        <v>145</v>
      </c>
      <c r="L301" t="s">
        <v>216</v>
      </c>
      <c r="R301" t="s">
        <v>1352</v>
      </c>
    </row>
    <row r="302" spans="1:18" x14ac:dyDescent="0.25">
      <c r="A302" t="s">
        <v>341</v>
      </c>
      <c r="B302" s="4">
        <v>37766</v>
      </c>
      <c r="C302" s="9">
        <f t="shared" si="17"/>
        <v>5</v>
      </c>
      <c r="D302">
        <f t="shared" si="18"/>
        <v>2003</v>
      </c>
      <c r="E302">
        <f t="shared" si="16"/>
        <v>0</v>
      </c>
      <c r="F302" t="s">
        <v>151</v>
      </c>
      <c r="G302" t="s">
        <v>117</v>
      </c>
      <c r="H302" t="s">
        <v>116</v>
      </c>
      <c r="I302">
        <v>1</v>
      </c>
      <c r="J302">
        <v>15</v>
      </c>
      <c r="K302">
        <f t="shared" si="19"/>
        <v>75</v>
      </c>
      <c r="L302" t="s">
        <v>216</v>
      </c>
      <c r="R302" t="s">
        <v>1352</v>
      </c>
    </row>
    <row r="303" spans="1:18" x14ac:dyDescent="0.25">
      <c r="A303" t="s">
        <v>341</v>
      </c>
      <c r="B303" s="4">
        <v>37767</v>
      </c>
      <c r="C303" s="9">
        <f t="shared" si="17"/>
        <v>5</v>
      </c>
      <c r="D303">
        <f t="shared" si="18"/>
        <v>2003</v>
      </c>
      <c r="E303">
        <f t="shared" si="16"/>
        <v>1</v>
      </c>
      <c r="F303" t="s">
        <v>151</v>
      </c>
      <c r="G303" t="s">
        <v>117</v>
      </c>
      <c r="H303" t="s">
        <v>116</v>
      </c>
      <c r="J303">
        <v>55</v>
      </c>
      <c r="K303">
        <f t="shared" si="19"/>
        <v>55</v>
      </c>
      <c r="L303" t="s">
        <v>216</v>
      </c>
      <c r="R303" t="s">
        <v>1352</v>
      </c>
    </row>
    <row r="304" spans="1:18" x14ac:dyDescent="0.25">
      <c r="A304" t="s">
        <v>341</v>
      </c>
      <c r="B304" s="4">
        <v>37767</v>
      </c>
      <c r="C304" s="9">
        <f t="shared" si="17"/>
        <v>5</v>
      </c>
      <c r="D304">
        <f t="shared" si="18"/>
        <v>2003</v>
      </c>
      <c r="E304">
        <f t="shared" si="16"/>
        <v>0</v>
      </c>
      <c r="F304" t="s">
        <v>151</v>
      </c>
      <c r="G304" t="s">
        <v>117</v>
      </c>
      <c r="H304" t="s">
        <v>116</v>
      </c>
      <c r="J304">
        <v>38</v>
      </c>
      <c r="K304">
        <f t="shared" si="19"/>
        <v>38</v>
      </c>
      <c r="L304" t="s">
        <v>216</v>
      </c>
      <c r="R304" t="s">
        <v>1352</v>
      </c>
    </row>
    <row r="305" spans="1:18" x14ac:dyDescent="0.25">
      <c r="A305" t="s">
        <v>341</v>
      </c>
      <c r="B305" s="4">
        <v>37769</v>
      </c>
      <c r="C305" s="9">
        <f t="shared" si="17"/>
        <v>5</v>
      </c>
      <c r="D305">
        <f t="shared" si="18"/>
        <v>2003</v>
      </c>
      <c r="E305">
        <f t="shared" si="16"/>
        <v>1</v>
      </c>
      <c r="F305" t="s">
        <v>151</v>
      </c>
      <c r="G305" t="s">
        <v>117</v>
      </c>
      <c r="H305" t="s">
        <v>116</v>
      </c>
      <c r="J305">
        <v>29</v>
      </c>
      <c r="K305">
        <f t="shared" si="19"/>
        <v>29</v>
      </c>
      <c r="L305" t="s">
        <v>216</v>
      </c>
      <c r="R305" t="s">
        <v>1352</v>
      </c>
    </row>
    <row r="306" spans="1:18" x14ac:dyDescent="0.25">
      <c r="A306" t="s">
        <v>341</v>
      </c>
      <c r="B306" s="4">
        <v>37770</v>
      </c>
      <c r="C306" s="9">
        <f t="shared" si="17"/>
        <v>5</v>
      </c>
      <c r="D306">
        <f t="shared" si="18"/>
        <v>2003</v>
      </c>
      <c r="E306">
        <f t="shared" si="16"/>
        <v>1</v>
      </c>
      <c r="F306" t="s">
        <v>151</v>
      </c>
      <c r="G306" t="s">
        <v>117</v>
      </c>
      <c r="H306" t="s">
        <v>116</v>
      </c>
      <c r="I306">
        <v>1</v>
      </c>
      <c r="J306">
        <v>45</v>
      </c>
      <c r="K306">
        <f t="shared" si="19"/>
        <v>105</v>
      </c>
      <c r="L306" t="s">
        <v>216</v>
      </c>
      <c r="R306" t="s">
        <v>1352</v>
      </c>
    </row>
    <row r="307" spans="1:18" x14ac:dyDescent="0.25">
      <c r="A307" t="s">
        <v>341</v>
      </c>
      <c r="B307" s="4">
        <v>37771</v>
      </c>
      <c r="C307" s="9">
        <f t="shared" si="17"/>
        <v>5</v>
      </c>
      <c r="D307">
        <f t="shared" si="18"/>
        <v>2003</v>
      </c>
      <c r="E307">
        <f t="shared" si="16"/>
        <v>1</v>
      </c>
      <c r="F307" t="s">
        <v>151</v>
      </c>
      <c r="G307" t="s">
        <v>117</v>
      </c>
      <c r="H307" t="s">
        <v>116</v>
      </c>
      <c r="I307">
        <v>2</v>
      </c>
      <c r="J307">
        <v>30</v>
      </c>
      <c r="K307">
        <f t="shared" si="19"/>
        <v>150</v>
      </c>
      <c r="L307" t="s">
        <v>216</v>
      </c>
      <c r="R307" t="s">
        <v>1352</v>
      </c>
    </row>
    <row r="308" spans="1:18" x14ac:dyDescent="0.25">
      <c r="A308" t="s">
        <v>341</v>
      </c>
      <c r="B308" s="4">
        <v>37771</v>
      </c>
      <c r="C308" s="9">
        <f t="shared" si="17"/>
        <v>5</v>
      </c>
      <c r="D308">
        <f t="shared" si="18"/>
        <v>2003</v>
      </c>
      <c r="E308">
        <f t="shared" si="16"/>
        <v>0</v>
      </c>
      <c r="F308" t="s">
        <v>151</v>
      </c>
      <c r="G308" t="s">
        <v>117</v>
      </c>
      <c r="H308" t="s">
        <v>116</v>
      </c>
      <c r="I308">
        <v>1</v>
      </c>
      <c r="J308">
        <v>40</v>
      </c>
      <c r="K308">
        <f t="shared" si="19"/>
        <v>100</v>
      </c>
      <c r="L308" t="s">
        <v>216</v>
      </c>
      <c r="R308" t="s">
        <v>1352</v>
      </c>
    </row>
    <row r="309" spans="1:18" x14ac:dyDescent="0.25">
      <c r="A309" t="s">
        <v>341</v>
      </c>
      <c r="B309" s="4">
        <v>37773</v>
      </c>
      <c r="C309" s="9">
        <f t="shared" si="17"/>
        <v>6</v>
      </c>
      <c r="D309">
        <f t="shared" si="18"/>
        <v>2003</v>
      </c>
      <c r="E309">
        <f t="shared" si="16"/>
        <v>1</v>
      </c>
      <c r="F309" t="s">
        <v>151</v>
      </c>
      <c r="G309" t="s">
        <v>71</v>
      </c>
      <c r="H309" t="s">
        <v>94</v>
      </c>
      <c r="I309">
        <v>2</v>
      </c>
      <c r="J309">
        <v>40</v>
      </c>
      <c r="K309">
        <f t="shared" si="19"/>
        <v>160</v>
      </c>
      <c r="M309" t="s">
        <v>221</v>
      </c>
      <c r="R309" t="s">
        <v>1348</v>
      </c>
    </row>
    <row r="310" spans="1:18" x14ac:dyDescent="0.25">
      <c r="A310" t="s">
        <v>341</v>
      </c>
      <c r="B310" s="4">
        <v>37782</v>
      </c>
      <c r="C310" s="9">
        <f t="shared" si="17"/>
        <v>6</v>
      </c>
      <c r="D310">
        <f t="shared" si="18"/>
        <v>2003</v>
      </c>
      <c r="E310">
        <f t="shared" si="16"/>
        <v>1</v>
      </c>
      <c r="F310" t="s">
        <v>151</v>
      </c>
      <c r="G310" t="s">
        <v>71</v>
      </c>
      <c r="H310" t="s">
        <v>72</v>
      </c>
      <c r="I310">
        <v>1</v>
      </c>
      <c r="J310">
        <v>20</v>
      </c>
      <c r="K310">
        <f t="shared" si="19"/>
        <v>80</v>
      </c>
      <c r="R310" t="s">
        <v>1348</v>
      </c>
    </row>
    <row r="311" spans="1:18" x14ac:dyDescent="0.25">
      <c r="A311" t="s">
        <v>341</v>
      </c>
      <c r="B311" s="4">
        <v>37786</v>
      </c>
      <c r="C311" s="9">
        <f t="shared" si="17"/>
        <v>6</v>
      </c>
      <c r="D311">
        <f t="shared" si="18"/>
        <v>2003</v>
      </c>
      <c r="E311">
        <f t="shared" si="16"/>
        <v>1</v>
      </c>
      <c r="F311" t="s">
        <v>151</v>
      </c>
      <c r="G311" t="s">
        <v>7</v>
      </c>
      <c r="H311" t="s">
        <v>97</v>
      </c>
      <c r="I311">
        <v>1</v>
      </c>
      <c r="J311">
        <v>18</v>
      </c>
      <c r="K311">
        <f t="shared" si="19"/>
        <v>78</v>
      </c>
      <c r="M311" t="s">
        <v>222</v>
      </c>
      <c r="R311" t="s">
        <v>1348</v>
      </c>
    </row>
    <row r="312" spans="1:18" x14ac:dyDescent="0.25">
      <c r="A312" t="s">
        <v>341</v>
      </c>
      <c r="B312" s="4">
        <v>37791</v>
      </c>
      <c r="C312" s="9">
        <f t="shared" si="17"/>
        <v>6</v>
      </c>
      <c r="D312">
        <f t="shared" si="18"/>
        <v>2003</v>
      </c>
      <c r="E312">
        <f t="shared" si="16"/>
        <v>1</v>
      </c>
      <c r="F312" t="s">
        <v>151</v>
      </c>
      <c r="G312" t="s">
        <v>71</v>
      </c>
      <c r="H312" t="s">
        <v>72</v>
      </c>
      <c r="J312">
        <v>20</v>
      </c>
      <c r="K312">
        <f t="shared" si="19"/>
        <v>20</v>
      </c>
      <c r="R312" t="s">
        <v>1348</v>
      </c>
    </row>
    <row r="313" spans="1:18" x14ac:dyDescent="0.25">
      <c r="A313" t="s">
        <v>341</v>
      </c>
      <c r="B313" s="4">
        <v>37793</v>
      </c>
      <c r="C313" s="9">
        <f t="shared" si="17"/>
        <v>6</v>
      </c>
      <c r="D313">
        <f t="shared" si="18"/>
        <v>2003</v>
      </c>
      <c r="E313">
        <f t="shared" si="16"/>
        <v>1</v>
      </c>
      <c r="F313" t="s">
        <v>151</v>
      </c>
      <c r="G313" t="s">
        <v>156</v>
      </c>
      <c r="H313" t="s">
        <v>72</v>
      </c>
      <c r="I313">
        <v>1</v>
      </c>
      <c r="J313">
        <v>12</v>
      </c>
      <c r="K313">
        <f t="shared" si="19"/>
        <v>72</v>
      </c>
      <c r="R313" t="s">
        <v>1348</v>
      </c>
    </row>
    <row r="314" spans="1:18" x14ac:dyDescent="0.25">
      <c r="A314" t="s">
        <v>341</v>
      </c>
      <c r="B314" s="4">
        <v>37794</v>
      </c>
      <c r="C314" s="9">
        <f t="shared" si="17"/>
        <v>6</v>
      </c>
      <c r="D314">
        <f t="shared" si="18"/>
        <v>2003</v>
      </c>
      <c r="E314">
        <f t="shared" si="16"/>
        <v>1</v>
      </c>
      <c r="F314" t="s">
        <v>151</v>
      </c>
      <c r="G314" t="s">
        <v>71</v>
      </c>
      <c r="H314" t="s">
        <v>218</v>
      </c>
      <c r="J314">
        <v>14</v>
      </c>
      <c r="K314">
        <f t="shared" si="19"/>
        <v>14</v>
      </c>
      <c r="R314" t="s">
        <v>1348</v>
      </c>
    </row>
    <row r="315" spans="1:18" x14ac:dyDescent="0.25">
      <c r="A315" t="s">
        <v>341</v>
      </c>
      <c r="B315" s="4">
        <v>37801</v>
      </c>
      <c r="C315" s="9">
        <f t="shared" si="17"/>
        <v>6</v>
      </c>
      <c r="D315">
        <f t="shared" si="18"/>
        <v>2003</v>
      </c>
      <c r="E315">
        <f t="shared" si="16"/>
        <v>1</v>
      </c>
      <c r="F315" t="s">
        <v>151</v>
      </c>
      <c r="G315" t="s">
        <v>7</v>
      </c>
      <c r="H315" t="s">
        <v>97</v>
      </c>
      <c r="J315">
        <v>55</v>
      </c>
      <c r="K315">
        <f t="shared" si="19"/>
        <v>55</v>
      </c>
      <c r="M315" t="s">
        <v>223</v>
      </c>
      <c r="R315" t="s">
        <v>1348</v>
      </c>
    </row>
    <row r="316" spans="1:18" x14ac:dyDescent="0.25">
      <c r="A316" t="s">
        <v>341</v>
      </c>
      <c r="B316" s="4">
        <v>37813</v>
      </c>
      <c r="C316" s="9">
        <f t="shared" si="17"/>
        <v>7</v>
      </c>
      <c r="D316">
        <f t="shared" si="18"/>
        <v>2003</v>
      </c>
      <c r="E316">
        <f t="shared" si="16"/>
        <v>1</v>
      </c>
      <c r="F316" t="s">
        <v>151</v>
      </c>
      <c r="G316" t="s">
        <v>7</v>
      </c>
      <c r="H316" t="s">
        <v>133</v>
      </c>
      <c r="J316">
        <v>56</v>
      </c>
      <c r="K316">
        <f t="shared" si="19"/>
        <v>56</v>
      </c>
      <c r="M316" t="s">
        <v>208</v>
      </c>
      <c r="R316" t="s">
        <v>1348</v>
      </c>
    </row>
    <row r="317" spans="1:18" x14ac:dyDescent="0.25">
      <c r="A317" t="s">
        <v>341</v>
      </c>
      <c r="B317" s="4">
        <v>37814</v>
      </c>
      <c r="C317" s="9">
        <f t="shared" si="17"/>
        <v>7</v>
      </c>
      <c r="D317">
        <f t="shared" si="18"/>
        <v>2003</v>
      </c>
      <c r="E317">
        <f t="shared" si="16"/>
        <v>1</v>
      </c>
      <c r="F317" t="s">
        <v>151</v>
      </c>
      <c r="G317" t="s">
        <v>7</v>
      </c>
      <c r="H317" t="s">
        <v>97</v>
      </c>
      <c r="I317">
        <v>1</v>
      </c>
      <c r="J317">
        <v>30</v>
      </c>
      <c r="K317">
        <f t="shared" si="19"/>
        <v>90</v>
      </c>
      <c r="R317" t="s">
        <v>1348</v>
      </c>
    </row>
    <row r="318" spans="1:18" x14ac:dyDescent="0.25">
      <c r="A318" t="s">
        <v>341</v>
      </c>
      <c r="B318" s="4">
        <v>37832</v>
      </c>
      <c r="C318" s="9">
        <f t="shared" si="17"/>
        <v>7</v>
      </c>
      <c r="D318">
        <f t="shared" si="18"/>
        <v>2003</v>
      </c>
      <c r="E318">
        <f t="shared" si="16"/>
        <v>1</v>
      </c>
      <c r="F318" t="s">
        <v>151</v>
      </c>
      <c r="G318" t="s">
        <v>217</v>
      </c>
      <c r="H318" t="s">
        <v>219</v>
      </c>
      <c r="J318">
        <v>7</v>
      </c>
      <c r="K318">
        <f t="shared" si="19"/>
        <v>7</v>
      </c>
      <c r="M318" t="s">
        <v>220</v>
      </c>
      <c r="R318" t="s">
        <v>1348</v>
      </c>
    </row>
    <row r="319" spans="1:18" x14ac:dyDescent="0.25">
      <c r="A319" t="s">
        <v>341</v>
      </c>
      <c r="B319" s="4">
        <v>37836</v>
      </c>
      <c r="C319" s="9">
        <f t="shared" si="17"/>
        <v>8</v>
      </c>
      <c r="D319">
        <f t="shared" si="18"/>
        <v>2003</v>
      </c>
      <c r="E319">
        <f t="shared" si="16"/>
        <v>1</v>
      </c>
      <c r="F319" t="s">
        <v>151</v>
      </c>
      <c r="G319" t="s">
        <v>7</v>
      </c>
      <c r="H319" t="s">
        <v>55</v>
      </c>
      <c r="I319">
        <v>3</v>
      </c>
      <c r="J319">
        <v>32</v>
      </c>
      <c r="K319">
        <f t="shared" si="19"/>
        <v>212</v>
      </c>
      <c r="M319" t="s">
        <v>224</v>
      </c>
      <c r="R319" t="s">
        <v>1348</v>
      </c>
    </row>
    <row r="320" spans="1:18" x14ac:dyDescent="0.25">
      <c r="A320" t="s">
        <v>342</v>
      </c>
      <c r="B320" s="4">
        <v>38095</v>
      </c>
      <c r="C320" s="9">
        <f t="shared" si="17"/>
        <v>4</v>
      </c>
      <c r="D320">
        <f t="shared" si="18"/>
        <v>2004</v>
      </c>
      <c r="E320">
        <f t="shared" si="16"/>
        <v>0</v>
      </c>
      <c r="K320">
        <f t="shared" si="19"/>
        <v>0</v>
      </c>
      <c r="L320" t="s">
        <v>226</v>
      </c>
      <c r="M320" t="s">
        <v>225</v>
      </c>
      <c r="R320" t="s">
        <v>1348</v>
      </c>
    </row>
    <row r="321" spans="1:18" x14ac:dyDescent="0.25">
      <c r="A321" t="s">
        <v>341</v>
      </c>
      <c r="B321" s="4">
        <v>38122</v>
      </c>
      <c r="C321" s="9">
        <f t="shared" si="17"/>
        <v>5</v>
      </c>
      <c r="D321">
        <f t="shared" si="18"/>
        <v>2004</v>
      </c>
      <c r="E321">
        <f t="shared" si="16"/>
        <v>1</v>
      </c>
      <c r="F321" t="s">
        <v>151</v>
      </c>
      <c r="G321" t="s">
        <v>158</v>
      </c>
      <c r="H321" t="s">
        <v>211</v>
      </c>
      <c r="J321">
        <v>50</v>
      </c>
      <c r="K321">
        <f t="shared" si="19"/>
        <v>50</v>
      </c>
      <c r="R321" t="s">
        <v>1348</v>
      </c>
    </row>
    <row r="322" spans="1:18" x14ac:dyDescent="0.25">
      <c r="A322" t="s">
        <v>341</v>
      </c>
      <c r="B322" s="4">
        <v>38136</v>
      </c>
      <c r="C322" s="9">
        <f t="shared" si="17"/>
        <v>5</v>
      </c>
      <c r="D322">
        <f t="shared" si="18"/>
        <v>2004</v>
      </c>
      <c r="E322">
        <f t="shared" ref="E322:E385" si="20">IF(OR(A322 = "GS",A322 = "BP"),IF( OR(A321="GS",A321="BP"),IF(B321=B322,0,1),1),0)</f>
        <v>1</v>
      </c>
      <c r="F322" t="s">
        <v>151</v>
      </c>
      <c r="G322" t="s">
        <v>158</v>
      </c>
      <c r="H322" t="s">
        <v>211</v>
      </c>
      <c r="I322">
        <v>2</v>
      </c>
      <c r="J322">
        <v>43</v>
      </c>
      <c r="K322">
        <f t="shared" si="19"/>
        <v>163</v>
      </c>
      <c r="R322" t="s">
        <v>1348</v>
      </c>
    </row>
    <row r="323" spans="1:18" x14ac:dyDescent="0.25">
      <c r="A323" t="s">
        <v>341</v>
      </c>
      <c r="B323" s="4">
        <v>38137</v>
      </c>
      <c r="C323" s="9">
        <f t="shared" ref="C323:C386" si="21">MONTH(B323)</f>
        <v>5</v>
      </c>
      <c r="D323">
        <f t="shared" ref="D323:D386" si="22">YEAR(B323)</f>
        <v>2004</v>
      </c>
      <c r="E323">
        <f t="shared" si="20"/>
        <v>1</v>
      </c>
      <c r="F323" t="s">
        <v>151</v>
      </c>
      <c r="G323" t="s">
        <v>150</v>
      </c>
      <c r="H323" t="s">
        <v>157</v>
      </c>
      <c r="I323">
        <v>1</v>
      </c>
      <c r="J323">
        <v>22</v>
      </c>
      <c r="K323">
        <f t="shared" ref="K323:K386" si="23">I323*60+J323</f>
        <v>82</v>
      </c>
      <c r="R323" t="s">
        <v>1348</v>
      </c>
    </row>
    <row r="324" spans="1:18" x14ac:dyDescent="0.25">
      <c r="A324" t="s">
        <v>341</v>
      </c>
      <c r="B324" s="4">
        <v>38148</v>
      </c>
      <c r="C324" s="9">
        <f t="shared" si="21"/>
        <v>6</v>
      </c>
      <c r="D324">
        <f t="shared" si="22"/>
        <v>2004</v>
      </c>
      <c r="E324">
        <f t="shared" si="20"/>
        <v>1</v>
      </c>
      <c r="F324" t="s">
        <v>151</v>
      </c>
      <c r="G324" t="s">
        <v>7</v>
      </c>
      <c r="H324" t="s">
        <v>97</v>
      </c>
      <c r="J324">
        <v>23</v>
      </c>
      <c r="K324">
        <f t="shared" si="23"/>
        <v>23</v>
      </c>
      <c r="R324" t="s">
        <v>1348</v>
      </c>
    </row>
    <row r="325" spans="1:18" x14ac:dyDescent="0.25">
      <c r="A325" t="s">
        <v>341</v>
      </c>
      <c r="B325" s="4">
        <v>38148</v>
      </c>
      <c r="C325" s="9">
        <f t="shared" si="21"/>
        <v>6</v>
      </c>
      <c r="D325">
        <f t="shared" si="22"/>
        <v>2004</v>
      </c>
      <c r="E325">
        <f t="shared" si="20"/>
        <v>0</v>
      </c>
      <c r="F325" t="s">
        <v>151</v>
      </c>
      <c r="G325" t="s">
        <v>7</v>
      </c>
      <c r="H325" t="s">
        <v>55</v>
      </c>
      <c r="I325">
        <v>2</v>
      </c>
      <c r="J325">
        <v>29</v>
      </c>
      <c r="K325">
        <f t="shared" si="23"/>
        <v>149</v>
      </c>
      <c r="R325" t="s">
        <v>1348</v>
      </c>
    </row>
    <row r="326" spans="1:18" x14ac:dyDescent="0.25">
      <c r="A326" t="s">
        <v>341</v>
      </c>
      <c r="B326" s="4">
        <v>38172</v>
      </c>
      <c r="C326" s="9">
        <f t="shared" si="21"/>
        <v>7</v>
      </c>
      <c r="D326">
        <f t="shared" si="22"/>
        <v>2004</v>
      </c>
      <c r="E326">
        <f t="shared" si="20"/>
        <v>1</v>
      </c>
      <c r="F326" t="s">
        <v>151</v>
      </c>
      <c r="G326" t="s">
        <v>150</v>
      </c>
      <c r="H326" t="s">
        <v>157</v>
      </c>
      <c r="I326">
        <v>1</v>
      </c>
      <c r="J326">
        <v>13</v>
      </c>
      <c r="K326">
        <f t="shared" si="23"/>
        <v>73</v>
      </c>
      <c r="R326" t="s">
        <v>1348</v>
      </c>
    </row>
    <row r="327" spans="1:18" x14ac:dyDescent="0.25">
      <c r="A327" t="s">
        <v>341</v>
      </c>
      <c r="B327" s="4">
        <v>38186</v>
      </c>
      <c r="C327" s="9">
        <f t="shared" si="21"/>
        <v>7</v>
      </c>
      <c r="D327">
        <f t="shared" si="22"/>
        <v>2004</v>
      </c>
      <c r="E327">
        <f t="shared" si="20"/>
        <v>1</v>
      </c>
      <c r="F327" t="s">
        <v>151</v>
      </c>
      <c r="G327" t="s">
        <v>7</v>
      </c>
      <c r="H327" t="s">
        <v>55</v>
      </c>
      <c r="J327">
        <v>18</v>
      </c>
      <c r="K327">
        <f t="shared" si="23"/>
        <v>18</v>
      </c>
      <c r="R327" t="s">
        <v>1348</v>
      </c>
    </row>
    <row r="328" spans="1:18" x14ac:dyDescent="0.25">
      <c r="A328" t="s">
        <v>341</v>
      </c>
      <c r="B328" s="4">
        <v>38196</v>
      </c>
      <c r="C328" s="9">
        <f t="shared" si="21"/>
        <v>7</v>
      </c>
      <c r="D328">
        <f t="shared" si="22"/>
        <v>2004</v>
      </c>
      <c r="E328">
        <f t="shared" si="20"/>
        <v>1</v>
      </c>
      <c r="F328" t="s">
        <v>151</v>
      </c>
      <c r="G328" t="s">
        <v>158</v>
      </c>
      <c r="H328" t="s">
        <v>211</v>
      </c>
      <c r="J328">
        <v>58</v>
      </c>
      <c r="K328">
        <f t="shared" si="23"/>
        <v>58</v>
      </c>
      <c r="R328" t="s">
        <v>1348</v>
      </c>
    </row>
    <row r="329" spans="1:18" x14ac:dyDescent="0.25">
      <c r="A329" t="s">
        <v>341</v>
      </c>
      <c r="B329" s="4">
        <v>38197</v>
      </c>
      <c r="C329" s="9">
        <f t="shared" si="21"/>
        <v>7</v>
      </c>
      <c r="D329">
        <f t="shared" si="22"/>
        <v>2004</v>
      </c>
      <c r="E329">
        <f t="shared" si="20"/>
        <v>1</v>
      </c>
      <c r="F329" t="s">
        <v>151</v>
      </c>
      <c r="G329" t="s">
        <v>7</v>
      </c>
      <c r="H329" t="s">
        <v>97</v>
      </c>
      <c r="I329">
        <v>1</v>
      </c>
      <c r="J329">
        <v>54</v>
      </c>
      <c r="K329">
        <f t="shared" si="23"/>
        <v>114</v>
      </c>
      <c r="R329" t="s">
        <v>1348</v>
      </c>
    </row>
    <row r="330" spans="1:18" x14ac:dyDescent="0.25">
      <c r="A330" t="s">
        <v>341</v>
      </c>
      <c r="B330" s="4">
        <v>38199</v>
      </c>
      <c r="C330" s="9">
        <f t="shared" si="21"/>
        <v>7</v>
      </c>
      <c r="D330">
        <f t="shared" si="22"/>
        <v>2004</v>
      </c>
      <c r="E330">
        <f t="shared" si="20"/>
        <v>1</v>
      </c>
      <c r="F330" t="s">
        <v>151</v>
      </c>
      <c r="G330" t="s">
        <v>7</v>
      </c>
      <c r="H330" t="s">
        <v>97</v>
      </c>
      <c r="I330">
        <v>1</v>
      </c>
      <c r="J330">
        <v>36</v>
      </c>
      <c r="K330">
        <f t="shared" si="23"/>
        <v>96</v>
      </c>
      <c r="R330" t="s">
        <v>1348</v>
      </c>
    </row>
    <row r="331" spans="1:18" x14ac:dyDescent="0.25">
      <c r="A331" t="s">
        <v>341</v>
      </c>
      <c r="B331" s="4">
        <v>38206</v>
      </c>
      <c r="C331" s="9">
        <f t="shared" si="21"/>
        <v>8</v>
      </c>
      <c r="D331">
        <f t="shared" si="22"/>
        <v>2004</v>
      </c>
      <c r="E331">
        <f t="shared" si="20"/>
        <v>1</v>
      </c>
      <c r="F331" t="s">
        <v>151</v>
      </c>
      <c r="G331" t="s">
        <v>7</v>
      </c>
      <c r="H331" t="s">
        <v>55</v>
      </c>
      <c r="J331">
        <v>21</v>
      </c>
      <c r="K331">
        <f t="shared" si="23"/>
        <v>21</v>
      </c>
      <c r="R331" t="s">
        <v>1348</v>
      </c>
    </row>
    <row r="332" spans="1:18" x14ac:dyDescent="0.25">
      <c r="A332" t="s">
        <v>341</v>
      </c>
      <c r="B332" s="4">
        <v>38207</v>
      </c>
      <c r="C332" s="9">
        <f t="shared" si="21"/>
        <v>8</v>
      </c>
      <c r="D332">
        <f t="shared" si="22"/>
        <v>2004</v>
      </c>
      <c r="E332">
        <f t="shared" si="20"/>
        <v>1</v>
      </c>
      <c r="F332" t="s">
        <v>151</v>
      </c>
      <c r="G332" t="s">
        <v>7</v>
      </c>
      <c r="H332" t="s">
        <v>55</v>
      </c>
      <c r="I332">
        <v>1</v>
      </c>
      <c r="J332">
        <v>53</v>
      </c>
      <c r="K332">
        <f t="shared" si="23"/>
        <v>113</v>
      </c>
      <c r="M332" t="s">
        <v>227</v>
      </c>
      <c r="R332" t="s">
        <v>1348</v>
      </c>
    </row>
    <row r="333" spans="1:18" x14ac:dyDescent="0.25">
      <c r="A333" t="s">
        <v>341</v>
      </c>
      <c r="B333" s="4">
        <v>38236</v>
      </c>
      <c r="C333" s="9">
        <f t="shared" si="21"/>
        <v>9</v>
      </c>
      <c r="D333">
        <f t="shared" si="22"/>
        <v>2004</v>
      </c>
      <c r="E333">
        <f t="shared" si="20"/>
        <v>1</v>
      </c>
      <c r="F333" t="s">
        <v>151</v>
      </c>
      <c r="G333" t="s">
        <v>7</v>
      </c>
      <c r="H333" t="s">
        <v>55</v>
      </c>
      <c r="J333">
        <v>57</v>
      </c>
      <c r="K333">
        <f t="shared" si="23"/>
        <v>57</v>
      </c>
      <c r="R333" t="s">
        <v>1348</v>
      </c>
    </row>
    <row r="334" spans="1:18" x14ac:dyDescent="0.25">
      <c r="A334" t="s">
        <v>342</v>
      </c>
      <c r="B334" s="4">
        <v>38441</v>
      </c>
      <c r="C334" s="9">
        <f t="shared" si="21"/>
        <v>3</v>
      </c>
      <c r="D334">
        <f t="shared" si="22"/>
        <v>2005</v>
      </c>
      <c r="E334">
        <f t="shared" si="20"/>
        <v>0</v>
      </c>
      <c r="K334">
        <f t="shared" si="23"/>
        <v>0</v>
      </c>
      <c r="M334" t="s">
        <v>228</v>
      </c>
      <c r="R334" t="s">
        <v>1348</v>
      </c>
    </row>
    <row r="335" spans="1:18" x14ac:dyDescent="0.25">
      <c r="A335" t="s">
        <v>341</v>
      </c>
      <c r="B335" s="4">
        <v>38446</v>
      </c>
      <c r="C335" s="9">
        <f t="shared" si="21"/>
        <v>4</v>
      </c>
      <c r="D335">
        <f t="shared" si="22"/>
        <v>2005</v>
      </c>
      <c r="E335">
        <f t="shared" si="20"/>
        <v>1</v>
      </c>
      <c r="F335" t="s">
        <v>229</v>
      </c>
      <c r="G335" t="s">
        <v>101</v>
      </c>
      <c r="H335" t="s">
        <v>231</v>
      </c>
      <c r="J335">
        <v>44</v>
      </c>
      <c r="K335">
        <f t="shared" si="23"/>
        <v>44</v>
      </c>
      <c r="L335" t="s">
        <v>152</v>
      </c>
      <c r="M335" t="s">
        <v>232</v>
      </c>
      <c r="R335" t="s">
        <v>1348</v>
      </c>
    </row>
    <row r="336" spans="1:18" x14ac:dyDescent="0.25">
      <c r="A336" t="s">
        <v>341</v>
      </c>
      <c r="B336" s="4">
        <v>38447</v>
      </c>
      <c r="C336" s="9">
        <f t="shared" si="21"/>
        <v>4</v>
      </c>
      <c r="D336">
        <f t="shared" si="22"/>
        <v>2005</v>
      </c>
      <c r="E336">
        <f t="shared" si="20"/>
        <v>1</v>
      </c>
      <c r="F336" t="s">
        <v>229</v>
      </c>
      <c r="G336" t="s">
        <v>101</v>
      </c>
      <c r="H336" t="s">
        <v>101</v>
      </c>
      <c r="J336">
        <v>11</v>
      </c>
      <c r="K336">
        <f t="shared" si="23"/>
        <v>11</v>
      </c>
      <c r="L336" t="s">
        <v>152</v>
      </c>
      <c r="R336" t="s">
        <v>1348</v>
      </c>
    </row>
    <row r="337" spans="1:18" x14ac:dyDescent="0.25">
      <c r="A337" t="s">
        <v>341</v>
      </c>
      <c r="B337" s="4">
        <v>38447</v>
      </c>
      <c r="C337" s="9">
        <f t="shared" si="21"/>
        <v>4</v>
      </c>
      <c r="D337">
        <f t="shared" si="22"/>
        <v>2005</v>
      </c>
      <c r="E337">
        <f t="shared" si="20"/>
        <v>0</v>
      </c>
      <c r="F337" t="s">
        <v>229</v>
      </c>
      <c r="G337" t="s">
        <v>101</v>
      </c>
      <c r="H337" t="s">
        <v>153</v>
      </c>
      <c r="I337">
        <v>1</v>
      </c>
      <c r="J337">
        <v>16</v>
      </c>
      <c r="K337">
        <f t="shared" si="23"/>
        <v>76</v>
      </c>
      <c r="L337" t="s">
        <v>152</v>
      </c>
      <c r="R337" t="s">
        <v>1348</v>
      </c>
    </row>
    <row r="338" spans="1:18" x14ac:dyDescent="0.25">
      <c r="A338" t="s">
        <v>341</v>
      </c>
      <c r="B338" s="4">
        <v>38448</v>
      </c>
      <c r="C338" s="9">
        <f t="shared" si="21"/>
        <v>4</v>
      </c>
      <c r="D338">
        <f t="shared" si="22"/>
        <v>2005</v>
      </c>
      <c r="E338">
        <f t="shared" si="20"/>
        <v>1</v>
      </c>
      <c r="F338" t="s">
        <v>229</v>
      </c>
      <c r="G338" t="s">
        <v>101</v>
      </c>
      <c r="H338" t="s">
        <v>231</v>
      </c>
      <c r="J338">
        <v>32</v>
      </c>
      <c r="K338">
        <f t="shared" si="23"/>
        <v>32</v>
      </c>
      <c r="L338" t="s">
        <v>152</v>
      </c>
      <c r="R338" t="s">
        <v>1348</v>
      </c>
    </row>
    <row r="339" spans="1:18" x14ac:dyDescent="0.25">
      <c r="A339" t="s">
        <v>341</v>
      </c>
      <c r="B339" s="4">
        <v>38472</v>
      </c>
      <c r="C339" s="9">
        <f t="shared" si="21"/>
        <v>4</v>
      </c>
      <c r="D339">
        <f t="shared" si="22"/>
        <v>2005</v>
      </c>
      <c r="E339">
        <f t="shared" si="20"/>
        <v>1</v>
      </c>
      <c r="F339" t="s">
        <v>151</v>
      </c>
      <c r="G339" t="s">
        <v>158</v>
      </c>
      <c r="H339" t="s">
        <v>200</v>
      </c>
      <c r="I339">
        <v>2</v>
      </c>
      <c r="J339">
        <v>29</v>
      </c>
      <c r="K339">
        <f t="shared" si="23"/>
        <v>149</v>
      </c>
      <c r="M339" t="s">
        <v>233</v>
      </c>
      <c r="R339" t="s">
        <v>1348</v>
      </c>
    </row>
    <row r="340" spans="1:18" x14ac:dyDescent="0.25">
      <c r="A340" t="s">
        <v>341</v>
      </c>
      <c r="B340" s="4">
        <v>38473</v>
      </c>
      <c r="C340" s="9">
        <f t="shared" si="21"/>
        <v>5</v>
      </c>
      <c r="D340">
        <f t="shared" si="22"/>
        <v>2005</v>
      </c>
      <c r="E340">
        <f t="shared" si="20"/>
        <v>1</v>
      </c>
      <c r="F340" t="s">
        <v>151</v>
      </c>
      <c r="G340" t="s">
        <v>158</v>
      </c>
      <c r="H340" t="s">
        <v>211</v>
      </c>
      <c r="J340">
        <v>34</v>
      </c>
      <c r="K340">
        <f t="shared" si="23"/>
        <v>34</v>
      </c>
      <c r="R340" t="s">
        <v>1348</v>
      </c>
    </row>
    <row r="341" spans="1:18" x14ac:dyDescent="0.25">
      <c r="A341" t="s">
        <v>341</v>
      </c>
      <c r="B341" s="4">
        <v>38500</v>
      </c>
      <c r="C341" s="9">
        <f t="shared" si="21"/>
        <v>5</v>
      </c>
      <c r="D341">
        <f t="shared" si="22"/>
        <v>2005</v>
      </c>
      <c r="E341">
        <f t="shared" si="20"/>
        <v>1</v>
      </c>
      <c r="F341" t="s">
        <v>229</v>
      </c>
      <c r="G341" t="s">
        <v>71</v>
      </c>
      <c r="H341" t="s">
        <v>72</v>
      </c>
      <c r="I341">
        <v>3</v>
      </c>
      <c r="J341">
        <v>8</v>
      </c>
      <c r="K341">
        <f t="shared" si="23"/>
        <v>188</v>
      </c>
      <c r="M341" t="s">
        <v>234</v>
      </c>
      <c r="R341" t="s">
        <v>1348</v>
      </c>
    </row>
    <row r="342" spans="1:18" x14ac:dyDescent="0.25">
      <c r="A342" t="s">
        <v>341</v>
      </c>
      <c r="B342" s="4">
        <v>38501</v>
      </c>
      <c r="C342" s="9">
        <f t="shared" si="21"/>
        <v>5</v>
      </c>
      <c r="D342">
        <f t="shared" si="22"/>
        <v>2005</v>
      </c>
      <c r="E342">
        <f t="shared" si="20"/>
        <v>1</v>
      </c>
      <c r="F342" t="s">
        <v>229</v>
      </c>
      <c r="G342" t="s">
        <v>71</v>
      </c>
      <c r="H342" t="s">
        <v>72</v>
      </c>
      <c r="J342">
        <v>36</v>
      </c>
      <c r="K342">
        <f t="shared" si="23"/>
        <v>36</v>
      </c>
      <c r="R342" t="s">
        <v>1348</v>
      </c>
    </row>
    <row r="343" spans="1:18" x14ac:dyDescent="0.25">
      <c r="A343" t="s">
        <v>341</v>
      </c>
      <c r="B343" s="4">
        <v>38514</v>
      </c>
      <c r="C343" s="9">
        <f t="shared" si="21"/>
        <v>6</v>
      </c>
      <c r="D343">
        <f t="shared" si="22"/>
        <v>2005</v>
      </c>
      <c r="E343">
        <f t="shared" si="20"/>
        <v>1</v>
      </c>
      <c r="F343" t="s">
        <v>229</v>
      </c>
      <c r="G343" t="s">
        <v>71</v>
      </c>
      <c r="H343" t="s">
        <v>94</v>
      </c>
      <c r="I343">
        <v>1</v>
      </c>
      <c r="J343">
        <v>18</v>
      </c>
      <c r="K343">
        <f t="shared" si="23"/>
        <v>78</v>
      </c>
      <c r="R343" t="s">
        <v>1348</v>
      </c>
    </row>
    <row r="344" spans="1:18" x14ac:dyDescent="0.25">
      <c r="A344" t="s">
        <v>341</v>
      </c>
      <c r="B344" s="4">
        <v>38521</v>
      </c>
      <c r="C344" s="9">
        <f t="shared" si="21"/>
        <v>6</v>
      </c>
      <c r="D344">
        <f t="shared" si="22"/>
        <v>2005</v>
      </c>
      <c r="E344">
        <f t="shared" si="20"/>
        <v>1</v>
      </c>
      <c r="F344" t="s">
        <v>229</v>
      </c>
      <c r="G344" t="s">
        <v>7</v>
      </c>
      <c r="H344" t="s">
        <v>55</v>
      </c>
      <c r="J344">
        <v>37</v>
      </c>
      <c r="K344">
        <f t="shared" si="23"/>
        <v>37</v>
      </c>
      <c r="R344" t="s">
        <v>1348</v>
      </c>
    </row>
    <row r="345" spans="1:18" x14ac:dyDescent="0.25">
      <c r="A345" t="s">
        <v>341</v>
      </c>
      <c r="B345" s="4">
        <v>38522</v>
      </c>
      <c r="C345" s="9">
        <f t="shared" si="21"/>
        <v>6</v>
      </c>
      <c r="D345">
        <f t="shared" si="22"/>
        <v>2005</v>
      </c>
      <c r="E345">
        <f t="shared" si="20"/>
        <v>1</v>
      </c>
      <c r="F345" t="s">
        <v>229</v>
      </c>
      <c r="G345" t="s">
        <v>7</v>
      </c>
      <c r="H345" t="s">
        <v>55</v>
      </c>
      <c r="I345">
        <v>2</v>
      </c>
      <c r="J345">
        <v>40</v>
      </c>
      <c r="K345">
        <f t="shared" si="23"/>
        <v>160</v>
      </c>
      <c r="M345" t="s">
        <v>235</v>
      </c>
      <c r="R345" t="s">
        <v>1348</v>
      </c>
    </row>
    <row r="346" spans="1:18" x14ac:dyDescent="0.25">
      <c r="A346" t="s">
        <v>341</v>
      </c>
      <c r="B346" s="4">
        <v>38529</v>
      </c>
      <c r="C346" s="9">
        <f t="shared" si="21"/>
        <v>6</v>
      </c>
      <c r="D346">
        <f t="shared" si="22"/>
        <v>2005</v>
      </c>
      <c r="E346">
        <f t="shared" si="20"/>
        <v>1</v>
      </c>
      <c r="F346" t="s">
        <v>229</v>
      </c>
      <c r="G346" t="s">
        <v>7</v>
      </c>
      <c r="H346" t="s">
        <v>55</v>
      </c>
      <c r="I346">
        <v>1</v>
      </c>
      <c r="J346">
        <v>23</v>
      </c>
      <c r="K346">
        <f t="shared" si="23"/>
        <v>83</v>
      </c>
      <c r="R346" t="s">
        <v>1348</v>
      </c>
    </row>
    <row r="347" spans="1:18" x14ac:dyDescent="0.25">
      <c r="A347" t="s">
        <v>341</v>
      </c>
      <c r="B347" s="4">
        <v>38550</v>
      </c>
      <c r="C347" s="9">
        <f t="shared" si="21"/>
        <v>7</v>
      </c>
      <c r="D347">
        <f t="shared" si="22"/>
        <v>2005</v>
      </c>
      <c r="E347">
        <f t="shared" si="20"/>
        <v>1</v>
      </c>
      <c r="F347" t="s">
        <v>229</v>
      </c>
      <c r="G347" t="s">
        <v>71</v>
      </c>
      <c r="H347" t="s">
        <v>72</v>
      </c>
      <c r="J347">
        <v>17</v>
      </c>
      <c r="K347">
        <f t="shared" si="23"/>
        <v>17</v>
      </c>
      <c r="R347" t="s">
        <v>1348</v>
      </c>
    </row>
    <row r="348" spans="1:18" x14ac:dyDescent="0.25">
      <c r="A348" t="s">
        <v>341</v>
      </c>
      <c r="B348" s="4">
        <v>38553</v>
      </c>
      <c r="C348" s="9">
        <f t="shared" si="21"/>
        <v>7</v>
      </c>
      <c r="D348">
        <f t="shared" si="22"/>
        <v>2005</v>
      </c>
      <c r="E348">
        <f t="shared" si="20"/>
        <v>1</v>
      </c>
      <c r="F348" t="s">
        <v>229</v>
      </c>
      <c r="G348" t="s">
        <v>7</v>
      </c>
      <c r="H348" t="s">
        <v>55</v>
      </c>
      <c r="J348">
        <v>31</v>
      </c>
      <c r="K348">
        <f t="shared" si="23"/>
        <v>31</v>
      </c>
      <c r="R348" t="s">
        <v>1348</v>
      </c>
    </row>
    <row r="349" spans="1:18" x14ac:dyDescent="0.25">
      <c r="A349" t="s">
        <v>341</v>
      </c>
      <c r="B349" s="4">
        <v>38560</v>
      </c>
      <c r="C349" s="9">
        <f t="shared" si="21"/>
        <v>7</v>
      </c>
      <c r="D349">
        <f t="shared" si="22"/>
        <v>2005</v>
      </c>
      <c r="E349">
        <f t="shared" si="20"/>
        <v>1</v>
      </c>
      <c r="F349" t="s">
        <v>229</v>
      </c>
      <c r="G349" t="s">
        <v>7</v>
      </c>
      <c r="H349" t="s">
        <v>55</v>
      </c>
      <c r="I349">
        <v>1</v>
      </c>
      <c r="J349">
        <v>1</v>
      </c>
      <c r="K349">
        <f t="shared" si="23"/>
        <v>61</v>
      </c>
      <c r="R349" t="s">
        <v>1348</v>
      </c>
    </row>
    <row r="350" spans="1:18" x14ac:dyDescent="0.25">
      <c r="A350" t="s">
        <v>341</v>
      </c>
      <c r="B350" s="4">
        <v>38561</v>
      </c>
      <c r="C350" s="9">
        <f t="shared" si="21"/>
        <v>7</v>
      </c>
      <c r="D350">
        <f t="shared" si="22"/>
        <v>2005</v>
      </c>
      <c r="E350">
        <f t="shared" si="20"/>
        <v>1</v>
      </c>
      <c r="F350" t="s">
        <v>229</v>
      </c>
      <c r="G350" t="s">
        <v>7</v>
      </c>
      <c r="H350" t="s">
        <v>55</v>
      </c>
      <c r="I350">
        <v>1</v>
      </c>
      <c r="J350">
        <v>58</v>
      </c>
      <c r="K350">
        <f t="shared" si="23"/>
        <v>118</v>
      </c>
      <c r="M350" t="s">
        <v>236</v>
      </c>
      <c r="R350" t="s">
        <v>1348</v>
      </c>
    </row>
    <row r="351" spans="1:18" x14ac:dyDescent="0.25">
      <c r="A351" t="s">
        <v>341</v>
      </c>
      <c r="B351" s="4">
        <v>38607</v>
      </c>
      <c r="C351" s="9">
        <f t="shared" si="21"/>
        <v>9</v>
      </c>
      <c r="D351">
        <f t="shared" si="22"/>
        <v>2005</v>
      </c>
      <c r="E351">
        <f t="shared" si="20"/>
        <v>1</v>
      </c>
      <c r="F351" t="s">
        <v>229</v>
      </c>
      <c r="G351" t="s">
        <v>237</v>
      </c>
      <c r="H351" t="s">
        <v>238</v>
      </c>
      <c r="J351">
        <v>56</v>
      </c>
      <c r="K351">
        <f t="shared" si="23"/>
        <v>56</v>
      </c>
      <c r="L351" t="s">
        <v>239</v>
      </c>
      <c r="M351" t="s">
        <v>242</v>
      </c>
      <c r="R351" t="s">
        <v>1349</v>
      </c>
    </row>
    <row r="352" spans="1:18" x14ac:dyDescent="0.25">
      <c r="A352" t="s">
        <v>341</v>
      </c>
      <c r="B352" s="4">
        <v>38607</v>
      </c>
      <c r="C352" s="9">
        <f t="shared" si="21"/>
        <v>9</v>
      </c>
      <c r="D352">
        <f t="shared" si="22"/>
        <v>2005</v>
      </c>
      <c r="E352">
        <f t="shared" si="20"/>
        <v>0</v>
      </c>
      <c r="F352" t="s">
        <v>229</v>
      </c>
      <c r="G352" t="s">
        <v>240</v>
      </c>
      <c r="H352" t="s">
        <v>238</v>
      </c>
      <c r="J352">
        <v>17</v>
      </c>
      <c r="K352">
        <f t="shared" si="23"/>
        <v>17</v>
      </c>
      <c r="L352" t="s">
        <v>239</v>
      </c>
      <c r="R352" t="s">
        <v>1349</v>
      </c>
    </row>
    <row r="353" spans="1:18" x14ac:dyDescent="0.25">
      <c r="A353" t="s">
        <v>341</v>
      </c>
      <c r="B353" s="4">
        <v>38608</v>
      </c>
      <c r="C353" s="9">
        <f t="shared" si="21"/>
        <v>9</v>
      </c>
      <c r="D353">
        <f t="shared" si="22"/>
        <v>2005</v>
      </c>
      <c r="E353">
        <f t="shared" si="20"/>
        <v>1</v>
      </c>
      <c r="F353" t="s">
        <v>229</v>
      </c>
      <c r="G353" t="s">
        <v>237</v>
      </c>
      <c r="H353" t="s">
        <v>238</v>
      </c>
      <c r="J353">
        <v>9</v>
      </c>
      <c r="K353">
        <f t="shared" si="23"/>
        <v>9</v>
      </c>
      <c r="L353" t="s">
        <v>239</v>
      </c>
      <c r="R353" t="s">
        <v>1349</v>
      </c>
    </row>
    <row r="354" spans="1:18" x14ac:dyDescent="0.25">
      <c r="A354" t="s">
        <v>341</v>
      </c>
      <c r="B354" s="4">
        <v>38608</v>
      </c>
      <c r="C354" s="9">
        <f t="shared" si="21"/>
        <v>9</v>
      </c>
      <c r="D354">
        <f t="shared" si="22"/>
        <v>2005</v>
      </c>
      <c r="E354">
        <f t="shared" si="20"/>
        <v>0</v>
      </c>
      <c r="F354" t="s">
        <v>229</v>
      </c>
      <c r="G354" t="s">
        <v>237</v>
      </c>
      <c r="H354" t="s">
        <v>241</v>
      </c>
      <c r="J354">
        <v>11</v>
      </c>
      <c r="K354">
        <f t="shared" si="23"/>
        <v>11</v>
      </c>
      <c r="L354" t="s">
        <v>239</v>
      </c>
      <c r="R354" t="s">
        <v>1349</v>
      </c>
    </row>
    <row r="355" spans="1:18" x14ac:dyDescent="0.25">
      <c r="A355" t="s">
        <v>341</v>
      </c>
      <c r="B355" s="4">
        <v>38608</v>
      </c>
      <c r="C355" s="9">
        <f t="shared" si="21"/>
        <v>9</v>
      </c>
      <c r="D355">
        <f t="shared" si="22"/>
        <v>2005</v>
      </c>
      <c r="E355">
        <f t="shared" si="20"/>
        <v>0</v>
      </c>
      <c r="F355" t="s">
        <v>229</v>
      </c>
      <c r="G355" t="s">
        <v>240</v>
      </c>
      <c r="H355" t="s">
        <v>238</v>
      </c>
      <c r="J355">
        <v>9</v>
      </c>
      <c r="K355">
        <f t="shared" si="23"/>
        <v>9</v>
      </c>
      <c r="L355" t="s">
        <v>239</v>
      </c>
      <c r="R355" t="s">
        <v>1349</v>
      </c>
    </row>
    <row r="356" spans="1:18" x14ac:dyDescent="0.25">
      <c r="A356" t="s">
        <v>341</v>
      </c>
      <c r="B356" s="4">
        <v>38609</v>
      </c>
      <c r="C356" s="9">
        <f t="shared" si="21"/>
        <v>9</v>
      </c>
      <c r="D356">
        <f t="shared" si="22"/>
        <v>2005</v>
      </c>
      <c r="E356">
        <f t="shared" si="20"/>
        <v>1</v>
      </c>
      <c r="F356" t="s">
        <v>229</v>
      </c>
      <c r="G356" t="s">
        <v>237</v>
      </c>
      <c r="H356" t="s">
        <v>238</v>
      </c>
      <c r="J356">
        <v>7</v>
      </c>
      <c r="K356">
        <f t="shared" si="23"/>
        <v>7</v>
      </c>
      <c r="L356" t="s">
        <v>239</v>
      </c>
      <c r="R356" t="s">
        <v>1349</v>
      </c>
    </row>
    <row r="357" spans="1:18" x14ac:dyDescent="0.25">
      <c r="A357" t="s">
        <v>341</v>
      </c>
      <c r="B357" s="4">
        <v>38610</v>
      </c>
      <c r="C357" s="9">
        <f t="shared" si="21"/>
        <v>9</v>
      </c>
      <c r="D357">
        <f t="shared" si="22"/>
        <v>2005</v>
      </c>
      <c r="E357">
        <f t="shared" si="20"/>
        <v>1</v>
      </c>
      <c r="F357" t="s">
        <v>229</v>
      </c>
      <c r="G357" t="s">
        <v>237</v>
      </c>
      <c r="H357" t="s">
        <v>238</v>
      </c>
      <c r="I357">
        <v>1</v>
      </c>
      <c r="J357">
        <v>40</v>
      </c>
      <c r="K357">
        <f t="shared" si="23"/>
        <v>100</v>
      </c>
      <c r="L357" t="s">
        <v>239</v>
      </c>
      <c r="R357" t="s">
        <v>1349</v>
      </c>
    </row>
    <row r="358" spans="1:18" x14ac:dyDescent="0.25">
      <c r="A358" t="s">
        <v>341</v>
      </c>
      <c r="B358" s="4">
        <v>38610</v>
      </c>
      <c r="C358" s="9">
        <f t="shared" si="21"/>
        <v>9</v>
      </c>
      <c r="D358">
        <f t="shared" si="22"/>
        <v>2005</v>
      </c>
      <c r="E358">
        <f t="shared" si="20"/>
        <v>0</v>
      </c>
      <c r="F358" t="s">
        <v>229</v>
      </c>
      <c r="G358" t="s">
        <v>240</v>
      </c>
      <c r="H358" t="s">
        <v>238</v>
      </c>
      <c r="I358">
        <v>1</v>
      </c>
      <c r="J358">
        <v>1</v>
      </c>
      <c r="K358">
        <f t="shared" si="23"/>
        <v>61</v>
      </c>
      <c r="L358" t="s">
        <v>239</v>
      </c>
      <c r="R358" t="s">
        <v>1349</v>
      </c>
    </row>
    <row r="359" spans="1:18" x14ac:dyDescent="0.25">
      <c r="A359" t="s">
        <v>341</v>
      </c>
      <c r="B359" s="4">
        <v>38611</v>
      </c>
      <c r="C359" s="9">
        <f t="shared" si="21"/>
        <v>9</v>
      </c>
      <c r="D359">
        <f t="shared" si="22"/>
        <v>2005</v>
      </c>
      <c r="E359">
        <f t="shared" si="20"/>
        <v>1</v>
      </c>
      <c r="F359" t="s">
        <v>229</v>
      </c>
      <c r="G359" t="s">
        <v>237</v>
      </c>
      <c r="H359" t="s">
        <v>243</v>
      </c>
      <c r="I359">
        <v>1</v>
      </c>
      <c r="J359">
        <v>18</v>
      </c>
      <c r="K359">
        <f t="shared" si="23"/>
        <v>78</v>
      </c>
      <c r="L359" t="s">
        <v>239</v>
      </c>
      <c r="R359" t="s">
        <v>1349</v>
      </c>
    </row>
    <row r="360" spans="1:18" x14ac:dyDescent="0.25">
      <c r="A360" t="s">
        <v>341</v>
      </c>
      <c r="B360" s="4">
        <v>38611</v>
      </c>
      <c r="C360" s="9">
        <f t="shared" si="21"/>
        <v>9</v>
      </c>
      <c r="D360">
        <f t="shared" si="22"/>
        <v>2005</v>
      </c>
      <c r="E360">
        <f t="shared" si="20"/>
        <v>0</v>
      </c>
      <c r="F360" t="s">
        <v>229</v>
      </c>
      <c r="G360" t="s">
        <v>240</v>
      </c>
      <c r="H360" t="s">
        <v>238</v>
      </c>
      <c r="J360">
        <v>18</v>
      </c>
      <c r="K360">
        <f t="shared" si="23"/>
        <v>18</v>
      </c>
      <c r="L360" t="s">
        <v>239</v>
      </c>
      <c r="R360" t="s">
        <v>1349</v>
      </c>
    </row>
    <row r="361" spans="1:18" x14ac:dyDescent="0.25">
      <c r="A361" t="s">
        <v>341</v>
      </c>
      <c r="B361" s="4">
        <v>38619</v>
      </c>
      <c r="C361" s="9">
        <f t="shared" si="21"/>
        <v>9</v>
      </c>
      <c r="D361">
        <f t="shared" si="22"/>
        <v>2005</v>
      </c>
      <c r="E361">
        <f t="shared" si="20"/>
        <v>1</v>
      </c>
      <c r="F361" t="s">
        <v>229</v>
      </c>
      <c r="G361" t="s">
        <v>7</v>
      </c>
      <c r="H361" t="s">
        <v>55</v>
      </c>
      <c r="I361">
        <v>1</v>
      </c>
      <c r="J361">
        <v>52</v>
      </c>
      <c r="K361">
        <f t="shared" si="23"/>
        <v>112</v>
      </c>
      <c r="M361" t="s">
        <v>245</v>
      </c>
      <c r="R361" t="s">
        <v>1348</v>
      </c>
    </row>
    <row r="362" spans="1:18" x14ac:dyDescent="0.25">
      <c r="A362" t="s">
        <v>341</v>
      </c>
      <c r="B362" s="4">
        <v>38635</v>
      </c>
      <c r="C362" s="9">
        <f t="shared" si="21"/>
        <v>10</v>
      </c>
      <c r="D362">
        <f t="shared" si="22"/>
        <v>2005</v>
      </c>
      <c r="E362">
        <f t="shared" si="20"/>
        <v>1</v>
      </c>
      <c r="F362" t="s">
        <v>229</v>
      </c>
      <c r="G362" t="s">
        <v>101</v>
      </c>
      <c r="H362" t="s">
        <v>273</v>
      </c>
      <c r="J362">
        <v>13</v>
      </c>
      <c r="K362">
        <f t="shared" si="23"/>
        <v>13</v>
      </c>
      <c r="M362" t="s">
        <v>246</v>
      </c>
      <c r="R362" t="s">
        <v>1348</v>
      </c>
    </row>
    <row r="363" spans="1:18" x14ac:dyDescent="0.25">
      <c r="A363" t="s">
        <v>341</v>
      </c>
      <c r="B363" s="4">
        <v>38637</v>
      </c>
      <c r="C363" s="9">
        <f t="shared" si="21"/>
        <v>10</v>
      </c>
      <c r="D363">
        <f t="shared" si="22"/>
        <v>2005</v>
      </c>
      <c r="E363">
        <f t="shared" si="20"/>
        <v>1</v>
      </c>
      <c r="F363" t="s">
        <v>229</v>
      </c>
      <c r="G363" t="s">
        <v>101</v>
      </c>
      <c r="H363" t="s">
        <v>244</v>
      </c>
      <c r="J363">
        <v>12</v>
      </c>
      <c r="K363">
        <f t="shared" si="23"/>
        <v>12</v>
      </c>
      <c r="M363" t="s">
        <v>246</v>
      </c>
      <c r="R363" t="s">
        <v>1348</v>
      </c>
    </row>
    <row r="364" spans="1:18" x14ac:dyDescent="0.25">
      <c r="A364" t="s">
        <v>341</v>
      </c>
      <c r="B364" s="4">
        <v>38638</v>
      </c>
      <c r="C364" s="9">
        <f t="shared" si="21"/>
        <v>10</v>
      </c>
      <c r="D364">
        <f t="shared" si="22"/>
        <v>2005</v>
      </c>
      <c r="E364">
        <f t="shared" si="20"/>
        <v>1</v>
      </c>
      <c r="F364" t="s">
        <v>229</v>
      </c>
      <c r="G364" t="s">
        <v>101</v>
      </c>
      <c r="H364" t="s">
        <v>273</v>
      </c>
      <c r="J364">
        <v>13</v>
      </c>
      <c r="K364">
        <f t="shared" si="23"/>
        <v>13</v>
      </c>
      <c r="M364" t="s">
        <v>246</v>
      </c>
      <c r="R364" t="s">
        <v>1348</v>
      </c>
    </row>
    <row r="365" spans="1:18" x14ac:dyDescent="0.25">
      <c r="A365" t="s">
        <v>341</v>
      </c>
      <c r="B365" s="4">
        <v>38639</v>
      </c>
      <c r="C365" s="9">
        <f t="shared" si="21"/>
        <v>10</v>
      </c>
      <c r="D365">
        <f t="shared" si="22"/>
        <v>2005</v>
      </c>
      <c r="E365">
        <f t="shared" si="20"/>
        <v>1</v>
      </c>
      <c r="F365" t="s">
        <v>229</v>
      </c>
      <c r="G365" t="s">
        <v>101</v>
      </c>
      <c r="H365" t="s">
        <v>273</v>
      </c>
      <c r="J365">
        <v>31</v>
      </c>
      <c r="K365">
        <f t="shared" si="23"/>
        <v>31</v>
      </c>
      <c r="M365" t="s">
        <v>246</v>
      </c>
      <c r="R365" t="s">
        <v>1348</v>
      </c>
    </row>
    <row r="366" spans="1:18" x14ac:dyDescent="0.25">
      <c r="A366" t="s">
        <v>341</v>
      </c>
      <c r="B366" s="4">
        <v>38639</v>
      </c>
      <c r="C366" s="9">
        <f t="shared" si="21"/>
        <v>10</v>
      </c>
      <c r="D366">
        <f t="shared" si="22"/>
        <v>2005</v>
      </c>
      <c r="E366">
        <f t="shared" si="20"/>
        <v>0</v>
      </c>
      <c r="F366" t="s">
        <v>229</v>
      </c>
      <c r="G366" t="s">
        <v>409</v>
      </c>
      <c r="H366" t="s">
        <v>273</v>
      </c>
      <c r="J366">
        <v>23</v>
      </c>
      <c r="K366">
        <f t="shared" si="23"/>
        <v>23</v>
      </c>
      <c r="M366" t="s">
        <v>246</v>
      </c>
      <c r="R366" t="s">
        <v>1348</v>
      </c>
    </row>
    <row r="367" spans="1:18" x14ac:dyDescent="0.25">
      <c r="A367" t="s">
        <v>341</v>
      </c>
      <c r="B367" s="4">
        <v>38815</v>
      </c>
      <c r="C367" s="9">
        <f t="shared" si="21"/>
        <v>4</v>
      </c>
      <c r="D367">
        <f t="shared" si="22"/>
        <v>2006</v>
      </c>
      <c r="E367">
        <f t="shared" si="20"/>
        <v>1</v>
      </c>
      <c r="F367" t="s">
        <v>229</v>
      </c>
      <c r="G367" t="s">
        <v>150</v>
      </c>
      <c r="H367" t="s">
        <v>157</v>
      </c>
      <c r="I367">
        <v>1</v>
      </c>
      <c r="J367">
        <v>5</v>
      </c>
      <c r="K367">
        <f t="shared" si="23"/>
        <v>65</v>
      </c>
      <c r="R367" t="s">
        <v>1348</v>
      </c>
    </row>
    <row r="368" spans="1:18" x14ac:dyDescent="0.25">
      <c r="A368" t="s">
        <v>341</v>
      </c>
      <c r="B368" s="4">
        <v>38829</v>
      </c>
      <c r="C368" s="9">
        <f t="shared" si="21"/>
        <v>4</v>
      </c>
      <c r="D368">
        <f t="shared" si="22"/>
        <v>2006</v>
      </c>
      <c r="E368">
        <f t="shared" si="20"/>
        <v>1</v>
      </c>
      <c r="F368" t="s">
        <v>230</v>
      </c>
      <c r="G368" t="s">
        <v>158</v>
      </c>
      <c r="H368" t="s">
        <v>211</v>
      </c>
      <c r="I368">
        <v>1</v>
      </c>
      <c r="J368">
        <v>19</v>
      </c>
      <c r="K368">
        <f t="shared" si="23"/>
        <v>79</v>
      </c>
      <c r="R368" t="s">
        <v>1348</v>
      </c>
    </row>
    <row r="369" spans="1:18" x14ac:dyDescent="0.25">
      <c r="A369" t="s">
        <v>341</v>
      </c>
      <c r="B369" s="4">
        <v>38840</v>
      </c>
      <c r="C369" s="9">
        <f t="shared" si="21"/>
        <v>5</v>
      </c>
      <c r="D369">
        <f t="shared" si="22"/>
        <v>2006</v>
      </c>
      <c r="E369">
        <f t="shared" si="20"/>
        <v>1</v>
      </c>
      <c r="F369" t="s">
        <v>230</v>
      </c>
      <c r="G369" t="s">
        <v>158</v>
      </c>
      <c r="H369" t="s">
        <v>211</v>
      </c>
      <c r="I369">
        <v>1</v>
      </c>
      <c r="J369">
        <v>53</v>
      </c>
      <c r="K369">
        <f t="shared" si="23"/>
        <v>113</v>
      </c>
      <c r="R369" t="s">
        <v>1348</v>
      </c>
    </row>
    <row r="370" spans="1:18" x14ac:dyDescent="0.25">
      <c r="A370" t="s">
        <v>341</v>
      </c>
      <c r="B370" s="4">
        <v>38878</v>
      </c>
      <c r="C370" s="9">
        <f t="shared" si="21"/>
        <v>6</v>
      </c>
      <c r="D370">
        <f t="shared" si="22"/>
        <v>2006</v>
      </c>
      <c r="E370">
        <f t="shared" si="20"/>
        <v>1</v>
      </c>
      <c r="F370" t="s">
        <v>230</v>
      </c>
      <c r="G370" t="s">
        <v>158</v>
      </c>
      <c r="H370" t="s">
        <v>211</v>
      </c>
      <c r="I370">
        <v>1</v>
      </c>
      <c r="J370">
        <v>30</v>
      </c>
      <c r="K370">
        <f t="shared" si="23"/>
        <v>90</v>
      </c>
      <c r="R370" t="s">
        <v>1348</v>
      </c>
    </row>
    <row r="371" spans="1:18" x14ac:dyDescent="0.25">
      <c r="A371" t="s">
        <v>341</v>
      </c>
      <c r="B371" s="4">
        <v>38880</v>
      </c>
      <c r="C371" s="9">
        <f t="shared" si="21"/>
        <v>6</v>
      </c>
      <c r="D371">
        <f t="shared" si="22"/>
        <v>2006</v>
      </c>
      <c r="E371">
        <f t="shared" si="20"/>
        <v>1</v>
      </c>
      <c r="F371" t="s">
        <v>230</v>
      </c>
      <c r="G371" t="s">
        <v>101</v>
      </c>
      <c r="H371" t="s">
        <v>153</v>
      </c>
      <c r="I371">
        <v>2</v>
      </c>
      <c r="J371">
        <v>0</v>
      </c>
      <c r="K371">
        <f t="shared" si="23"/>
        <v>120</v>
      </c>
      <c r="L371" t="s">
        <v>152</v>
      </c>
      <c r="R371" t="s">
        <v>1348</v>
      </c>
    </row>
    <row r="372" spans="1:18" x14ac:dyDescent="0.25">
      <c r="A372" t="s">
        <v>341</v>
      </c>
      <c r="B372" s="4">
        <v>38881</v>
      </c>
      <c r="C372" s="9">
        <f t="shared" si="21"/>
        <v>6</v>
      </c>
      <c r="D372">
        <f t="shared" si="22"/>
        <v>2006</v>
      </c>
      <c r="E372">
        <f t="shared" si="20"/>
        <v>1</v>
      </c>
      <c r="F372" t="s">
        <v>230</v>
      </c>
      <c r="G372" t="s">
        <v>101</v>
      </c>
      <c r="H372" t="s">
        <v>244</v>
      </c>
      <c r="J372">
        <v>29</v>
      </c>
      <c r="K372">
        <f t="shared" si="23"/>
        <v>29</v>
      </c>
      <c r="L372" t="s">
        <v>152</v>
      </c>
      <c r="R372" t="s">
        <v>1348</v>
      </c>
    </row>
    <row r="373" spans="1:18" x14ac:dyDescent="0.25">
      <c r="A373" t="s">
        <v>341</v>
      </c>
      <c r="B373" s="4">
        <v>38881</v>
      </c>
      <c r="C373" s="9">
        <f t="shared" si="21"/>
        <v>6</v>
      </c>
      <c r="D373">
        <f t="shared" si="22"/>
        <v>2006</v>
      </c>
      <c r="E373">
        <f t="shared" si="20"/>
        <v>0</v>
      </c>
      <c r="F373" t="s">
        <v>230</v>
      </c>
      <c r="G373" t="s">
        <v>101</v>
      </c>
      <c r="H373" t="s">
        <v>153</v>
      </c>
      <c r="I373">
        <v>1</v>
      </c>
      <c r="J373">
        <v>43</v>
      </c>
      <c r="K373">
        <f t="shared" si="23"/>
        <v>103</v>
      </c>
      <c r="L373" t="s">
        <v>152</v>
      </c>
      <c r="R373" t="s">
        <v>1348</v>
      </c>
    </row>
    <row r="374" spans="1:18" x14ac:dyDescent="0.25">
      <c r="A374" t="s">
        <v>341</v>
      </c>
      <c r="B374" s="4">
        <v>38882</v>
      </c>
      <c r="C374" s="9">
        <f t="shared" si="21"/>
        <v>6</v>
      </c>
      <c r="D374">
        <f t="shared" si="22"/>
        <v>2006</v>
      </c>
      <c r="E374">
        <f t="shared" si="20"/>
        <v>1</v>
      </c>
      <c r="F374" t="s">
        <v>230</v>
      </c>
      <c r="G374" t="s">
        <v>101</v>
      </c>
      <c r="H374" t="s">
        <v>153</v>
      </c>
      <c r="I374">
        <v>2</v>
      </c>
      <c r="J374">
        <v>13</v>
      </c>
      <c r="K374">
        <f t="shared" si="23"/>
        <v>133</v>
      </c>
      <c r="L374" t="s">
        <v>152</v>
      </c>
      <c r="R374" t="s">
        <v>1348</v>
      </c>
    </row>
    <row r="375" spans="1:18" x14ac:dyDescent="0.25">
      <c r="A375" t="s">
        <v>341</v>
      </c>
      <c r="B375" s="4">
        <v>38883</v>
      </c>
      <c r="C375" s="9">
        <f t="shared" si="21"/>
        <v>6</v>
      </c>
      <c r="D375">
        <f t="shared" si="22"/>
        <v>2006</v>
      </c>
      <c r="E375">
        <f t="shared" si="20"/>
        <v>1</v>
      </c>
      <c r="F375" t="s">
        <v>230</v>
      </c>
      <c r="G375" t="s">
        <v>101</v>
      </c>
      <c r="H375" t="s">
        <v>125</v>
      </c>
      <c r="I375">
        <v>2</v>
      </c>
      <c r="J375">
        <v>35</v>
      </c>
      <c r="K375">
        <f t="shared" si="23"/>
        <v>155</v>
      </c>
      <c r="L375" t="s">
        <v>152</v>
      </c>
      <c r="R375" t="s">
        <v>1348</v>
      </c>
    </row>
    <row r="376" spans="1:18" x14ac:dyDescent="0.25">
      <c r="A376" t="s">
        <v>341</v>
      </c>
      <c r="B376" s="4">
        <v>38886</v>
      </c>
      <c r="C376" s="9">
        <f t="shared" si="21"/>
        <v>6</v>
      </c>
      <c r="D376">
        <f t="shared" si="22"/>
        <v>2006</v>
      </c>
      <c r="E376">
        <f t="shared" si="20"/>
        <v>1</v>
      </c>
      <c r="F376" t="s">
        <v>230</v>
      </c>
      <c r="G376" t="s">
        <v>158</v>
      </c>
      <c r="H376" t="s">
        <v>211</v>
      </c>
      <c r="J376">
        <v>31</v>
      </c>
      <c r="K376">
        <f t="shared" si="23"/>
        <v>31</v>
      </c>
      <c r="M376" t="s">
        <v>259</v>
      </c>
      <c r="R376" t="s">
        <v>1348</v>
      </c>
    </row>
    <row r="377" spans="1:18" x14ac:dyDescent="0.25">
      <c r="A377" t="s">
        <v>341</v>
      </c>
      <c r="B377" s="4">
        <v>38892</v>
      </c>
      <c r="C377" s="9">
        <f t="shared" si="21"/>
        <v>6</v>
      </c>
      <c r="D377">
        <f t="shared" si="22"/>
        <v>2006</v>
      </c>
      <c r="E377">
        <f t="shared" si="20"/>
        <v>1</v>
      </c>
      <c r="F377" t="s">
        <v>230</v>
      </c>
      <c r="G377" t="s">
        <v>71</v>
      </c>
      <c r="H377" t="s">
        <v>72</v>
      </c>
      <c r="J377">
        <v>16</v>
      </c>
      <c r="K377">
        <f t="shared" si="23"/>
        <v>16</v>
      </c>
      <c r="R377" t="s">
        <v>1348</v>
      </c>
    </row>
    <row r="378" spans="1:18" x14ac:dyDescent="0.25">
      <c r="A378" t="s">
        <v>341</v>
      </c>
      <c r="B378" s="4">
        <v>38900</v>
      </c>
      <c r="C378" s="9">
        <f t="shared" si="21"/>
        <v>7</v>
      </c>
      <c r="D378">
        <f t="shared" si="22"/>
        <v>2006</v>
      </c>
      <c r="E378">
        <f t="shared" si="20"/>
        <v>1</v>
      </c>
      <c r="F378" t="s">
        <v>230</v>
      </c>
      <c r="G378" t="s">
        <v>247</v>
      </c>
      <c r="H378" t="s">
        <v>250</v>
      </c>
      <c r="J378">
        <v>8</v>
      </c>
      <c r="K378">
        <f t="shared" si="23"/>
        <v>8</v>
      </c>
      <c r="L378" t="s">
        <v>311</v>
      </c>
      <c r="M378" t="s">
        <v>260</v>
      </c>
      <c r="R378" t="s">
        <v>1348</v>
      </c>
    </row>
    <row r="379" spans="1:18" x14ac:dyDescent="0.25">
      <c r="A379" t="s">
        <v>341</v>
      </c>
      <c r="B379" s="4">
        <v>38917</v>
      </c>
      <c r="C379" s="9">
        <f t="shared" si="21"/>
        <v>7</v>
      </c>
      <c r="D379">
        <f t="shared" si="22"/>
        <v>2006</v>
      </c>
      <c r="E379">
        <f t="shared" si="20"/>
        <v>1</v>
      </c>
      <c r="F379" t="s">
        <v>230</v>
      </c>
      <c r="G379" t="s">
        <v>7</v>
      </c>
      <c r="H379" t="s">
        <v>251</v>
      </c>
      <c r="I379">
        <v>2</v>
      </c>
      <c r="J379">
        <v>21</v>
      </c>
      <c r="K379">
        <f t="shared" si="23"/>
        <v>141</v>
      </c>
      <c r="M379" t="s">
        <v>261</v>
      </c>
      <c r="R379" t="s">
        <v>1348</v>
      </c>
    </row>
    <row r="380" spans="1:18" x14ac:dyDescent="0.25">
      <c r="A380" t="s">
        <v>341</v>
      </c>
      <c r="B380" s="4">
        <v>38918</v>
      </c>
      <c r="C380" s="9">
        <f t="shared" si="21"/>
        <v>7</v>
      </c>
      <c r="D380">
        <f t="shared" si="22"/>
        <v>2006</v>
      </c>
      <c r="E380">
        <f t="shared" si="20"/>
        <v>1</v>
      </c>
      <c r="F380" t="s">
        <v>230</v>
      </c>
      <c r="G380" t="s">
        <v>7</v>
      </c>
      <c r="H380" t="s">
        <v>251</v>
      </c>
      <c r="I380">
        <v>1</v>
      </c>
      <c r="J380">
        <v>2</v>
      </c>
      <c r="K380">
        <f t="shared" si="23"/>
        <v>62</v>
      </c>
      <c r="R380" t="s">
        <v>1348</v>
      </c>
    </row>
    <row r="381" spans="1:18" x14ac:dyDescent="0.25">
      <c r="A381" t="s">
        <v>341</v>
      </c>
      <c r="B381" s="4">
        <v>38919</v>
      </c>
      <c r="C381" s="9">
        <f t="shared" si="21"/>
        <v>7</v>
      </c>
      <c r="D381">
        <f t="shared" si="22"/>
        <v>2006</v>
      </c>
      <c r="E381">
        <f t="shared" si="20"/>
        <v>1</v>
      </c>
      <c r="F381" t="s">
        <v>230</v>
      </c>
      <c r="G381" t="s">
        <v>150</v>
      </c>
      <c r="H381" t="s">
        <v>157</v>
      </c>
      <c r="I381">
        <v>1</v>
      </c>
      <c r="J381">
        <v>12</v>
      </c>
      <c r="K381">
        <f t="shared" si="23"/>
        <v>72</v>
      </c>
      <c r="R381" t="s">
        <v>1348</v>
      </c>
    </row>
    <row r="382" spans="1:18" x14ac:dyDescent="0.25">
      <c r="A382" t="s">
        <v>341</v>
      </c>
      <c r="B382" s="4">
        <v>38928</v>
      </c>
      <c r="C382" s="9">
        <f t="shared" si="21"/>
        <v>7</v>
      </c>
      <c r="D382">
        <f t="shared" si="22"/>
        <v>2006</v>
      </c>
      <c r="E382">
        <f t="shared" si="20"/>
        <v>1</v>
      </c>
      <c r="F382" t="s">
        <v>230</v>
      </c>
      <c r="G382" t="s">
        <v>158</v>
      </c>
      <c r="H382" t="s">
        <v>211</v>
      </c>
      <c r="I382">
        <v>1</v>
      </c>
      <c r="J382">
        <v>53</v>
      </c>
      <c r="K382">
        <f t="shared" si="23"/>
        <v>113</v>
      </c>
      <c r="R382" t="s">
        <v>1348</v>
      </c>
    </row>
    <row r="383" spans="1:18" x14ac:dyDescent="0.25">
      <c r="A383" t="s">
        <v>341</v>
      </c>
      <c r="B383" s="4">
        <v>38970</v>
      </c>
      <c r="C383" s="9">
        <f t="shared" si="21"/>
        <v>9</v>
      </c>
      <c r="D383">
        <f t="shared" si="22"/>
        <v>2006</v>
      </c>
      <c r="E383">
        <f t="shared" si="20"/>
        <v>1</v>
      </c>
      <c r="F383" t="s">
        <v>230</v>
      </c>
      <c r="G383" t="s">
        <v>237</v>
      </c>
      <c r="H383" t="s">
        <v>238</v>
      </c>
      <c r="J383">
        <v>12</v>
      </c>
      <c r="K383">
        <f t="shared" si="23"/>
        <v>12</v>
      </c>
      <c r="L383" t="s">
        <v>239</v>
      </c>
      <c r="M383" t="s">
        <v>254</v>
      </c>
      <c r="R383" t="s">
        <v>1349</v>
      </c>
    </row>
    <row r="384" spans="1:18" x14ac:dyDescent="0.25">
      <c r="A384" t="s">
        <v>341</v>
      </c>
      <c r="B384" s="4">
        <v>38970</v>
      </c>
      <c r="C384" s="9">
        <f t="shared" si="21"/>
        <v>9</v>
      </c>
      <c r="D384">
        <f t="shared" si="22"/>
        <v>2006</v>
      </c>
      <c r="E384">
        <f t="shared" si="20"/>
        <v>0</v>
      </c>
      <c r="F384" t="s">
        <v>230</v>
      </c>
      <c r="G384" t="s">
        <v>237</v>
      </c>
      <c r="H384" t="s">
        <v>238</v>
      </c>
      <c r="I384">
        <v>1</v>
      </c>
      <c r="J384">
        <v>52</v>
      </c>
      <c r="K384">
        <f t="shared" si="23"/>
        <v>112</v>
      </c>
      <c r="L384" t="s">
        <v>239</v>
      </c>
      <c r="M384" t="s">
        <v>255</v>
      </c>
      <c r="R384" t="s">
        <v>1349</v>
      </c>
    </row>
    <row r="385" spans="1:18" x14ac:dyDescent="0.25">
      <c r="A385" t="s">
        <v>341</v>
      </c>
      <c r="B385" s="4">
        <v>38970</v>
      </c>
      <c r="C385" s="9">
        <f t="shared" si="21"/>
        <v>9</v>
      </c>
      <c r="D385">
        <f t="shared" si="22"/>
        <v>2006</v>
      </c>
      <c r="E385">
        <f t="shared" si="20"/>
        <v>0</v>
      </c>
      <c r="F385" t="s">
        <v>230</v>
      </c>
      <c r="G385" t="s">
        <v>240</v>
      </c>
      <c r="H385" t="s">
        <v>238</v>
      </c>
      <c r="J385">
        <v>10</v>
      </c>
      <c r="K385">
        <f t="shared" si="23"/>
        <v>10</v>
      </c>
      <c r="L385" t="s">
        <v>239</v>
      </c>
      <c r="R385" t="s">
        <v>1349</v>
      </c>
    </row>
    <row r="386" spans="1:18" x14ac:dyDescent="0.25">
      <c r="A386" t="s">
        <v>341</v>
      </c>
      <c r="B386" s="4">
        <v>38971</v>
      </c>
      <c r="C386" s="9">
        <f t="shared" si="21"/>
        <v>9</v>
      </c>
      <c r="D386">
        <f t="shared" si="22"/>
        <v>2006</v>
      </c>
      <c r="E386">
        <f t="shared" ref="E386:E448" si="24">IF(OR(A386 = "GS",A386 = "BP"),IF( OR(A385="GS",A385="BP"),IF(B385=B386,0,1),1),0)</f>
        <v>1</v>
      </c>
      <c r="F386" t="s">
        <v>230</v>
      </c>
      <c r="G386" t="s">
        <v>237</v>
      </c>
      <c r="H386" t="s">
        <v>252</v>
      </c>
      <c r="I386">
        <v>1</v>
      </c>
      <c r="J386">
        <v>51</v>
      </c>
      <c r="K386">
        <f t="shared" si="23"/>
        <v>111</v>
      </c>
      <c r="L386" t="s">
        <v>239</v>
      </c>
      <c r="M386" t="s">
        <v>256</v>
      </c>
      <c r="R386" t="s">
        <v>1349</v>
      </c>
    </row>
    <row r="387" spans="1:18" x14ac:dyDescent="0.25">
      <c r="A387" t="s">
        <v>341</v>
      </c>
      <c r="B387" s="4">
        <v>38971</v>
      </c>
      <c r="C387" s="9">
        <f t="shared" ref="C387:C450" si="25">MONTH(B387)</f>
        <v>9</v>
      </c>
      <c r="D387">
        <f t="shared" ref="D387:D450" si="26">YEAR(B387)</f>
        <v>2006</v>
      </c>
      <c r="E387">
        <f t="shared" si="24"/>
        <v>0</v>
      </c>
      <c r="F387" t="s">
        <v>230</v>
      </c>
      <c r="G387" t="s">
        <v>248</v>
      </c>
      <c r="H387" t="s">
        <v>238</v>
      </c>
      <c r="I387">
        <v>1</v>
      </c>
      <c r="J387">
        <v>1</v>
      </c>
      <c r="K387">
        <f t="shared" ref="K387:K450" si="27">I387*60+J387</f>
        <v>61</v>
      </c>
      <c r="L387" t="s">
        <v>239</v>
      </c>
      <c r="M387" t="s">
        <v>257</v>
      </c>
      <c r="R387" t="s">
        <v>1349</v>
      </c>
    </row>
    <row r="388" spans="1:18" x14ac:dyDescent="0.25">
      <c r="A388" t="s">
        <v>341</v>
      </c>
      <c r="B388" s="4">
        <v>38972</v>
      </c>
      <c r="C388" s="9">
        <f t="shared" si="25"/>
        <v>9</v>
      </c>
      <c r="D388">
        <f t="shared" si="26"/>
        <v>2006</v>
      </c>
      <c r="E388">
        <f t="shared" si="24"/>
        <v>1</v>
      </c>
      <c r="F388" t="s">
        <v>230</v>
      </c>
      <c r="G388" t="s">
        <v>237</v>
      </c>
      <c r="H388" t="s">
        <v>238</v>
      </c>
      <c r="I388">
        <v>1</v>
      </c>
      <c r="J388">
        <v>32</v>
      </c>
      <c r="K388">
        <f t="shared" si="27"/>
        <v>92</v>
      </c>
      <c r="L388" t="s">
        <v>239</v>
      </c>
      <c r="R388" t="s">
        <v>1349</v>
      </c>
    </row>
    <row r="389" spans="1:18" x14ac:dyDescent="0.25">
      <c r="A389" t="s">
        <v>341</v>
      </c>
      <c r="B389" s="4">
        <v>38972</v>
      </c>
      <c r="C389" s="9">
        <f t="shared" si="25"/>
        <v>9</v>
      </c>
      <c r="D389">
        <f t="shared" si="26"/>
        <v>2006</v>
      </c>
      <c r="E389">
        <f t="shared" si="24"/>
        <v>0</v>
      </c>
      <c r="F389" t="s">
        <v>230</v>
      </c>
      <c r="G389" t="s">
        <v>249</v>
      </c>
      <c r="H389" t="s">
        <v>238</v>
      </c>
      <c r="J389">
        <v>56</v>
      </c>
      <c r="K389">
        <f t="shared" si="27"/>
        <v>56</v>
      </c>
      <c r="L389" t="s">
        <v>239</v>
      </c>
      <c r="M389" t="s">
        <v>258</v>
      </c>
      <c r="R389" t="s">
        <v>1349</v>
      </c>
    </row>
    <row r="390" spans="1:18" x14ac:dyDescent="0.25">
      <c r="A390" t="s">
        <v>341</v>
      </c>
      <c r="B390" s="4">
        <v>38973</v>
      </c>
      <c r="C390" s="9">
        <f t="shared" si="25"/>
        <v>9</v>
      </c>
      <c r="D390">
        <f t="shared" si="26"/>
        <v>2006</v>
      </c>
      <c r="E390">
        <f t="shared" si="24"/>
        <v>1</v>
      </c>
      <c r="F390" t="s">
        <v>230</v>
      </c>
      <c r="G390" t="s">
        <v>237</v>
      </c>
      <c r="H390" t="s">
        <v>238</v>
      </c>
      <c r="I390">
        <v>2</v>
      </c>
      <c r="J390">
        <v>44</v>
      </c>
      <c r="K390">
        <f t="shared" si="27"/>
        <v>164</v>
      </c>
      <c r="L390" t="s">
        <v>239</v>
      </c>
      <c r="M390" t="s">
        <v>256</v>
      </c>
      <c r="R390" t="s">
        <v>1349</v>
      </c>
    </row>
    <row r="391" spans="1:18" x14ac:dyDescent="0.25">
      <c r="A391" t="s">
        <v>341</v>
      </c>
      <c r="B391" s="4">
        <v>38973</v>
      </c>
      <c r="C391" s="9">
        <f t="shared" si="25"/>
        <v>9</v>
      </c>
      <c r="D391">
        <f t="shared" si="26"/>
        <v>2006</v>
      </c>
      <c r="E391">
        <f t="shared" si="24"/>
        <v>0</v>
      </c>
      <c r="F391" t="s">
        <v>230</v>
      </c>
      <c r="G391" t="s">
        <v>249</v>
      </c>
      <c r="H391" t="s">
        <v>253</v>
      </c>
      <c r="J391">
        <v>7</v>
      </c>
      <c r="K391">
        <f t="shared" si="27"/>
        <v>7</v>
      </c>
      <c r="L391" t="s">
        <v>239</v>
      </c>
      <c r="R391" t="s">
        <v>1349</v>
      </c>
    </row>
    <row r="392" spans="1:18" x14ac:dyDescent="0.25">
      <c r="A392" t="s">
        <v>341</v>
      </c>
      <c r="B392" s="4">
        <v>38974</v>
      </c>
      <c r="C392" s="9">
        <f t="shared" si="25"/>
        <v>9</v>
      </c>
      <c r="D392">
        <f t="shared" si="26"/>
        <v>2006</v>
      </c>
      <c r="E392">
        <f t="shared" si="24"/>
        <v>1</v>
      </c>
      <c r="F392" t="s">
        <v>230</v>
      </c>
      <c r="G392" t="s">
        <v>237</v>
      </c>
      <c r="H392" t="s">
        <v>238</v>
      </c>
      <c r="J392">
        <v>10</v>
      </c>
      <c r="K392">
        <f t="shared" si="27"/>
        <v>10</v>
      </c>
      <c r="L392" t="s">
        <v>239</v>
      </c>
      <c r="R392" t="s">
        <v>1349</v>
      </c>
    </row>
    <row r="393" spans="1:18" x14ac:dyDescent="0.25">
      <c r="A393" t="s">
        <v>341</v>
      </c>
      <c r="B393" s="4">
        <v>39134</v>
      </c>
      <c r="C393" s="9">
        <f t="shared" si="25"/>
        <v>2</v>
      </c>
      <c r="D393">
        <f t="shared" si="26"/>
        <v>2007</v>
      </c>
      <c r="E393">
        <f t="shared" si="24"/>
        <v>1</v>
      </c>
      <c r="F393" t="s">
        <v>230</v>
      </c>
      <c r="G393" t="s">
        <v>7</v>
      </c>
      <c r="H393" t="s">
        <v>251</v>
      </c>
      <c r="J393">
        <v>40</v>
      </c>
      <c r="K393">
        <f t="shared" si="27"/>
        <v>40</v>
      </c>
      <c r="M393" t="s">
        <v>268</v>
      </c>
      <c r="R393" t="s">
        <v>1348</v>
      </c>
    </row>
    <row r="394" spans="1:18" x14ac:dyDescent="0.25">
      <c r="A394" t="s">
        <v>341</v>
      </c>
      <c r="B394" s="4">
        <v>39178</v>
      </c>
      <c r="C394" s="9">
        <f t="shared" si="25"/>
        <v>4</v>
      </c>
      <c r="D394">
        <f t="shared" si="26"/>
        <v>2007</v>
      </c>
      <c r="E394">
        <f t="shared" si="24"/>
        <v>1</v>
      </c>
      <c r="F394" t="s">
        <v>230</v>
      </c>
      <c r="G394" t="s">
        <v>158</v>
      </c>
      <c r="H394" t="s">
        <v>211</v>
      </c>
      <c r="J394">
        <v>15</v>
      </c>
      <c r="K394">
        <f t="shared" si="27"/>
        <v>15</v>
      </c>
      <c r="R394" t="s">
        <v>1348</v>
      </c>
    </row>
    <row r="395" spans="1:18" x14ac:dyDescent="0.25">
      <c r="A395" t="s">
        <v>341</v>
      </c>
      <c r="B395" s="4">
        <v>39179</v>
      </c>
      <c r="C395" s="9">
        <f t="shared" si="25"/>
        <v>4</v>
      </c>
      <c r="D395">
        <f t="shared" si="26"/>
        <v>2007</v>
      </c>
      <c r="E395">
        <f t="shared" si="24"/>
        <v>1</v>
      </c>
      <c r="F395" t="s">
        <v>230</v>
      </c>
      <c r="G395" t="s">
        <v>158</v>
      </c>
      <c r="H395" t="s">
        <v>211</v>
      </c>
      <c r="I395">
        <v>1</v>
      </c>
      <c r="J395">
        <v>25</v>
      </c>
      <c r="K395">
        <f t="shared" si="27"/>
        <v>85</v>
      </c>
      <c r="R395" t="s">
        <v>1348</v>
      </c>
    </row>
    <row r="396" spans="1:18" x14ac:dyDescent="0.25">
      <c r="A396" t="s">
        <v>341</v>
      </c>
      <c r="B396" s="4">
        <v>39181</v>
      </c>
      <c r="C396" s="9">
        <f t="shared" si="25"/>
        <v>4</v>
      </c>
      <c r="D396">
        <f t="shared" si="26"/>
        <v>2007</v>
      </c>
      <c r="E396">
        <f t="shared" si="24"/>
        <v>1</v>
      </c>
      <c r="F396" t="s">
        <v>230</v>
      </c>
      <c r="G396" t="s">
        <v>7</v>
      </c>
      <c r="H396" t="s">
        <v>251</v>
      </c>
      <c r="I396">
        <v>1</v>
      </c>
      <c r="J396">
        <v>4</v>
      </c>
      <c r="K396">
        <f t="shared" si="27"/>
        <v>64</v>
      </c>
      <c r="R396" t="s">
        <v>1348</v>
      </c>
    </row>
    <row r="397" spans="1:18" x14ac:dyDescent="0.25">
      <c r="A397" t="s">
        <v>343</v>
      </c>
      <c r="B397" s="4">
        <v>39183</v>
      </c>
      <c r="C397" s="9">
        <f t="shared" si="25"/>
        <v>4</v>
      </c>
      <c r="D397">
        <f t="shared" si="26"/>
        <v>2007</v>
      </c>
      <c r="E397">
        <f t="shared" si="24"/>
        <v>0</v>
      </c>
      <c r="F397" t="s">
        <v>265</v>
      </c>
      <c r="G397" t="s">
        <v>231</v>
      </c>
      <c r="H397" t="s">
        <v>231</v>
      </c>
      <c r="K397">
        <f t="shared" si="27"/>
        <v>0</v>
      </c>
      <c r="R397" t="s">
        <v>1348</v>
      </c>
    </row>
    <row r="398" spans="1:18" x14ac:dyDescent="0.25">
      <c r="A398" t="s">
        <v>341</v>
      </c>
      <c r="B398" s="4">
        <v>39200</v>
      </c>
      <c r="C398" s="9">
        <f t="shared" si="25"/>
        <v>4</v>
      </c>
      <c r="D398">
        <f t="shared" si="26"/>
        <v>2007</v>
      </c>
      <c r="E398">
        <f t="shared" si="24"/>
        <v>1</v>
      </c>
      <c r="F398" t="s">
        <v>230</v>
      </c>
      <c r="G398" t="s">
        <v>158</v>
      </c>
      <c r="H398" t="s">
        <v>211</v>
      </c>
      <c r="J398">
        <v>40</v>
      </c>
      <c r="K398">
        <f t="shared" si="27"/>
        <v>40</v>
      </c>
      <c r="R398" t="s">
        <v>1348</v>
      </c>
    </row>
    <row r="399" spans="1:18" x14ac:dyDescent="0.25">
      <c r="A399" t="s">
        <v>341</v>
      </c>
      <c r="B399" s="4">
        <v>39221</v>
      </c>
      <c r="C399" s="9">
        <f t="shared" si="25"/>
        <v>5</v>
      </c>
      <c r="D399">
        <f t="shared" si="26"/>
        <v>2007</v>
      </c>
      <c r="E399">
        <f t="shared" si="24"/>
        <v>1</v>
      </c>
      <c r="F399" t="s">
        <v>230</v>
      </c>
      <c r="G399" t="s">
        <v>150</v>
      </c>
      <c r="H399" t="s">
        <v>157</v>
      </c>
      <c r="I399">
        <v>1</v>
      </c>
      <c r="J399">
        <v>32</v>
      </c>
      <c r="K399">
        <f t="shared" si="27"/>
        <v>92</v>
      </c>
      <c r="R399" t="s">
        <v>1348</v>
      </c>
    </row>
    <row r="400" spans="1:18" x14ac:dyDescent="0.25">
      <c r="A400" t="s">
        <v>341</v>
      </c>
      <c r="B400" s="4">
        <v>39223</v>
      </c>
      <c r="C400" s="9">
        <f t="shared" si="25"/>
        <v>5</v>
      </c>
      <c r="D400">
        <f t="shared" si="26"/>
        <v>2007</v>
      </c>
      <c r="E400">
        <f t="shared" si="24"/>
        <v>1</v>
      </c>
      <c r="F400" t="s">
        <v>230</v>
      </c>
      <c r="G400" t="s">
        <v>262</v>
      </c>
      <c r="H400" t="s">
        <v>266</v>
      </c>
      <c r="I400">
        <v>1</v>
      </c>
      <c r="J400">
        <v>3</v>
      </c>
      <c r="K400">
        <f t="shared" si="27"/>
        <v>63</v>
      </c>
      <c r="L400" t="s">
        <v>173</v>
      </c>
      <c r="M400" t="s">
        <v>254</v>
      </c>
      <c r="R400" t="s">
        <v>1348</v>
      </c>
    </row>
    <row r="401" spans="1:18" x14ac:dyDescent="0.25">
      <c r="A401" t="s">
        <v>341</v>
      </c>
      <c r="B401" s="4">
        <v>39223</v>
      </c>
      <c r="C401" s="9">
        <f t="shared" si="25"/>
        <v>5</v>
      </c>
      <c r="D401">
        <f t="shared" si="26"/>
        <v>2007</v>
      </c>
      <c r="E401">
        <f t="shared" si="24"/>
        <v>0</v>
      </c>
      <c r="F401" t="s">
        <v>230</v>
      </c>
      <c r="G401" t="s">
        <v>262</v>
      </c>
      <c r="H401" t="s">
        <v>266</v>
      </c>
      <c r="I401">
        <v>2</v>
      </c>
      <c r="J401">
        <v>7</v>
      </c>
      <c r="K401">
        <f t="shared" si="27"/>
        <v>127</v>
      </c>
      <c r="L401" t="s">
        <v>173</v>
      </c>
      <c r="R401" t="s">
        <v>1348</v>
      </c>
    </row>
    <row r="402" spans="1:18" x14ac:dyDescent="0.25">
      <c r="A402" t="s">
        <v>341</v>
      </c>
      <c r="B402" s="4">
        <v>39224</v>
      </c>
      <c r="C402" s="9">
        <f t="shared" si="25"/>
        <v>5</v>
      </c>
      <c r="D402">
        <f t="shared" si="26"/>
        <v>2007</v>
      </c>
      <c r="E402">
        <f t="shared" si="24"/>
        <v>1</v>
      </c>
      <c r="F402" t="s">
        <v>230</v>
      </c>
      <c r="G402" t="s">
        <v>167</v>
      </c>
      <c r="H402" t="s">
        <v>170</v>
      </c>
      <c r="I402">
        <v>1</v>
      </c>
      <c r="J402">
        <v>36</v>
      </c>
      <c r="K402">
        <f t="shared" si="27"/>
        <v>96</v>
      </c>
      <c r="L402" t="s">
        <v>173</v>
      </c>
      <c r="M402" t="s">
        <v>270</v>
      </c>
      <c r="R402" t="s">
        <v>1348</v>
      </c>
    </row>
    <row r="403" spans="1:18" x14ac:dyDescent="0.25">
      <c r="A403" t="s">
        <v>341</v>
      </c>
      <c r="B403" s="4">
        <v>39224</v>
      </c>
      <c r="C403" s="9">
        <f t="shared" si="25"/>
        <v>5</v>
      </c>
      <c r="D403">
        <f t="shared" si="26"/>
        <v>2007</v>
      </c>
      <c r="E403">
        <f t="shared" si="24"/>
        <v>0</v>
      </c>
      <c r="F403" t="s">
        <v>230</v>
      </c>
      <c r="G403" t="s">
        <v>167</v>
      </c>
      <c r="H403" t="s">
        <v>170</v>
      </c>
      <c r="I403">
        <v>1</v>
      </c>
      <c r="J403">
        <v>16</v>
      </c>
      <c r="K403">
        <f t="shared" si="27"/>
        <v>76</v>
      </c>
      <c r="L403" t="s">
        <v>173</v>
      </c>
      <c r="M403" t="s">
        <v>271</v>
      </c>
      <c r="R403" t="s">
        <v>1348</v>
      </c>
    </row>
    <row r="404" spans="1:18" x14ac:dyDescent="0.25">
      <c r="A404" t="s">
        <v>341</v>
      </c>
      <c r="B404" s="4">
        <v>39225</v>
      </c>
      <c r="C404" s="9">
        <f t="shared" si="25"/>
        <v>5</v>
      </c>
      <c r="D404">
        <f t="shared" si="26"/>
        <v>2007</v>
      </c>
      <c r="E404">
        <f t="shared" si="24"/>
        <v>1</v>
      </c>
      <c r="F404" t="s">
        <v>230</v>
      </c>
      <c r="G404" t="s">
        <v>196</v>
      </c>
      <c r="H404" t="s">
        <v>267</v>
      </c>
      <c r="I404">
        <v>1</v>
      </c>
      <c r="J404">
        <v>48</v>
      </c>
      <c r="K404">
        <f t="shared" si="27"/>
        <v>108</v>
      </c>
      <c r="L404" t="s">
        <v>173</v>
      </c>
      <c r="M404" t="s">
        <v>269</v>
      </c>
      <c r="R404" t="s">
        <v>1348</v>
      </c>
    </row>
    <row r="405" spans="1:18" x14ac:dyDescent="0.25">
      <c r="A405" t="s">
        <v>341</v>
      </c>
      <c r="B405" s="4">
        <v>39225</v>
      </c>
      <c r="C405" s="9">
        <f t="shared" si="25"/>
        <v>5</v>
      </c>
      <c r="D405">
        <f t="shared" si="26"/>
        <v>2007</v>
      </c>
      <c r="E405">
        <f t="shared" si="24"/>
        <v>0</v>
      </c>
      <c r="F405" t="s">
        <v>230</v>
      </c>
      <c r="G405" t="s">
        <v>196</v>
      </c>
      <c r="H405" t="s">
        <v>267</v>
      </c>
      <c r="I405">
        <v>1</v>
      </c>
      <c r="J405">
        <v>23</v>
      </c>
      <c r="K405">
        <f t="shared" si="27"/>
        <v>83</v>
      </c>
      <c r="L405" t="s">
        <v>173</v>
      </c>
      <c r="R405" t="s">
        <v>1348</v>
      </c>
    </row>
    <row r="406" spans="1:18" x14ac:dyDescent="0.25">
      <c r="A406" t="s">
        <v>341</v>
      </c>
      <c r="B406" s="4">
        <v>39226</v>
      </c>
      <c r="C406" s="9">
        <f t="shared" si="25"/>
        <v>5</v>
      </c>
      <c r="D406">
        <f t="shared" si="26"/>
        <v>2007</v>
      </c>
      <c r="E406">
        <f t="shared" si="24"/>
        <v>1</v>
      </c>
      <c r="F406" t="s">
        <v>230</v>
      </c>
      <c r="G406" t="s">
        <v>166</v>
      </c>
      <c r="H406" t="s">
        <v>199</v>
      </c>
      <c r="J406">
        <v>29</v>
      </c>
      <c r="K406">
        <f t="shared" si="27"/>
        <v>29</v>
      </c>
      <c r="L406" t="s">
        <v>173</v>
      </c>
      <c r="M406" t="s">
        <v>272</v>
      </c>
      <c r="R406" t="s">
        <v>1348</v>
      </c>
    </row>
    <row r="407" spans="1:18" x14ac:dyDescent="0.25">
      <c r="A407" t="s">
        <v>341</v>
      </c>
      <c r="B407" s="4">
        <v>39226</v>
      </c>
      <c r="C407" s="9">
        <f t="shared" si="25"/>
        <v>5</v>
      </c>
      <c r="D407">
        <f t="shared" si="26"/>
        <v>2007</v>
      </c>
      <c r="E407">
        <f t="shared" si="24"/>
        <v>0</v>
      </c>
      <c r="F407" t="s">
        <v>230</v>
      </c>
      <c r="G407" t="s">
        <v>166</v>
      </c>
      <c r="H407" t="s">
        <v>199</v>
      </c>
      <c r="J407">
        <v>29</v>
      </c>
      <c r="K407">
        <f t="shared" si="27"/>
        <v>29</v>
      </c>
      <c r="L407" t="s">
        <v>173</v>
      </c>
      <c r="R407" t="s">
        <v>1348</v>
      </c>
    </row>
    <row r="408" spans="1:18" x14ac:dyDescent="0.25">
      <c r="A408" t="s">
        <v>341</v>
      </c>
      <c r="B408" s="4">
        <v>39227</v>
      </c>
      <c r="C408" s="9">
        <f t="shared" si="25"/>
        <v>5</v>
      </c>
      <c r="D408">
        <f t="shared" si="26"/>
        <v>2007</v>
      </c>
      <c r="E408">
        <f t="shared" si="24"/>
        <v>1</v>
      </c>
      <c r="F408" t="s">
        <v>230</v>
      </c>
      <c r="G408" t="s">
        <v>154</v>
      </c>
      <c r="H408" t="s">
        <v>273</v>
      </c>
      <c r="J408">
        <v>19</v>
      </c>
      <c r="K408">
        <f t="shared" si="27"/>
        <v>19</v>
      </c>
      <c r="R408" t="s">
        <v>1348</v>
      </c>
    </row>
    <row r="409" spans="1:18" x14ac:dyDescent="0.25">
      <c r="A409" t="s">
        <v>341</v>
      </c>
      <c r="B409" s="4">
        <v>39243</v>
      </c>
      <c r="C409" s="9">
        <f t="shared" si="25"/>
        <v>6</v>
      </c>
      <c r="D409">
        <f t="shared" si="26"/>
        <v>2007</v>
      </c>
      <c r="E409">
        <f t="shared" si="24"/>
        <v>1</v>
      </c>
      <c r="F409" t="s">
        <v>230</v>
      </c>
      <c r="G409" t="s">
        <v>158</v>
      </c>
      <c r="H409" t="s">
        <v>211</v>
      </c>
      <c r="J409">
        <v>50</v>
      </c>
      <c r="K409">
        <f t="shared" si="27"/>
        <v>50</v>
      </c>
      <c r="R409" t="s">
        <v>1348</v>
      </c>
    </row>
    <row r="410" spans="1:18" x14ac:dyDescent="0.25">
      <c r="A410" t="s">
        <v>341</v>
      </c>
      <c r="B410" s="4">
        <v>39250</v>
      </c>
      <c r="C410" s="9">
        <f t="shared" si="25"/>
        <v>6</v>
      </c>
      <c r="D410">
        <f t="shared" si="26"/>
        <v>2007</v>
      </c>
      <c r="E410">
        <f t="shared" si="24"/>
        <v>1</v>
      </c>
      <c r="F410" t="s">
        <v>230</v>
      </c>
      <c r="G410" t="s">
        <v>150</v>
      </c>
      <c r="H410" t="s">
        <v>157</v>
      </c>
      <c r="J410">
        <v>50</v>
      </c>
      <c r="K410">
        <f t="shared" si="27"/>
        <v>50</v>
      </c>
      <c r="R410" t="s">
        <v>1348</v>
      </c>
    </row>
    <row r="411" spans="1:18" x14ac:dyDescent="0.25">
      <c r="A411" t="s">
        <v>341</v>
      </c>
      <c r="B411" s="4">
        <v>39270</v>
      </c>
      <c r="C411" s="9">
        <f t="shared" si="25"/>
        <v>7</v>
      </c>
      <c r="D411">
        <f t="shared" si="26"/>
        <v>2007</v>
      </c>
      <c r="E411">
        <f t="shared" si="24"/>
        <v>1</v>
      </c>
      <c r="F411" t="s">
        <v>230</v>
      </c>
      <c r="G411" t="s">
        <v>88</v>
      </c>
      <c r="H411" t="s">
        <v>94</v>
      </c>
      <c r="J411">
        <v>32</v>
      </c>
      <c r="K411">
        <f t="shared" si="27"/>
        <v>32</v>
      </c>
      <c r="R411" t="s">
        <v>1348</v>
      </c>
    </row>
    <row r="412" spans="1:18" x14ac:dyDescent="0.25">
      <c r="A412" t="s">
        <v>341</v>
      </c>
      <c r="B412" s="4">
        <v>39277</v>
      </c>
      <c r="C412" s="9">
        <f t="shared" si="25"/>
        <v>7</v>
      </c>
      <c r="D412">
        <f t="shared" si="26"/>
        <v>2007</v>
      </c>
      <c r="E412">
        <f t="shared" si="24"/>
        <v>1</v>
      </c>
      <c r="F412" t="s">
        <v>230</v>
      </c>
      <c r="G412" t="s">
        <v>7</v>
      </c>
      <c r="H412" t="s">
        <v>251</v>
      </c>
      <c r="J412">
        <v>41</v>
      </c>
      <c r="K412">
        <f t="shared" si="27"/>
        <v>41</v>
      </c>
      <c r="R412" t="s">
        <v>1348</v>
      </c>
    </row>
    <row r="413" spans="1:18" x14ac:dyDescent="0.25">
      <c r="A413" t="s">
        <v>341</v>
      </c>
      <c r="B413" s="4">
        <v>39278</v>
      </c>
      <c r="C413" s="9">
        <f t="shared" si="25"/>
        <v>7</v>
      </c>
      <c r="D413">
        <f t="shared" si="26"/>
        <v>2007</v>
      </c>
      <c r="E413">
        <f t="shared" si="24"/>
        <v>1</v>
      </c>
      <c r="F413" t="s">
        <v>230</v>
      </c>
      <c r="G413" t="s">
        <v>7</v>
      </c>
      <c r="H413" t="s">
        <v>55</v>
      </c>
      <c r="J413">
        <v>51</v>
      </c>
      <c r="K413">
        <f t="shared" si="27"/>
        <v>51</v>
      </c>
      <c r="R413" t="s">
        <v>1348</v>
      </c>
    </row>
    <row r="414" spans="1:18" x14ac:dyDescent="0.25">
      <c r="A414" t="s">
        <v>341</v>
      </c>
      <c r="B414" s="4">
        <v>39288</v>
      </c>
      <c r="C414" s="9">
        <f t="shared" si="25"/>
        <v>7</v>
      </c>
      <c r="D414">
        <f t="shared" si="26"/>
        <v>2007</v>
      </c>
      <c r="E414">
        <f t="shared" si="24"/>
        <v>1</v>
      </c>
      <c r="F414" t="s">
        <v>230</v>
      </c>
      <c r="G414" t="s">
        <v>7</v>
      </c>
      <c r="H414" t="s">
        <v>97</v>
      </c>
      <c r="J414">
        <v>22</v>
      </c>
      <c r="K414">
        <f t="shared" si="27"/>
        <v>22</v>
      </c>
      <c r="R414" t="s">
        <v>1348</v>
      </c>
    </row>
    <row r="415" spans="1:18" x14ac:dyDescent="0.25">
      <c r="A415" t="s">
        <v>341</v>
      </c>
      <c r="B415" s="4">
        <v>39288</v>
      </c>
      <c r="C415" s="9">
        <f t="shared" si="25"/>
        <v>7</v>
      </c>
      <c r="D415">
        <f t="shared" si="26"/>
        <v>2007</v>
      </c>
      <c r="E415">
        <f t="shared" si="24"/>
        <v>0</v>
      </c>
      <c r="F415" t="s">
        <v>230</v>
      </c>
      <c r="G415" t="s">
        <v>7</v>
      </c>
      <c r="H415" t="s">
        <v>55</v>
      </c>
      <c r="I415">
        <v>1</v>
      </c>
      <c r="J415">
        <v>9</v>
      </c>
      <c r="K415">
        <f t="shared" si="27"/>
        <v>69</v>
      </c>
      <c r="R415" t="s">
        <v>1348</v>
      </c>
    </row>
    <row r="416" spans="1:18" x14ac:dyDescent="0.25">
      <c r="A416" t="s">
        <v>341</v>
      </c>
      <c r="B416" s="4">
        <v>39289</v>
      </c>
      <c r="C416" s="9">
        <f t="shared" si="25"/>
        <v>7</v>
      </c>
      <c r="D416">
        <f t="shared" si="26"/>
        <v>2007</v>
      </c>
      <c r="E416">
        <f t="shared" si="24"/>
        <v>1</v>
      </c>
      <c r="F416" t="s">
        <v>230</v>
      </c>
      <c r="G416" t="s">
        <v>7</v>
      </c>
      <c r="H416" t="s">
        <v>55</v>
      </c>
      <c r="I416">
        <v>2</v>
      </c>
      <c r="J416">
        <v>4</v>
      </c>
      <c r="K416">
        <f t="shared" si="27"/>
        <v>124</v>
      </c>
      <c r="R416" t="s">
        <v>1348</v>
      </c>
    </row>
    <row r="417" spans="1:18" x14ac:dyDescent="0.25">
      <c r="A417" t="s">
        <v>341</v>
      </c>
      <c r="B417" s="4">
        <v>39290</v>
      </c>
      <c r="C417" s="9">
        <f t="shared" si="25"/>
        <v>7</v>
      </c>
      <c r="D417">
        <f t="shared" si="26"/>
        <v>2007</v>
      </c>
      <c r="E417">
        <f t="shared" si="24"/>
        <v>1</v>
      </c>
      <c r="F417" t="s">
        <v>230</v>
      </c>
      <c r="G417" t="s">
        <v>7</v>
      </c>
      <c r="H417" t="s">
        <v>55</v>
      </c>
      <c r="J417">
        <v>21</v>
      </c>
      <c r="K417">
        <f t="shared" si="27"/>
        <v>21</v>
      </c>
      <c r="R417" t="s">
        <v>1348</v>
      </c>
    </row>
    <row r="418" spans="1:18" x14ac:dyDescent="0.25">
      <c r="A418" t="s">
        <v>341</v>
      </c>
      <c r="B418" s="4">
        <v>39294</v>
      </c>
      <c r="C418" s="9">
        <f t="shared" si="25"/>
        <v>7</v>
      </c>
      <c r="D418">
        <f t="shared" si="26"/>
        <v>2007</v>
      </c>
      <c r="E418">
        <f t="shared" si="24"/>
        <v>1</v>
      </c>
      <c r="F418" t="s">
        <v>230</v>
      </c>
      <c r="G418" t="s">
        <v>7</v>
      </c>
      <c r="H418" t="s">
        <v>55</v>
      </c>
      <c r="I418">
        <v>1</v>
      </c>
      <c r="J418">
        <v>2</v>
      </c>
      <c r="K418">
        <f t="shared" si="27"/>
        <v>62</v>
      </c>
      <c r="R418" t="s">
        <v>1348</v>
      </c>
    </row>
    <row r="419" spans="1:18" x14ac:dyDescent="0.25">
      <c r="A419" t="s">
        <v>341</v>
      </c>
      <c r="B419" s="4">
        <v>39295</v>
      </c>
      <c r="C419" s="9">
        <f t="shared" si="25"/>
        <v>8</v>
      </c>
      <c r="D419">
        <f t="shared" si="26"/>
        <v>2007</v>
      </c>
      <c r="E419">
        <f t="shared" si="24"/>
        <v>1</v>
      </c>
      <c r="F419" t="s">
        <v>230</v>
      </c>
      <c r="G419" t="s">
        <v>7</v>
      </c>
      <c r="H419" t="s">
        <v>55</v>
      </c>
      <c r="I419">
        <v>1</v>
      </c>
      <c r="J419">
        <v>9</v>
      </c>
      <c r="K419">
        <f t="shared" si="27"/>
        <v>69</v>
      </c>
      <c r="R419" t="s">
        <v>1348</v>
      </c>
    </row>
    <row r="420" spans="1:18" x14ac:dyDescent="0.25">
      <c r="A420" t="s">
        <v>341</v>
      </c>
      <c r="B420" s="4">
        <v>39299</v>
      </c>
      <c r="C420" s="9">
        <f t="shared" si="25"/>
        <v>8</v>
      </c>
      <c r="D420">
        <f t="shared" si="26"/>
        <v>2007</v>
      </c>
      <c r="E420">
        <f t="shared" si="24"/>
        <v>1</v>
      </c>
      <c r="F420" t="s">
        <v>230</v>
      </c>
      <c r="G420" t="s">
        <v>150</v>
      </c>
      <c r="H420" t="s">
        <v>157</v>
      </c>
      <c r="J420">
        <v>22</v>
      </c>
      <c r="K420">
        <f t="shared" si="27"/>
        <v>22</v>
      </c>
      <c r="R420" t="s">
        <v>1348</v>
      </c>
    </row>
    <row r="421" spans="1:18" x14ac:dyDescent="0.25">
      <c r="A421" t="s">
        <v>341</v>
      </c>
      <c r="B421" s="4">
        <v>39319</v>
      </c>
      <c r="C421" s="9">
        <f t="shared" si="25"/>
        <v>8</v>
      </c>
      <c r="D421">
        <f t="shared" si="26"/>
        <v>2007</v>
      </c>
      <c r="E421">
        <f t="shared" si="24"/>
        <v>1</v>
      </c>
      <c r="F421" t="s">
        <v>230</v>
      </c>
      <c r="G421" t="s">
        <v>150</v>
      </c>
      <c r="H421" t="s">
        <v>157</v>
      </c>
      <c r="J421">
        <v>41</v>
      </c>
      <c r="K421">
        <f t="shared" si="27"/>
        <v>41</v>
      </c>
      <c r="R421" t="s">
        <v>1348</v>
      </c>
    </row>
    <row r="422" spans="1:18" x14ac:dyDescent="0.25">
      <c r="A422" t="s">
        <v>341</v>
      </c>
      <c r="B422" s="4">
        <v>39368</v>
      </c>
      <c r="C422" s="9">
        <f t="shared" si="25"/>
        <v>10</v>
      </c>
      <c r="D422">
        <f t="shared" si="26"/>
        <v>2007</v>
      </c>
      <c r="E422">
        <f t="shared" si="24"/>
        <v>1</v>
      </c>
      <c r="F422" t="s">
        <v>230</v>
      </c>
      <c r="G422" t="s">
        <v>101</v>
      </c>
      <c r="H422" t="s">
        <v>273</v>
      </c>
      <c r="J422">
        <v>15</v>
      </c>
      <c r="K422">
        <f t="shared" si="27"/>
        <v>15</v>
      </c>
      <c r="R422" t="s">
        <v>1348</v>
      </c>
    </row>
    <row r="423" spans="1:18" x14ac:dyDescent="0.25">
      <c r="A423" t="s">
        <v>341</v>
      </c>
      <c r="B423" s="4">
        <v>39368</v>
      </c>
      <c r="C423" s="9">
        <f t="shared" si="25"/>
        <v>10</v>
      </c>
      <c r="D423">
        <f t="shared" si="26"/>
        <v>2007</v>
      </c>
      <c r="E423">
        <f t="shared" si="24"/>
        <v>0</v>
      </c>
      <c r="F423" t="s">
        <v>230</v>
      </c>
      <c r="G423" t="s">
        <v>101</v>
      </c>
      <c r="H423" t="s">
        <v>273</v>
      </c>
      <c r="J423">
        <v>15</v>
      </c>
      <c r="K423">
        <f t="shared" si="27"/>
        <v>15</v>
      </c>
      <c r="R423" t="s">
        <v>1348</v>
      </c>
    </row>
    <row r="424" spans="1:18" x14ac:dyDescent="0.25">
      <c r="A424" t="s">
        <v>341</v>
      </c>
      <c r="B424" s="4">
        <v>39368</v>
      </c>
      <c r="C424" s="9">
        <f t="shared" si="25"/>
        <v>10</v>
      </c>
      <c r="D424">
        <f t="shared" si="26"/>
        <v>2007</v>
      </c>
      <c r="E424">
        <f t="shared" si="24"/>
        <v>0</v>
      </c>
      <c r="F424" t="s">
        <v>230</v>
      </c>
      <c r="G424" t="s">
        <v>101</v>
      </c>
      <c r="H424" t="s">
        <v>273</v>
      </c>
      <c r="J424">
        <v>14</v>
      </c>
      <c r="K424">
        <f t="shared" si="27"/>
        <v>14</v>
      </c>
      <c r="R424" t="s">
        <v>1348</v>
      </c>
    </row>
    <row r="425" spans="1:18" x14ac:dyDescent="0.25">
      <c r="A425" t="s">
        <v>341</v>
      </c>
      <c r="B425" s="4">
        <v>39368</v>
      </c>
      <c r="C425" s="9">
        <f t="shared" si="25"/>
        <v>10</v>
      </c>
      <c r="D425">
        <f t="shared" si="26"/>
        <v>2007</v>
      </c>
      <c r="E425">
        <f t="shared" si="24"/>
        <v>0</v>
      </c>
      <c r="F425" t="s">
        <v>230</v>
      </c>
      <c r="G425" t="s">
        <v>101</v>
      </c>
      <c r="H425" t="s">
        <v>273</v>
      </c>
      <c r="J425">
        <v>14</v>
      </c>
      <c r="K425">
        <f t="shared" si="27"/>
        <v>14</v>
      </c>
      <c r="R425" t="s">
        <v>1348</v>
      </c>
    </row>
    <row r="426" spans="1:18" x14ac:dyDescent="0.25">
      <c r="A426" t="s">
        <v>341</v>
      </c>
      <c r="B426" s="4">
        <v>39369</v>
      </c>
      <c r="C426" s="9">
        <f t="shared" si="25"/>
        <v>10</v>
      </c>
      <c r="D426">
        <f t="shared" si="26"/>
        <v>2007</v>
      </c>
      <c r="E426">
        <f t="shared" si="24"/>
        <v>1</v>
      </c>
      <c r="F426" t="s">
        <v>230</v>
      </c>
      <c r="G426" t="s">
        <v>101</v>
      </c>
      <c r="H426" t="s">
        <v>273</v>
      </c>
      <c r="J426">
        <v>16</v>
      </c>
      <c r="K426">
        <f t="shared" si="27"/>
        <v>16</v>
      </c>
      <c r="R426" t="s">
        <v>1348</v>
      </c>
    </row>
    <row r="427" spans="1:18" x14ac:dyDescent="0.25">
      <c r="A427" t="s">
        <v>341</v>
      </c>
      <c r="B427" s="4">
        <v>39369</v>
      </c>
      <c r="C427" s="9">
        <f t="shared" si="25"/>
        <v>10</v>
      </c>
      <c r="D427">
        <f t="shared" si="26"/>
        <v>2007</v>
      </c>
      <c r="E427">
        <f t="shared" si="24"/>
        <v>0</v>
      </c>
      <c r="F427" t="s">
        <v>230</v>
      </c>
      <c r="G427" t="s">
        <v>101</v>
      </c>
      <c r="H427" t="s">
        <v>273</v>
      </c>
      <c r="J427">
        <v>16</v>
      </c>
      <c r="K427">
        <f t="shared" si="27"/>
        <v>16</v>
      </c>
      <c r="R427" t="s">
        <v>1348</v>
      </c>
    </row>
    <row r="428" spans="1:18" x14ac:dyDescent="0.25">
      <c r="A428" t="s">
        <v>341</v>
      </c>
      <c r="B428" s="4">
        <v>39369</v>
      </c>
      <c r="C428" s="9">
        <f t="shared" si="25"/>
        <v>10</v>
      </c>
      <c r="D428">
        <f t="shared" si="26"/>
        <v>2007</v>
      </c>
      <c r="E428">
        <f t="shared" si="24"/>
        <v>0</v>
      </c>
      <c r="F428" t="s">
        <v>230</v>
      </c>
      <c r="G428" t="s">
        <v>101</v>
      </c>
      <c r="H428" t="s">
        <v>273</v>
      </c>
      <c r="J428">
        <v>16</v>
      </c>
      <c r="K428">
        <f t="shared" si="27"/>
        <v>16</v>
      </c>
      <c r="R428" t="s">
        <v>1348</v>
      </c>
    </row>
    <row r="429" spans="1:18" x14ac:dyDescent="0.25">
      <c r="A429" t="s">
        <v>341</v>
      </c>
      <c r="B429" s="4">
        <v>39382</v>
      </c>
      <c r="C429" s="9">
        <f t="shared" si="25"/>
        <v>10</v>
      </c>
      <c r="D429">
        <f t="shared" si="26"/>
        <v>2007</v>
      </c>
      <c r="E429">
        <f t="shared" si="24"/>
        <v>1</v>
      </c>
      <c r="F429" t="s">
        <v>230</v>
      </c>
      <c r="G429" t="s">
        <v>263</v>
      </c>
      <c r="H429" t="s">
        <v>275</v>
      </c>
      <c r="J429">
        <v>10</v>
      </c>
      <c r="K429">
        <f t="shared" si="27"/>
        <v>10</v>
      </c>
      <c r="L429" t="s">
        <v>419</v>
      </c>
      <c r="M429" t="s">
        <v>274</v>
      </c>
      <c r="R429" t="s">
        <v>1351</v>
      </c>
    </row>
    <row r="430" spans="1:18" x14ac:dyDescent="0.25">
      <c r="A430" t="s">
        <v>341</v>
      </c>
      <c r="B430" s="4">
        <v>39383</v>
      </c>
      <c r="C430" s="9">
        <f t="shared" si="25"/>
        <v>10</v>
      </c>
      <c r="D430">
        <f t="shared" si="26"/>
        <v>2007</v>
      </c>
      <c r="E430">
        <f t="shared" si="24"/>
        <v>1</v>
      </c>
      <c r="F430" t="s">
        <v>230</v>
      </c>
      <c r="G430" t="s">
        <v>563</v>
      </c>
      <c r="H430" t="s">
        <v>276</v>
      </c>
      <c r="J430">
        <v>12</v>
      </c>
      <c r="K430">
        <f t="shared" si="27"/>
        <v>12</v>
      </c>
      <c r="L430" t="s">
        <v>419</v>
      </c>
      <c r="R430" t="s">
        <v>1351</v>
      </c>
    </row>
    <row r="431" spans="1:18" x14ac:dyDescent="0.25">
      <c r="A431" t="s">
        <v>341</v>
      </c>
      <c r="B431" s="4">
        <v>39383</v>
      </c>
      <c r="C431" s="9">
        <f t="shared" si="25"/>
        <v>10</v>
      </c>
      <c r="D431">
        <f t="shared" si="26"/>
        <v>2007</v>
      </c>
      <c r="E431">
        <f t="shared" si="24"/>
        <v>0</v>
      </c>
      <c r="F431" t="s">
        <v>230</v>
      </c>
      <c r="G431" t="s">
        <v>562</v>
      </c>
      <c r="H431" t="s">
        <v>276</v>
      </c>
      <c r="I431">
        <v>2</v>
      </c>
      <c r="J431">
        <v>4</v>
      </c>
      <c r="K431">
        <f t="shared" si="27"/>
        <v>124</v>
      </c>
      <c r="L431" t="s">
        <v>419</v>
      </c>
      <c r="R431" t="s">
        <v>1351</v>
      </c>
    </row>
    <row r="432" spans="1:18" x14ac:dyDescent="0.25">
      <c r="A432" t="s">
        <v>341</v>
      </c>
      <c r="B432" s="4">
        <v>39384</v>
      </c>
      <c r="C432" s="9">
        <f t="shared" si="25"/>
        <v>10</v>
      </c>
      <c r="D432">
        <f t="shared" si="26"/>
        <v>2007</v>
      </c>
      <c r="E432">
        <f t="shared" si="24"/>
        <v>1</v>
      </c>
      <c r="F432" t="s">
        <v>230</v>
      </c>
      <c r="G432" t="s">
        <v>563</v>
      </c>
      <c r="H432" t="s">
        <v>276</v>
      </c>
      <c r="J432">
        <v>10</v>
      </c>
      <c r="K432">
        <f t="shared" si="27"/>
        <v>10</v>
      </c>
      <c r="L432" t="s">
        <v>419</v>
      </c>
      <c r="R432" t="s">
        <v>1351</v>
      </c>
    </row>
    <row r="433" spans="1:18" x14ac:dyDescent="0.25">
      <c r="A433" t="s">
        <v>341</v>
      </c>
      <c r="B433" s="4">
        <v>39384</v>
      </c>
      <c r="C433" s="9">
        <f t="shared" si="25"/>
        <v>10</v>
      </c>
      <c r="D433">
        <f t="shared" si="26"/>
        <v>2007</v>
      </c>
      <c r="E433">
        <f t="shared" si="24"/>
        <v>0</v>
      </c>
      <c r="F433" t="s">
        <v>230</v>
      </c>
      <c r="G433" t="s">
        <v>563</v>
      </c>
      <c r="H433" t="s">
        <v>276</v>
      </c>
      <c r="I433">
        <v>3</v>
      </c>
      <c r="J433">
        <v>10</v>
      </c>
      <c r="K433">
        <f t="shared" si="27"/>
        <v>190</v>
      </c>
      <c r="L433" t="s">
        <v>419</v>
      </c>
      <c r="R433" t="s">
        <v>1351</v>
      </c>
    </row>
    <row r="434" spans="1:18" x14ac:dyDescent="0.25">
      <c r="A434" t="s">
        <v>341</v>
      </c>
      <c r="B434" s="4">
        <v>39385</v>
      </c>
      <c r="C434" s="9">
        <f t="shared" si="25"/>
        <v>10</v>
      </c>
      <c r="D434">
        <f t="shared" si="26"/>
        <v>2007</v>
      </c>
      <c r="E434">
        <f t="shared" si="24"/>
        <v>1</v>
      </c>
      <c r="F434" t="s">
        <v>230</v>
      </c>
      <c r="G434" t="s">
        <v>563</v>
      </c>
      <c r="H434" t="s">
        <v>276</v>
      </c>
      <c r="J434">
        <v>6</v>
      </c>
      <c r="K434">
        <f t="shared" si="27"/>
        <v>6</v>
      </c>
      <c r="L434" t="s">
        <v>419</v>
      </c>
      <c r="R434" t="s">
        <v>1351</v>
      </c>
    </row>
    <row r="435" spans="1:18" x14ac:dyDescent="0.25">
      <c r="A435" t="s">
        <v>341</v>
      </c>
      <c r="B435" s="4">
        <v>39385</v>
      </c>
      <c r="C435" s="9">
        <f t="shared" si="25"/>
        <v>10</v>
      </c>
      <c r="D435">
        <f t="shared" si="26"/>
        <v>2007</v>
      </c>
      <c r="E435">
        <f t="shared" si="24"/>
        <v>0</v>
      </c>
      <c r="F435" t="s">
        <v>230</v>
      </c>
      <c r="G435" t="s">
        <v>422</v>
      </c>
      <c r="H435" t="s">
        <v>277</v>
      </c>
      <c r="J435">
        <v>16</v>
      </c>
      <c r="K435">
        <f t="shared" si="27"/>
        <v>16</v>
      </c>
      <c r="L435" t="s">
        <v>419</v>
      </c>
      <c r="R435" t="s">
        <v>1351</v>
      </c>
    </row>
    <row r="436" spans="1:18" x14ac:dyDescent="0.25">
      <c r="A436" t="s">
        <v>341</v>
      </c>
      <c r="B436" s="4">
        <v>39386</v>
      </c>
      <c r="C436" s="9">
        <f t="shared" si="25"/>
        <v>10</v>
      </c>
      <c r="D436">
        <f t="shared" si="26"/>
        <v>2007</v>
      </c>
      <c r="E436">
        <f t="shared" si="24"/>
        <v>1</v>
      </c>
      <c r="F436" t="s">
        <v>230</v>
      </c>
      <c r="G436" t="s">
        <v>264</v>
      </c>
      <c r="H436" t="s">
        <v>121</v>
      </c>
      <c r="J436">
        <v>7</v>
      </c>
      <c r="K436">
        <f t="shared" si="27"/>
        <v>7</v>
      </c>
      <c r="L436" t="s">
        <v>419</v>
      </c>
      <c r="R436" t="s">
        <v>1351</v>
      </c>
    </row>
    <row r="437" spans="1:18" x14ac:dyDescent="0.25">
      <c r="A437" t="s">
        <v>341</v>
      </c>
      <c r="B437" s="4">
        <v>39387</v>
      </c>
      <c r="C437" s="9">
        <f t="shared" si="25"/>
        <v>11</v>
      </c>
      <c r="D437">
        <f t="shared" si="26"/>
        <v>2007</v>
      </c>
      <c r="E437">
        <f t="shared" si="24"/>
        <v>1</v>
      </c>
      <c r="F437" t="s">
        <v>230</v>
      </c>
      <c r="G437" t="s">
        <v>264</v>
      </c>
      <c r="H437" t="s">
        <v>121</v>
      </c>
      <c r="J437">
        <v>21</v>
      </c>
      <c r="K437">
        <f t="shared" si="27"/>
        <v>21</v>
      </c>
      <c r="L437" t="s">
        <v>419</v>
      </c>
      <c r="R437" t="s">
        <v>1351</v>
      </c>
    </row>
    <row r="438" spans="1:18" x14ac:dyDescent="0.25">
      <c r="A438" t="s">
        <v>341</v>
      </c>
      <c r="B438" s="4">
        <v>39387</v>
      </c>
      <c r="C438" s="9">
        <f t="shared" si="25"/>
        <v>11</v>
      </c>
      <c r="D438">
        <f t="shared" si="26"/>
        <v>2007</v>
      </c>
      <c r="E438">
        <f t="shared" si="24"/>
        <v>0</v>
      </c>
      <c r="F438" t="s">
        <v>230</v>
      </c>
      <c r="G438" t="s">
        <v>264</v>
      </c>
      <c r="H438" t="s">
        <v>121</v>
      </c>
      <c r="J438">
        <v>12</v>
      </c>
      <c r="K438">
        <f t="shared" si="27"/>
        <v>12</v>
      </c>
      <c r="L438" t="s">
        <v>419</v>
      </c>
      <c r="R438" t="s">
        <v>1351</v>
      </c>
    </row>
    <row r="439" spans="1:18" x14ac:dyDescent="0.25">
      <c r="A439" t="s">
        <v>341</v>
      </c>
      <c r="B439" s="4">
        <v>39388</v>
      </c>
      <c r="C439" s="9">
        <f t="shared" si="25"/>
        <v>11</v>
      </c>
      <c r="D439">
        <f t="shared" si="26"/>
        <v>2007</v>
      </c>
      <c r="E439">
        <f t="shared" si="24"/>
        <v>1</v>
      </c>
      <c r="F439" t="s">
        <v>230</v>
      </c>
      <c r="G439" t="s">
        <v>264</v>
      </c>
      <c r="H439" t="s">
        <v>121</v>
      </c>
      <c r="I439">
        <v>1</v>
      </c>
      <c r="J439">
        <v>11</v>
      </c>
      <c r="K439">
        <f t="shared" si="27"/>
        <v>71</v>
      </c>
      <c r="L439" t="s">
        <v>419</v>
      </c>
      <c r="R439" t="s">
        <v>1351</v>
      </c>
    </row>
    <row r="440" spans="1:18" x14ac:dyDescent="0.25">
      <c r="A440" t="s">
        <v>341</v>
      </c>
      <c r="B440" s="4">
        <v>39388</v>
      </c>
      <c r="C440" s="9">
        <f t="shared" si="25"/>
        <v>11</v>
      </c>
      <c r="D440">
        <f t="shared" si="26"/>
        <v>2007</v>
      </c>
      <c r="E440">
        <f t="shared" si="24"/>
        <v>0</v>
      </c>
      <c r="F440" t="s">
        <v>230</v>
      </c>
      <c r="G440" t="s">
        <v>264</v>
      </c>
      <c r="H440" t="s">
        <v>121</v>
      </c>
      <c r="J440">
        <v>9</v>
      </c>
      <c r="K440">
        <f t="shared" si="27"/>
        <v>9</v>
      </c>
      <c r="L440" t="s">
        <v>419</v>
      </c>
      <c r="R440" t="s">
        <v>1351</v>
      </c>
    </row>
    <row r="441" spans="1:18" x14ac:dyDescent="0.25">
      <c r="A441" t="s">
        <v>343</v>
      </c>
      <c r="B441" s="4">
        <v>39485</v>
      </c>
      <c r="C441" s="9">
        <f t="shared" si="25"/>
        <v>2</v>
      </c>
      <c r="D441">
        <f t="shared" si="26"/>
        <v>2008</v>
      </c>
      <c r="E441">
        <f t="shared" si="24"/>
        <v>0</v>
      </c>
      <c r="F441" t="s">
        <v>265</v>
      </c>
      <c r="G441" t="s">
        <v>101</v>
      </c>
      <c r="H441" t="s">
        <v>101</v>
      </c>
      <c r="K441">
        <f t="shared" si="27"/>
        <v>0</v>
      </c>
      <c r="R441" t="s">
        <v>1348</v>
      </c>
    </row>
    <row r="442" spans="1:18" x14ac:dyDescent="0.25">
      <c r="A442" t="s">
        <v>343</v>
      </c>
      <c r="B442" s="4">
        <v>39486</v>
      </c>
      <c r="C442" s="9">
        <f t="shared" si="25"/>
        <v>2</v>
      </c>
      <c r="D442">
        <f t="shared" si="26"/>
        <v>2008</v>
      </c>
      <c r="E442">
        <f t="shared" si="24"/>
        <v>0</v>
      </c>
      <c r="F442" t="s">
        <v>265</v>
      </c>
      <c r="G442" t="s">
        <v>282</v>
      </c>
      <c r="H442" t="s">
        <v>273</v>
      </c>
      <c r="K442">
        <f t="shared" si="27"/>
        <v>0</v>
      </c>
      <c r="R442" t="s">
        <v>1348</v>
      </c>
    </row>
    <row r="443" spans="1:18" x14ac:dyDescent="0.25">
      <c r="A443" t="s">
        <v>341</v>
      </c>
      <c r="B443" s="4">
        <v>39487</v>
      </c>
      <c r="C443" s="9">
        <f t="shared" si="25"/>
        <v>2</v>
      </c>
      <c r="D443">
        <f t="shared" si="26"/>
        <v>2008</v>
      </c>
      <c r="E443">
        <f t="shared" si="24"/>
        <v>1</v>
      </c>
      <c r="F443" t="s">
        <v>230</v>
      </c>
      <c r="G443" t="s">
        <v>101</v>
      </c>
      <c r="H443" t="s">
        <v>273</v>
      </c>
      <c r="J443">
        <v>30</v>
      </c>
      <c r="K443">
        <f t="shared" si="27"/>
        <v>30</v>
      </c>
      <c r="R443" t="s">
        <v>1348</v>
      </c>
    </row>
    <row r="444" spans="1:18" x14ac:dyDescent="0.25">
      <c r="A444" t="s">
        <v>343</v>
      </c>
      <c r="B444" s="4">
        <v>39488</v>
      </c>
      <c r="C444" s="9">
        <f t="shared" si="25"/>
        <v>2</v>
      </c>
      <c r="D444">
        <f t="shared" si="26"/>
        <v>2008</v>
      </c>
      <c r="E444">
        <f t="shared" si="24"/>
        <v>0</v>
      </c>
      <c r="F444" t="s">
        <v>278</v>
      </c>
      <c r="G444" t="s">
        <v>283</v>
      </c>
      <c r="K444">
        <f t="shared" si="27"/>
        <v>0</v>
      </c>
      <c r="R444" t="s">
        <v>1348</v>
      </c>
    </row>
    <row r="445" spans="1:18" x14ac:dyDescent="0.25">
      <c r="A445" t="s">
        <v>343</v>
      </c>
      <c r="B445" s="4">
        <v>39493</v>
      </c>
      <c r="C445" s="9">
        <f t="shared" si="25"/>
        <v>2</v>
      </c>
      <c r="D445">
        <f t="shared" si="26"/>
        <v>2008</v>
      </c>
      <c r="E445">
        <f t="shared" si="24"/>
        <v>0</v>
      </c>
      <c r="F445" t="s">
        <v>278</v>
      </c>
      <c r="G445" t="s">
        <v>231</v>
      </c>
      <c r="K445">
        <f t="shared" si="27"/>
        <v>0</v>
      </c>
      <c r="M445" t="s">
        <v>284</v>
      </c>
      <c r="R445" t="s">
        <v>1348</v>
      </c>
    </row>
    <row r="446" spans="1:18" x14ac:dyDescent="0.25">
      <c r="A446" t="s">
        <v>343</v>
      </c>
      <c r="B446" s="4">
        <v>39494</v>
      </c>
      <c r="C446" s="9">
        <f t="shared" si="25"/>
        <v>2</v>
      </c>
      <c r="D446">
        <f t="shared" si="26"/>
        <v>2008</v>
      </c>
      <c r="E446">
        <f t="shared" si="24"/>
        <v>0</v>
      </c>
      <c r="F446" t="s">
        <v>278</v>
      </c>
      <c r="G446" t="s">
        <v>409</v>
      </c>
      <c r="K446">
        <f t="shared" si="27"/>
        <v>0</v>
      </c>
      <c r="R446" t="s">
        <v>1348</v>
      </c>
    </row>
    <row r="447" spans="1:18" x14ac:dyDescent="0.25">
      <c r="A447" t="s">
        <v>341</v>
      </c>
      <c r="B447" s="4">
        <v>39495</v>
      </c>
      <c r="C447" s="9">
        <f t="shared" si="25"/>
        <v>2</v>
      </c>
      <c r="D447">
        <f t="shared" si="26"/>
        <v>2008</v>
      </c>
      <c r="E447">
        <f t="shared" si="24"/>
        <v>1</v>
      </c>
      <c r="F447" t="s">
        <v>230</v>
      </c>
      <c r="G447" t="s">
        <v>101</v>
      </c>
      <c r="H447" t="s">
        <v>273</v>
      </c>
      <c r="J447">
        <v>42</v>
      </c>
      <c r="K447">
        <f t="shared" si="27"/>
        <v>42</v>
      </c>
      <c r="R447" t="s">
        <v>1348</v>
      </c>
    </row>
    <row r="448" spans="1:18" x14ac:dyDescent="0.25">
      <c r="A448" t="s">
        <v>343</v>
      </c>
      <c r="B448" s="4">
        <v>39495</v>
      </c>
      <c r="C448" s="9">
        <f t="shared" si="25"/>
        <v>2</v>
      </c>
      <c r="D448">
        <f t="shared" si="26"/>
        <v>2008</v>
      </c>
      <c r="E448">
        <f t="shared" si="24"/>
        <v>0</v>
      </c>
      <c r="F448" t="s">
        <v>278</v>
      </c>
      <c r="G448" t="s">
        <v>282</v>
      </c>
      <c r="K448">
        <f t="shared" si="27"/>
        <v>0</v>
      </c>
      <c r="R448" t="s">
        <v>1348</v>
      </c>
    </row>
    <row r="449" spans="1:18" x14ac:dyDescent="0.25">
      <c r="A449" t="s">
        <v>343</v>
      </c>
      <c r="B449" s="4">
        <v>39535</v>
      </c>
      <c r="C449" s="9">
        <f t="shared" si="25"/>
        <v>3</v>
      </c>
      <c r="D449">
        <f t="shared" si="26"/>
        <v>2008</v>
      </c>
      <c r="E449">
        <f>IF(OR(A449 = "GS",A449 = "BP"),IF( OR(A448="GS",A448="BP"),IF(B448=B449,0,1),1),0)</f>
        <v>0</v>
      </c>
      <c r="F449" t="s">
        <v>278</v>
      </c>
      <c r="G449" t="s">
        <v>282</v>
      </c>
      <c r="K449">
        <f t="shared" si="27"/>
        <v>0</v>
      </c>
      <c r="R449" t="s">
        <v>1348</v>
      </c>
    </row>
    <row r="450" spans="1:18" x14ac:dyDescent="0.25">
      <c r="A450" t="s">
        <v>341</v>
      </c>
      <c r="B450" s="4">
        <v>39535</v>
      </c>
      <c r="C450" s="9">
        <f t="shared" si="25"/>
        <v>3</v>
      </c>
      <c r="D450">
        <f t="shared" si="26"/>
        <v>2008</v>
      </c>
      <c r="E450">
        <f>IF(OR(A450 = "GS",A450 = "BP"),IF( OR(A449="GS",A449="BP"),IF(B449=B450,0,1),1),0)</f>
        <v>1</v>
      </c>
      <c r="F450" t="s">
        <v>230</v>
      </c>
      <c r="G450" t="s">
        <v>101</v>
      </c>
      <c r="H450" t="s">
        <v>273</v>
      </c>
      <c r="J450">
        <v>43</v>
      </c>
      <c r="K450">
        <f t="shared" si="27"/>
        <v>43</v>
      </c>
      <c r="L450" t="s">
        <v>152</v>
      </c>
      <c r="R450" t="s">
        <v>1348</v>
      </c>
    </row>
    <row r="451" spans="1:18" x14ac:dyDescent="0.25">
      <c r="A451" t="s">
        <v>341</v>
      </c>
      <c r="B451" s="4">
        <v>39536</v>
      </c>
      <c r="C451" s="9">
        <f t="shared" ref="C451:C514" si="28">MONTH(B451)</f>
        <v>3</v>
      </c>
      <c r="D451">
        <f t="shared" ref="D451:D504" si="29">YEAR(B451)</f>
        <v>2008</v>
      </c>
      <c r="E451">
        <f>IF(OR(A451 = "GS",A451 = "BP"),IF( OR(A450="GS",A450="BP"),IF(B450=B451,0,1),1),0)</f>
        <v>1</v>
      </c>
      <c r="F451" t="s">
        <v>230</v>
      </c>
      <c r="G451" t="s">
        <v>101</v>
      </c>
      <c r="H451" t="s">
        <v>101</v>
      </c>
      <c r="J451">
        <v>56</v>
      </c>
      <c r="K451">
        <f t="shared" ref="K451:K504" si="30">I451*60+J451</f>
        <v>56</v>
      </c>
      <c r="L451" t="s">
        <v>152</v>
      </c>
      <c r="R451" t="s">
        <v>1348</v>
      </c>
    </row>
    <row r="452" spans="1:18" x14ac:dyDescent="0.25">
      <c r="A452" t="s">
        <v>341</v>
      </c>
      <c r="B452" s="4">
        <v>39536</v>
      </c>
      <c r="C452" s="9">
        <f t="shared" si="28"/>
        <v>3</v>
      </c>
      <c r="D452">
        <f t="shared" si="29"/>
        <v>2008</v>
      </c>
      <c r="E452">
        <f t="shared" ref="E452:E515" si="31">IF(OR(A452 = "GS",A452 = "BP"),IF( OR(A451="GS",A451="BP"),IF(B451=B452,0,1),1),0)</f>
        <v>0</v>
      </c>
      <c r="F452" t="s">
        <v>230</v>
      </c>
      <c r="G452" t="s">
        <v>101</v>
      </c>
      <c r="H452" t="s">
        <v>273</v>
      </c>
      <c r="J452">
        <v>35</v>
      </c>
      <c r="K452">
        <f t="shared" si="30"/>
        <v>35</v>
      </c>
      <c r="L452" t="s">
        <v>152</v>
      </c>
      <c r="R452" t="s">
        <v>1348</v>
      </c>
    </row>
    <row r="453" spans="1:18" x14ac:dyDescent="0.25">
      <c r="A453" t="s">
        <v>341</v>
      </c>
      <c r="B453" s="4">
        <v>39539</v>
      </c>
      <c r="C453" s="9">
        <f t="shared" si="28"/>
        <v>4</v>
      </c>
      <c r="D453">
        <f t="shared" si="29"/>
        <v>2008</v>
      </c>
      <c r="E453">
        <f t="shared" si="31"/>
        <v>1</v>
      </c>
      <c r="F453" t="s">
        <v>230</v>
      </c>
      <c r="G453" t="s">
        <v>101</v>
      </c>
      <c r="H453" t="s">
        <v>273</v>
      </c>
      <c r="I453">
        <v>1</v>
      </c>
      <c r="J453">
        <v>54</v>
      </c>
      <c r="K453">
        <f t="shared" si="30"/>
        <v>114</v>
      </c>
      <c r="L453" t="s">
        <v>152</v>
      </c>
      <c r="M453" t="s">
        <v>285</v>
      </c>
      <c r="R453" t="s">
        <v>1348</v>
      </c>
    </row>
    <row r="454" spans="1:18" x14ac:dyDescent="0.25">
      <c r="A454" t="s">
        <v>341</v>
      </c>
      <c r="B454" s="4">
        <v>39558</v>
      </c>
      <c r="C454" s="9">
        <f t="shared" si="28"/>
        <v>4</v>
      </c>
      <c r="D454">
        <f t="shared" si="29"/>
        <v>2008</v>
      </c>
      <c r="E454">
        <f t="shared" si="31"/>
        <v>1</v>
      </c>
      <c r="F454" t="s">
        <v>279</v>
      </c>
      <c r="G454" t="s">
        <v>286</v>
      </c>
      <c r="H454" t="s">
        <v>287</v>
      </c>
      <c r="J454">
        <v>4</v>
      </c>
      <c r="K454">
        <f t="shared" si="30"/>
        <v>4</v>
      </c>
      <c r="M454" t="s">
        <v>289</v>
      </c>
      <c r="R454" t="s">
        <v>1348</v>
      </c>
    </row>
    <row r="455" spans="1:18" x14ac:dyDescent="0.25">
      <c r="A455" t="s">
        <v>341</v>
      </c>
      <c r="B455" s="4">
        <v>39558</v>
      </c>
      <c r="C455" s="9">
        <f t="shared" si="28"/>
        <v>4</v>
      </c>
      <c r="D455">
        <f t="shared" si="29"/>
        <v>2008</v>
      </c>
      <c r="E455">
        <f t="shared" si="31"/>
        <v>0</v>
      </c>
      <c r="F455" t="s">
        <v>280</v>
      </c>
      <c r="G455" t="s">
        <v>288</v>
      </c>
      <c r="H455" t="s">
        <v>287</v>
      </c>
      <c r="J455">
        <v>8</v>
      </c>
      <c r="K455">
        <f t="shared" si="30"/>
        <v>8</v>
      </c>
      <c r="M455" t="s">
        <v>289</v>
      </c>
      <c r="R455" t="s">
        <v>1348</v>
      </c>
    </row>
    <row r="456" spans="1:18" x14ac:dyDescent="0.25">
      <c r="A456" t="s">
        <v>341</v>
      </c>
      <c r="B456" s="4">
        <v>39558</v>
      </c>
      <c r="C456" s="9">
        <f t="shared" si="28"/>
        <v>4</v>
      </c>
      <c r="D456">
        <f t="shared" si="29"/>
        <v>2008</v>
      </c>
      <c r="E456">
        <f t="shared" si="31"/>
        <v>0</v>
      </c>
      <c r="F456" t="s">
        <v>281</v>
      </c>
      <c r="G456" t="s">
        <v>288</v>
      </c>
      <c r="H456" t="s">
        <v>287</v>
      </c>
      <c r="J456">
        <v>25</v>
      </c>
      <c r="K456">
        <f t="shared" si="30"/>
        <v>25</v>
      </c>
      <c r="M456" t="s">
        <v>289</v>
      </c>
      <c r="R456" t="s">
        <v>1348</v>
      </c>
    </row>
    <row r="457" spans="1:18" x14ac:dyDescent="0.25">
      <c r="A457" t="s">
        <v>341</v>
      </c>
      <c r="B457" s="4">
        <v>39565</v>
      </c>
      <c r="C457" s="9">
        <f t="shared" si="28"/>
        <v>4</v>
      </c>
      <c r="D457">
        <f t="shared" si="29"/>
        <v>2008</v>
      </c>
      <c r="E457">
        <f t="shared" si="31"/>
        <v>1</v>
      </c>
      <c r="F457" t="s">
        <v>230</v>
      </c>
      <c r="G457" t="s">
        <v>290</v>
      </c>
      <c r="H457" t="s">
        <v>293</v>
      </c>
      <c r="J457">
        <v>18</v>
      </c>
      <c r="K457">
        <f t="shared" si="30"/>
        <v>18</v>
      </c>
      <c r="L457" t="s">
        <v>295</v>
      </c>
      <c r="M457" t="s">
        <v>296</v>
      </c>
      <c r="R457" t="s">
        <v>1349</v>
      </c>
    </row>
    <row r="458" spans="1:18" x14ac:dyDescent="0.25">
      <c r="A458" t="s">
        <v>341</v>
      </c>
      <c r="B458" s="4">
        <v>39565</v>
      </c>
      <c r="C458" s="9">
        <f t="shared" si="28"/>
        <v>4</v>
      </c>
      <c r="D458">
        <f t="shared" si="29"/>
        <v>2008</v>
      </c>
      <c r="E458">
        <f t="shared" si="31"/>
        <v>0</v>
      </c>
      <c r="F458" t="s">
        <v>230</v>
      </c>
      <c r="G458" t="s">
        <v>393</v>
      </c>
      <c r="H458" t="s">
        <v>294</v>
      </c>
      <c r="J458">
        <v>12</v>
      </c>
      <c r="K458">
        <f t="shared" si="30"/>
        <v>12</v>
      </c>
      <c r="L458" t="s">
        <v>295</v>
      </c>
      <c r="R458" t="s">
        <v>1349</v>
      </c>
    </row>
    <row r="459" spans="1:18" x14ac:dyDescent="0.25">
      <c r="A459" t="s">
        <v>341</v>
      </c>
      <c r="B459" s="4">
        <v>39566</v>
      </c>
      <c r="C459" s="9">
        <f t="shared" si="28"/>
        <v>4</v>
      </c>
      <c r="D459">
        <f t="shared" si="29"/>
        <v>2008</v>
      </c>
      <c r="E459">
        <f t="shared" si="31"/>
        <v>1</v>
      </c>
      <c r="F459" t="s">
        <v>230</v>
      </c>
      <c r="G459" t="s">
        <v>393</v>
      </c>
      <c r="H459" t="s">
        <v>294</v>
      </c>
      <c r="J459">
        <v>11</v>
      </c>
      <c r="K459">
        <f t="shared" si="30"/>
        <v>11</v>
      </c>
      <c r="L459" t="s">
        <v>295</v>
      </c>
      <c r="R459" t="s">
        <v>1349</v>
      </c>
    </row>
    <row r="460" spans="1:18" x14ac:dyDescent="0.25">
      <c r="A460" t="s">
        <v>341</v>
      </c>
      <c r="B460" s="4">
        <v>39566</v>
      </c>
      <c r="C460" s="9">
        <f t="shared" si="28"/>
        <v>4</v>
      </c>
      <c r="D460">
        <f t="shared" si="29"/>
        <v>2008</v>
      </c>
      <c r="E460">
        <f t="shared" si="31"/>
        <v>0</v>
      </c>
      <c r="F460" t="s">
        <v>230</v>
      </c>
      <c r="G460" t="s">
        <v>393</v>
      </c>
      <c r="H460" t="s">
        <v>294</v>
      </c>
      <c r="J460">
        <v>55</v>
      </c>
      <c r="K460">
        <f t="shared" si="30"/>
        <v>55</v>
      </c>
      <c r="L460" t="s">
        <v>295</v>
      </c>
      <c r="R460" t="s">
        <v>1349</v>
      </c>
    </row>
    <row r="461" spans="1:18" x14ac:dyDescent="0.25">
      <c r="A461" t="s">
        <v>341</v>
      </c>
      <c r="B461" s="4">
        <v>39568</v>
      </c>
      <c r="C461" s="9">
        <f t="shared" si="28"/>
        <v>4</v>
      </c>
      <c r="D461">
        <f t="shared" si="29"/>
        <v>2008</v>
      </c>
      <c r="E461">
        <f t="shared" si="31"/>
        <v>1</v>
      </c>
      <c r="F461" t="s">
        <v>230</v>
      </c>
      <c r="G461" t="s">
        <v>291</v>
      </c>
      <c r="H461" t="s">
        <v>291</v>
      </c>
      <c r="J461">
        <v>28</v>
      </c>
      <c r="K461">
        <f t="shared" si="30"/>
        <v>28</v>
      </c>
      <c r="L461" t="s">
        <v>295</v>
      </c>
      <c r="R461" t="s">
        <v>1349</v>
      </c>
    </row>
    <row r="462" spans="1:18" x14ac:dyDescent="0.25">
      <c r="A462" t="s">
        <v>341</v>
      </c>
      <c r="B462" s="4">
        <v>39569</v>
      </c>
      <c r="C462" s="9">
        <f t="shared" si="28"/>
        <v>5</v>
      </c>
      <c r="D462">
        <f t="shared" si="29"/>
        <v>2008</v>
      </c>
      <c r="E462">
        <f t="shared" si="31"/>
        <v>1</v>
      </c>
      <c r="F462" t="s">
        <v>230</v>
      </c>
      <c r="G462" t="s">
        <v>393</v>
      </c>
      <c r="H462" t="s">
        <v>294</v>
      </c>
      <c r="I462">
        <v>1</v>
      </c>
      <c r="J462">
        <v>12</v>
      </c>
      <c r="K462">
        <f t="shared" si="30"/>
        <v>72</v>
      </c>
      <c r="L462" t="s">
        <v>295</v>
      </c>
      <c r="R462" t="s">
        <v>1349</v>
      </c>
    </row>
    <row r="463" spans="1:18" x14ac:dyDescent="0.25">
      <c r="A463" t="s">
        <v>341</v>
      </c>
      <c r="B463" s="4">
        <v>39569</v>
      </c>
      <c r="C463" s="9">
        <f t="shared" si="28"/>
        <v>5</v>
      </c>
      <c r="D463">
        <f t="shared" si="29"/>
        <v>2008</v>
      </c>
      <c r="E463">
        <f t="shared" si="31"/>
        <v>0</v>
      </c>
      <c r="F463" t="s">
        <v>230</v>
      </c>
      <c r="G463" t="s">
        <v>393</v>
      </c>
      <c r="H463" t="s">
        <v>294</v>
      </c>
      <c r="J463">
        <v>15</v>
      </c>
      <c r="K463">
        <f t="shared" si="30"/>
        <v>15</v>
      </c>
      <c r="L463" t="s">
        <v>295</v>
      </c>
      <c r="R463" t="s">
        <v>1349</v>
      </c>
    </row>
    <row r="464" spans="1:18" x14ac:dyDescent="0.25">
      <c r="A464" t="s">
        <v>341</v>
      </c>
      <c r="B464" s="4">
        <v>39570</v>
      </c>
      <c r="C464" s="9">
        <f t="shared" si="28"/>
        <v>5</v>
      </c>
      <c r="D464">
        <f t="shared" si="29"/>
        <v>2008</v>
      </c>
      <c r="E464">
        <f t="shared" si="31"/>
        <v>1</v>
      </c>
      <c r="F464" t="s">
        <v>230</v>
      </c>
      <c r="G464" t="s">
        <v>393</v>
      </c>
      <c r="H464" t="s">
        <v>294</v>
      </c>
      <c r="J464">
        <v>13</v>
      </c>
      <c r="K464">
        <f t="shared" si="30"/>
        <v>13</v>
      </c>
      <c r="L464" t="s">
        <v>295</v>
      </c>
      <c r="R464" t="s">
        <v>1349</v>
      </c>
    </row>
    <row r="465" spans="1:18" x14ac:dyDescent="0.25">
      <c r="A465" t="s">
        <v>341</v>
      </c>
      <c r="B465" s="4">
        <v>39570</v>
      </c>
      <c r="C465" s="9">
        <f t="shared" si="28"/>
        <v>5</v>
      </c>
      <c r="D465">
        <f t="shared" si="29"/>
        <v>2008</v>
      </c>
      <c r="E465">
        <f t="shared" si="31"/>
        <v>0</v>
      </c>
      <c r="F465" t="s">
        <v>230</v>
      </c>
      <c r="G465" t="s">
        <v>292</v>
      </c>
      <c r="H465" t="s">
        <v>292</v>
      </c>
      <c r="I465">
        <v>1</v>
      </c>
      <c r="J465">
        <v>5</v>
      </c>
      <c r="K465">
        <f t="shared" si="30"/>
        <v>65</v>
      </c>
      <c r="L465" t="s">
        <v>295</v>
      </c>
      <c r="R465" t="s">
        <v>1349</v>
      </c>
    </row>
    <row r="466" spans="1:18" x14ac:dyDescent="0.25">
      <c r="A466" t="s">
        <v>341</v>
      </c>
      <c r="B466" s="4">
        <v>39570</v>
      </c>
      <c r="C466" s="9">
        <f t="shared" si="28"/>
        <v>5</v>
      </c>
      <c r="D466">
        <f t="shared" si="29"/>
        <v>2008</v>
      </c>
      <c r="E466">
        <f t="shared" si="31"/>
        <v>0</v>
      </c>
      <c r="F466" t="s">
        <v>230</v>
      </c>
      <c r="G466" t="s">
        <v>291</v>
      </c>
      <c r="H466" t="s">
        <v>291</v>
      </c>
      <c r="J466">
        <v>59</v>
      </c>
      <c r="K466">
        <f t="shared" si="30"/>
        <v>59</v>
      </c>
      <c r="L466" t="s">
        <v>295</v>
      </c>
      <c r="R466" t="s">
        <v>1349</v>
      </c>
    </row>
    <row r="467" spans="1:18" x14ac:dyDescent="0.25">
      <c r="A467" t="s">
        <v>341</v>
      </c>
      <c r="B467" s="4">
        <v>39579</v>
      </c>
      <c r="C467" s="9">
        <f t="shared" si="28"/>
        <v>5</v>
      </c>
      <c r="D467">
        <f t="shared" si="29"/>
        <v>2008</v>
      </c>
      <c r="E467">
        <f t="shared" si="31"/>
        <v>1</v>
      </c>
      <c r="F467" t="s">
        <v>230</v>
      </c>
      <c r="G467" t="s">
        <v>158</v>
      </c>
      <c r="H467" t="s">
        <v>211</v>
      </c>
      <c r="J467">
        <v>16</v>
      </c>
      <c r="K467">
        <f t="shared" si="30"/>
        <v>16</v>
      </c>
      <c r="R467" t="s">
        <v>1348</v>
      </c>
    </row>
    <row r="468" spans="1:18" x14ac:dyDescent="0.25">
      <c r="A468" t="s">
        <v>341</v>
      </c>
      <c r="B468" s="4">
        <v>39580</v>
      </c>
      <c r="C468" s="9">
        <f t="shared" si="28"/>
        <v>5</v>
      </c>
      <c r="D468">
        <f t="shared" si="29"/>
        <v>2008</v>
      </c>
      <c r="E468">
        <f t="shared" si="31"/>
        <v>1</v>
      </c>
      <c r="F468" t="s">
        <v>230</v>
      </c>
      <c r="G468" t="s">
        <v>300</v>
      </c>
      <c r="H468" t="s">
        <v>73</v>
      </c>
      <c r="J468">
        <v>57</v>
      </c>
      <c r="K468">
        <f t="shared" si="30"/>
        <v>57</v>
      </c>
      <c r="R468" t="s">
        <v>1348</v>
      </c>
    </row>
    <row r="469" spans="1:18" x14ac:dyDescent="0.25">
      <c r="A469" t="s">
        <v>341</v>
      </c>
      <c r="B469" s="4">
        <v>39591</v>
      </c>
      <c r="C469" s="9">
        <f t="shared" si="28"/>
        <v>5</v>
      </c>
      <c r="D469">
        <f t="shared" si="29"/>
        <v>2008</v>
      </c>
      <c r="E469">
        <f t="shared" si="31"/>
        <v>1</v>
      </c>
      <c r="F469" t="s">
        <v>230</v>
      </c>
      <c r="G469" t="s">
        <v>7</v>
      </c>
      <c r="H469" t="s">
        <v>55</v>
      </c>
      <c r="J469">
        <v>30</v>
      </c>
      <c r="K469">
        <f t="shared" si="30"/>
        <v>30</v>
      </c>
      <c r="M469" t="s">
        <v>314</v>
      </c>
      <c r="R469" t="s">
        <v>1348</v>
      </c>
    </row>
    <row r="470" spans="1:18" x14ac:dyDescent="0.25">
      <c r="A470" t="s">
        <v>341</v>
      </c>
      <c r="B470" s="4">
        <v>39620</v>
      </c>
      <c r="C470" s="9">
        <f t="shared" si="28"/>
        <v>6</v>
      </c>
      <c r="D470">
        <f t="shared" si="29"/>
        <v>2008</v>
      </c>
      <c r="E470">
        <f t="shared" si="31"/>
        <v>1</v>
      </c>
      <c r="F470" t="s">
        <v>230</v>
      </c>
      <c r="G470" t="s">
        <v>101</v>
      </c>
      <c r="H470" t="s">
        <v>153</v>
      </c>
      <c r="I470">
        <v>2</v>
      </c>
      <c r="J470">
        <v>23</v>
      </c>
      <c r="K470">
        <f t="shared" si="30"/>
        <v>143</v>
      </c>
      <c r="M470" t="s">
        <v>315</v>
      </c>
      <c r="R470" t="s">
        <v>1348</v>
      </c>
    </row>
    <row r="471" spans="1:18" x14ac:dyDescent="0.25">
      <c r="A471" t="s">
        <v>341</v>
      </c>
      <c r="B471" s="4">
        <v>39621</v>
      </c>
      <c r="C471" s="9">
        <f t="shared" si="28"/>
        <v>6</v>
      </c>
      <c r="D471">
        <f t="shared" si="29"/>
        <v>2008</v>
      </c>
      <c r="E471">
        <f t="shared" si="31"/>
        <v>1</v>
      </c>
      <c r="F471" t="s">
        <v>230</v>
      </c>
      <c r="G471" t="s">
        <v>101</v>
      </c>
      <c r="H471" t="s">
        <v>273</v>
      </c>
      <c r="I471">
        <v>2</v>
      </c>
      <c r="J471">
        <v>9</v>
      </c>
      <c r="K471">
        <f t="shared" si="30"/>
        <v>129</v>
      </c>
      <c r="M471" t="s">
        <v>316</v>
      </c>
      <c r="R471" t="s">
        <v>1348</v>
      </c>
    </row>
    <row r="472" spans="1:18" x14ac:dyDescent="0.25">
      <c r="A472" t="s">
        <v>341</v>
      </c>
      <c r="B472" s="4">
        <v>39627</v>
      </c>
      <c r="C472" s="9">
        <f t="shared" si="28"/>
        <v>6</v>
      </c>
      <c r="D472">
        <f t="shared" si="29"/>
        <v>2008</v>
      </c>
      <c r="E472">
        <f t="shared" si="31"/>
        <v>1</v>
      </c>
      <c r="F472" t="s">
        <v>230</v>
      </c>
      <c r="G472" t="s">
        <v>101</v>
      </c>
      <c r="H472" t="s">
        <v>273</v>
      </c>
      <c r="I472">
        <v>1</v>
      </c>
      <c r="J472">
        <v>2</v>
      </c>
      <c r="K472">
        <f t="shared" si="30"/>
        <v>62</v>
      </c>
      <c r="R472" t="s">
        <v>1348</v>
      </c>
    </row>
    <row r="473" spans="1:18" x14ac:dyDescent="0.25">
      <c r="A473" t="s">
        <v>341</v>
      </c>
      <c r="B473" s="4">
        <v>39628</v>
      </c>
      <c r="C473" s="9">
        <f t="shared" si="28"/>
        <v>6</v>
      </c>
      <c r="D473">
        <f t="shared" si="29"/>
        <v>2008</v>
      </c>
      <c r="E473">
        <f t="shared" si="31"/>
        <v>1</v>
      </c>
      <c r="F473" t="s">
        <v>230</v>
      </c>
      <c r="G473" t="s">
        <v>101</v>
      </c>
      <c r="H473" t="s">
        <v>273</v>
      </c>
      <c r="J473">
        <v>51</v>
      </c>
      <c r="K473">
        <f t="shared" si="30"/>
        <v>51</v>
      </c>
      <c r="R473" t="s">
        <v>1348</v>
      </c>
    </row>
    <row r="474" spans="1:18" x14ac:dyDescent="0.25">
      <c r="A474" t="s">
        <v>341</v>
      </c>
      <c r="B474" s="4">
        <v>39633</v>
      </c>
      <c r="C474" s="9">
        <f t="shared" si="28"/>
        <v>7</v>
      </c>
      <c r="D474">
        <f t="shared" si="29"/>
        <v>2008</v>
      </c>
      <c r="E474">
        <f t="shared" si="31"/>
        <v>1</v>
      </c>
      <c r="F474" t="s">
        <v>230</v>
      </c>
      <c r="G474" t="s">
        <v>101</v>
      </c>
      <c r="H474" t="s">
        <v>273</v>
      </c>
      <c r="I474">
        <v>1</v>
      </c>
      <c r="J474">
        <v>34</v>
      </c>
      <c r="K474">
        <f t="shared" si="30"/>
        <v>94</v>
      </c>
      <c r="R474" t="s">
        <v>1348</v>
      </c>
    </row>
    <row r="475" spans="1:18" x14ac:dyDescent="0.25">
      <c r="A475" t="s">
        <v>341</v>
      </c>
      <c r="B475" s="4">
        <v>39634</v>
      </c>
      <c r="C475" s="9">
        <f t="shared" si="28"/>
        <v>7</v>
      </c>
      <c r="D475">
        <f t="shared" si="29"/>
        <v>2008</v>
      </c>
      <c r="E475">
        <f t="shared" si="31"/>
        <v>1</v>
      </c>
      <c r="F475" t="s">
        <v>230</v>
      </c>
      <c r="G475" t="s">
        <v>247</v>
      </c>
      <c r="H475" t="s">
        <v>250</v>
      </c>
      <c r="J475">
        <v>8</v>
      </c>
      <c r="K475">
        <f t="shared" si="30"/>
        <v>8</v>
      </c>
      <c r="L475" t="s">
        <v>311</v>
      </c>
      <c r="M475" t="s">
        <v>260</v>
      </c>
      <c r="R475" t="s">
        <v>1348</v>
      </c>
    </row>
    <row r="476" spans="1:18" x14ac:dyDescent="0.25">
      <c r="A476" t="s">
        <v>341</v>
      </c>
      <c r="B476" s="4">
        <v>39648</v>
      </c>
      <c r="C476" s="9">
        <f t="shared" si="28"/>
        <v>7</v>
      </c>
      <c r="D476">
        <f t="shared" si="29"/>
        <v>2008</v>
      </c>
      <c r="E476">
        <f t="shared" si="31"/>
        <v>1</v>
      </c>
      <c r="F476" t="s">
        <v>297</v>
      </c>
      <c r="G476" t="s">
        <v>101</v>
      </c>
      <c r="H476" t="s">
        <v>273</v>
      </c>
      <c r="J476">
        <v>28</v>
      </c>
      <c r="K476">
        <f t="shared" si="30"/>
        <v>28</v>
      </c>
      <c r="R476" t="s">
        <v>1348</v>
      </c>
    </row>
    <row r="477" spans="1:18" x14ac:dyDescent="0.25">
      <c r="A477" t="s">
        <v>341</v>
      </c>
      <c r="B477" s="4">
        <v>39654</v>
      </c>
      <c r="C477" s="9">
        <f t="shared" si="28"/>
        <v>7</v>
      </c>
      <c r="D477">
        <f t="shared" si="29"/>
        <v>2008</v>
      </c>
      <c r="E477">
        <f t="shared" si="31"/>
        <v>1</v>
      </c>
      <c r="F477" t="s">
        <v>230</v>
      </c>
      <c r="G477" t="s">
        <v>409</v>
      </c>
      <c r="H477" t="s">
        <v>153</v>
      </c>
      <c r="I477">
        <v>1</v>
      </c>
      <c r="J477">
        <v>40</v>
      </c>
      <c r="K477">
        <f t="shared" si="30"/>
        <v>100</v>
      </c>
      <c r="M477" t="s">
        <v>321</v>
      </c>
      <c r="R477" t="s">
        <v>1348</v>
      </c>
    </row>
    <row r="478" spans="1:18" x14ac:dyDescent="0.25">
      <c r="A478" t="s">
        <v>341</v>
      </c>
      <c r="B478" s="4">
        <v>39656</v>
      </c>
      <c r="C478" s="9">
        <f t="shared" si="28"/>
        <v>7</v>
      </c>
      <c r="D478">
        <f t="shared" si="29"/>
        <v>2008</v>
      </c>
      <c r="E478">
        <f t="shared" si="31"/>
        <v>1</v>
      </c>
      <c r="F478" t="s">
        <v>230</v>
      </c>
      <c r="G478" t="s">
        <v>301</v>
      </c>
      <c r="H478" t="s">
        <v>312</v>
      </c>
      <c r="J478">
        <v>24</v>
      </c>
      <c r="K478">
        <f t="shared" si="30"/>
        <v>24</v>
      </c>
      <c r="M478" t="s">
        <v>313</v>
      </c>
      <c r="R478" t="s">
        <v>1348</v>
      </c>
    </row>
    <row r="479" spans="1:18" x14ac:dyDescent="0.25">
      <c r="A479" t="s">
        <v>341</v>
      </c>
      <c r="B479" s="4">
        <v>39657</v>
      </c>
      <c r="C479" s="9">
        <f t="shared" si="28"/>
        <v>7</v>
      </c>
      <c r="D479">
        <f t="shared" si="29"/>
        <v>2008</v>
      </c>
      <c r="E479">
        <f t="shared" si="31"/>
        <v>1</v>
      </c>
      <c r="F479" t="s">
        <v>297</v>
      </c>
      <c r="G479" t="s">
        <v>101</v>
      </c>
      <c r="H479" t="s">
        <v>273</v>
      </c>
      <c r="I479">
        <v>1</v>
      </c>
      <c r="J479">
        <v>41</v>
      </c>
      <c r="K479">
        <f t="shared" si="30"/>
        <v>101</v>
      </c>
      <c r="M479" t="s">
        <v>317</v>
      </c>
      <c r="R479" t="s">
        <v>1348</v>
      </c>
    </row>
    <row r="480" spans="1:18" x14ac:dyDescent="0.25">
      <c r="A480" t="s">
        <v>341</v>
      </c>
      <c r="B480" s="4">
        <v>39659</v>
      </c>
      <c r="C480" s="9">
        <f t="shared" si="28"/>
        <v>7</v>
      </c>
      <c r="D480">
        <f t="shared" si="29"/>
        <v>2008</v>
      </c>
      <c r="E480">
        <f t="shared" si="31"/>
        <v>1</v>
      </c>
      <c r="F480" t="s">
        <v>297</v>
      </c>
      <c r="G480" t="s">
        <v>101</v>
      </c>
      <c r="H480" t="s">
        <v>273</v>
      </c>
      <c r="I480">
        <v>1</v>
      </c>
      <c r="J480">
        <v>45</v>
      </c>
      <c r="K480">
        <f t="shared" si="30"/>
        <v>105</v>
      </c>
      <c r="M480" t="s">
        <v>318</v>
      </c>
      <c r="R480" t="s">
        <v>1348</v>
      </c>
    </row>
    <row r="481" spans="1:18" x14ac:dyDescent="0.25">
      <c r="A481" t="s">
        <v>341</v>
      </c>
      <c r="B481" s="4">
        <v>39660</v>
      </c>
      <c r="C481" s="9">
        <f t="shared" si="28"/>
        <v>7</v>
      </c>
      <c r="D481">
        <f t="shared" si="29"/>
        <v>2008</v>
      </c>
      <c r="E481">
        <f t="shared" si="31"/>
        <v>1</v>
      </c>
      <c r="F481" t="s">
        <v>297</v>
      </c>
      <c r="G481" t="s">
        <v>101</v>
      </c>
      <c r="H481" t="s">
        <v>319</v>
      </c>
      <c r="I481">
        <v>3</v>
      </c>
      <c r="J481">
        <v>6</v>
      </c>
      <c r="K481">
        <f t="shared" si="30"/>
        <v>186</v>
      </c>
      <c r="R481" t="s">
        <v>1348</v>
      </c>
    </row>
    <row r="482" spans="1:18" x14ac:dyDescent="0.25">
      <c r="A482" t="s">
        <v>341</v>
      </c>
      <c r="B482" s="4">
        <v>39661</v>
      </c>
      <c r="C482" s="9">
        <f t="shared" si="28"/>
        <v>8</v>
      </c>
      <c r="D482">
        <f t="shared" si="29"/>
        <v>2008</v>
      </c>
      <c r="E482">
        <f t="shared" si="31"/>
        <v>1</v>
      </c>
      <c r="F482" t="s">
        <v>297</v>
      </c>
      <c r="G482" t="s">
        <v>101</v>
      </c>
      <c r="H482" t="s">
        <v>273</v>
      </c>
      <c r="J482">
        <v>16</v>
      </c>
      <c r="K482">
        <f t="shared" si="30"/>
        <v>16</v>
      </c>
      <c r="R482" t="s">
        <v>1348</v>
      </c>
    </row>
    <row r="483" spans="1:18" x14ac:dyDescent="0.25">
      <c r="A483" t="s">
        <v>341</v>
      </c>
      <c r="B483" s="4">
        <v>39662</v>
      </c>
      <c r="C483" s="9">
        <f t="shared" si="28"/>
        <v>8</v>
      </c>
      <c r="D483">
        <f t="shared" si="29"/>
        <v>2008</v>
      </c>
      <c r="E483">
        <f t="shared" si="31"/>
        <v>1</v>
      </c>
      <c r="F483" t="s">
        <v>297</v>
      </c>
      <c r="G483" t="s">
        <v>302</v>
      </c>
      <c r="H483" t="s">
        <v>273</v>
      </c>
      <c r="I483">
        <v>1</v>
      </c>
      <c r="J483">
        <v>48</v>
      </c>
      <c r="K483">
        <f t="shared" si="30"/>
        <v>108</v>
      </c>
      <c r="R483" t="s">
        <v>1348</v>
      </c>
    </row>
    <row r="484" spans="1:18" x14ac:dyDescent="0.25">
      <c r="A484" t="s">
        <v>341</v>
      </c>
      <c r="B484" s="4">
        <v>39663</v>
      </c>
      <c r="C484" s="9">
        <f t="shared" si="28"/>
        <v>8</v>
      </c>
      <c r="D484">
        <f t="shared" si="29"/>
        <v>2008</v>
      </c>
      <c r="E484">
        <f t="shared" si="31"/>
        <v>1</v>
      </c>
      <c r="F484" t="s">
        <v>297</v>
      </c>
      <c r="G484" t="s">
        <v>406</v>
      </c>
      <c r="H484" t="s">
        <v>153</v>
      </c>
      <c r="I484">
        <v>2</v>
      </c>
      <c r="J484">
        <v>33</v>
      </c>
      <c r="K484">
        <f t="shared" si="30"/>
        <v>153</v>
      </c>
      <c r="R484" t="s">
        <v>1348</v>
      </c>
    </row>
    <row r="485" spans="1:18" x14ac:dyDescent="0.25">
      <c r="A485" t="s">
        <v>341</v>
      </c>
      <c r="B485" s="4">
        <v>39666</v>
      </c>
      <c r="C485" s="9">
        <f t="shared" si="28"/>
        <v>8</v>
      </c>
      <c r="D485">
        <f t="shared" si="29"/>
        <v>2008</v>
      </c>
      <c r="E485">
        <f t="shared" si="31"/>
        <v>1</v>
      </c>
      <c r="F485" t="s">
        <v>297</v>
      </c>
      <c r="G485" t="s">
        <v>7</v>
      </c>
      <c r="H485" t="s">
        <v>55</v>
      </c>
      <c r="J485">
        <v>19</v>
      </c>
      <c r="K485">
        <f t="shared" si="30"/>
        <v>19</v>
      </c>
      <c r="R485" t="s">
        <v>1348</v>
      </c>
    </row>
    <row r="486" spans="1:18" x14ac:dyDescent="0.25">
      <c r="A486" t="s">
        <v>341</v>
      </c>
      <c r="B486" s="4">
        <v>39669</v>
      </c>
      <c r="C486" s="9">
        <f t="shared" si="28"/>
        <v>8</v>
      </c>
      <c r="D486">
        <f t="shared" si="29"/>
        <v>2008</v>
      </c>
      <c r="E486">
        <f t="shared" si="31"/>
        <v>1</v>
      </c>
      <c r="F486" t="s">
        <v>297</v>
      </c>
      <c r="G486" t="s">
        <v>302</v>
      </c>
      <c r="H486" t="s">
        <v>273</v>
      </c>
      <c r="I486">
        <v>1</v>
      </c>
      <c r="J486">
        <v>12</v>
      </c>
      <c r="K486">
        <f t="shared" si="30"/>
        <v>72</v>
      </c>
      <c r="R486" t="s">
        <v>1348</v>
      </c>
    </row>
    <row r="487" spans="1:18" x14ac:dyDescent="0.25">
      <c r="A487" t="s">
        <v>341</v>
      </c>
      <c r="B487" s="4">
        <v>39670</v>
      </c>
      <c r="C487" s="9">
        <f t="shared" si="28"/>
        <v>8</v>
      </c>
      <c r="D487">
        <f t="shared" si="29"/>
        <v>2008</v>
      </c>
      <c r="E487">
        <f t="shared" si="31"/>
        <v>1</v>
      </c>
      <c r="F487" t="s">
        <v>297</v>
      </c>
      <c r="G487" t="s">
        <v>101</v>
      </c>
      <c r="H487" t="s">
        <v>320</v>
      </c>
      <c r="I487">
        <v>2</v>
      </c>
      <c r="J487">
        <v>48</v>
      </c>
      <c r="K487">
        <f t="shared" si="30"/>
        <v>168</v>
      </c>
      <c r="R487" t="s">
        <v>1348</v>
      </c>
    </row>
    <row r="488" spans="1:18" x14ac:dyDescent="0.25">
      <c r="A488" t="s">
        <v>341</v>
      </c>
      <c r="B488" s="4">
        <v>39684</v>
      </c>
      <c r="C488" s="9">
        <f t="shared" si="28"/>
        <v>8</v>
      </c>
      <c r="D488">
        <f t="shared" si="29"/>
        <v>2008</v>
      </c>
      <c r="E488">
        <f t="shared" si="31"/>
        <v>1</v>
      </c>
      <c r="F488" t="s">
        <v>297</v>
      </c>
      <c r="G488" t="s">
        <v>302</v>
      </c>
      <c r="H488" t="s">
        <v>273</v>
      </c>
      <c r="I488">
        <v>1</v>
      </c>
      <c r="J488">
        <v>49</v>
      </c>
      <c r="K488">
        <f t="shared" si="30"/>
        <v>109</v>
      </c>
      <c r="R488" t="s">
        <v>1348</v>
      </c>
    </row>
    <row r="489" spans="1:18" x14ac:dyDescent="0.25">
      <c r="A489" t="s">
        <v>341</v>
      </c>
      <c r="B489" s="4">
        <v>39690</v>
      </c>
      <c r="C489" s="9">
        <f t="shared" si="28"/>
        <v>8</v>
      </c>
      <c r="D489">
        <f t="shared" si="29"/>
        <v>2008</v>
      </c>
      <c r="E489">
        <f t="shared" si="31"/>
        <v>1</v>
      </c>
      <c r="F489" t="s">
        <v>297</v>
      </c>
      <c r="G489" t="s">
        <v>302</v>
      </c>
      <c r="H489" t="s">
        <v>273</v>
      </c>
      <c r="I489">
        <v>2</v>
      </c>
      <c r="J489">
        <v>41</v>
      </c>
      <c r="K489">
        <f t="shared" si="30"/>
        <v>161</v>
      </c>
      <c r="M489" t="s">
        <v>322</v>
      </c>
      <c r="R489" t="s">
        <v>1348</v>
      </c>
    </row>
    <row r="490" spans="1:18" x14ac:dyDescent="0.25">
      <c r="A490" t="s">
        <v>341</v>
      </c>
      <c r="B490" s="4">
        <v>39690</v>
      </c>
      <c r="C490" s="9">
        <f t="shared" si="28"/>
        <v>8</v>
      </c>
      <c r="D490">
        <f t="shared" si="29"/>
        <v>2008</v>
      </c>
      <c r="E490">
        <f t="shared" si="31"/>
        <v>0</v>
      </c>
      <c r="F490" t="s">
        <v>297</v>
      </c>
      <c r="G490" t="s">
        <v>303</v>
      </c>
      <c r="H490" t="s">
        <v>273</v>
      </c>
      <c r="J490">
        <v>29</v>
      </c>
      <c r="K490">
        <f t="shared" si="30"/>
        <v>29</v>
      </c>
      <c r="R490" t="s">
        <v>1348</v>
      </c>
    </row>
    <row r="491" spans="1:18" x14ac:dyDescent="0.25">
      <c r="A491" t="s">
        <v>341</v>
      </c>
      <c r="B491" s="4">
        <v>39691</v>
      </c>
      <c r="C491" s="9">
        <f t="shared" si="28"/>
        <v>8</v>
      </c>
      <c r="D491">
        <f t="shared" si="29"/>
        <v>2008</v>
      </c>
      <c r="E491">
        <f t="shared" si="31"/>
        <v>1</v>
      </c>
      <c r="F491" t="s">
        <v>297</v>
      </c>
      <c r="G491" t="s">
        <v>101</v>
      </c>
      <c r="H491" t="s">
        <v>273</v>
      </c>
      <c r="J491">
        <v>9</v>
      </c>
      <c r="K491">
        <f t="shared" si="30"/>
        <v>9</v>
      </c>
      <c r="O491">
        <v>-17.8</v>
      </c>
      <c r="R491" t="s">
        <v>1348</v>
      </c>
    </row>
    <row r="492" spans="1:18" x14ac:dyDescent="0.25">
      <c r="A492" t="s">
        <v>341</v>
      </c>
      <c r="B492" s="4">
        <v>39699</v>
      </c>
      <c r="C492" s="9">
        <f t="shared" si="28"/>
        <v>9</v>
      </c>
      <c r="D492">
        <f t="shared" si="29"/>
        <v>2008</v>
      </c>
      <c r="E492">
        <f t="shared" si="31"/>
        <v>1</v>
      </c>
      <c r="F492" t="s">
        <v>297</v>
      </c>
      <c r="G492" t="s">
        <v>249</v>
      </c>
      <c r="H492" t="s">
        <v>238</v>
      </c>
      <c r="J492">
        <v>50</v>
      </c>
      <c r="K492">
        <f t="shared" si="30"/>
        <v>50</v>
      </c>
      <c r="L492" t="s">
        <v>239</v>
      </c>
      <c r="M492" t="s">
        <v>324</v>
      </c>
      <c r="R492" t="s">
        <v>1349</v>
      </c>
    </row>
    <row r="493" spans="1:18" x14ac:dyDescent="0.25">
      <c r="A493" t="s">
        <v>341</v>
      </c>
      <c r="B493" s="4">
        <v>39700</v>
      </c>
      <c r="C493" s="9">
        <f t="shared" si="28"/>
        <v>9</v>
      </c>
      <c r="D493">
        <f t="shared" si="29"/>
        <v>2008</v>
      </c>
      <c r="E493">
        <f t="shared" si="31"/>
        <v>1</v>
      </c>
      <c r="F493" t="s">
        <v>297</v>
      </c>
      <c r="G493" t="s">
        <v>237</v>
      </c>
      <c r="H493" t="s">
        <v>240</v>
      </c>
      <c r="I493">
        <v>2</v>
      </c>
      <c r="J493">
        <v>35</v>
      </c>
      <c r="K493">
        <f t="shared" si="30"/>
        <v>155</v>
      </c>
      <c r="L493" t="s">
        <v>239</v>
      </c>
      <c r="R493" t="s">
        <v>1349</v>
      </c>
    </row>
    <row r="494" spans="1:18" x14ac:dyDescent="0.25">
      <c r="A494" t="s">
        <v>341</v>
      </c>
      <c r="B494" s="4">
        <v>39700</v>
      </c>
      <c r="C494" s="9">
        <f t="shared" si="28"/>
        <v>9</v>
      </c>
      <c r="D494">
        <f t="shared" si="29"/>
        <v>2008</v>
      </c>
      <c r="E494">
        <f t="shared" si="31"/>
        <v>0</v>
      </c>
      <c r="F494" t="s">
        <v>297</v>
      </c>
      <c r="G494" t="s">
        <v>240</v>
      </c>
      <c r="H494" t="s">
        <v>238</v>
      </c>
      <c r="J494">
        <v>36</v>
      </c>
      <c r="K494">
        <f t="shared" si="30"/>
        <v>36</v>
      </c>
      <c r="L494" t="s">
        <v>239</v>
      </c>
      <c r="R494" t="s">
        <v>1349</v>
      </c>
    </row>
    <row r="495" spans="1:18" x14ac:dyDescent="0.25">
      <c r="A495" t="s">
        <v>341</v>
      </c>
      <c r="B495" s="4">
        <v>39701</v>
      </c>
      <c r="C495" s="9">
        <f t="shared" si="28"/>
        <v>9</v>
      </c>
      <c r="D495">
        <f t="shared" si="29"/>
        <v>2008</v>
      </c>
      <c r="E495">
        <f t="shared" si="31"/>
        <v>1</v>
      </c>
      <c r="F495" t="s">
        <v>297</v>
      </c>
      <c r="G495" t="s">
        <v>237</v>
      </c>
      <c r="H495" t="s">
        <v>238</v>
      </c>
      <c r="I495">
        <v>1</v>
      </c>
      <c r="J495">
        <v>38</v>
      </c>
      <c r="K495">
        <f t="shared" si="30"/>
        <v>98</v>
      </c>
      <c r="L495" t="s">
        <v>239</v>
      </c>
      <c r="R495" t="s">
        <v>1349</v>
      </c>
    </row>
    <row r="496" spans="1:18" x14ac:dyDescent="0.25">
      <c r="A496" t="s">
        <v>341</v>
      </c>
      <c r="B496" s="4">
        <v>39701</v>
      </c>
      <c r="C496" s="9">
        <f t="shared" si="28"/>
        <v>9</v>
      </c>
      <c r="D496">
        <f t="shared" si="29"/>
        <v>2008</v>
      </c>
      <c r="E496">
        <f t="shared" si="31"/>
        <v>0</v>
      </c>
      <c r="F496" t="s">
        <v>297</v>
      </c>
      <c r="G496" t="s">
        <v>240</v>
      </c>
      <c r="H496" t="s">
        <v>238</v>
      </c>
      <c r="J496">
        <v>18</v>
      </c>
      <c r="K496">
        <f t="shared" si="30"/>
        <v>18</v>
      </c>
      <c r="L496" t="s">
        <v>239</v>
      </c>
      <c r="R496" t="s">
        <v>1349</v>
      </c>
    </row>
    <row r="497" spans="1:19" x14ac:dyDescent="0.25">
      <c r="A497" t="s">
        <v>341</v>
      </c>
      <c r="B497" s="4">
        <v>39702</v>
      </c>
      <c r="C497" s="9">
        <f t="shared" si="28"/>
        <v>9</v>
      </c>
      <c r="D497">
        <f t="shared" si="29"/>
        <v>2008</v>
      </c>
      <c r="E497">
        <f t="shared" si="31"/>
        <v>1</v>
      </c>
      <c r="F497" t="s">
        <v>297</v>
      </c>
      <c r="G497" t="s">
        <v>237</v>
      </c>
      <c r="H497" t="s">
        <v>238</v>
      </c>
      <c r="I497">
        <v>1</v>
      </c>
      <c r="J497">
        <v>27</v>
      </c>
      <c r="K497">
        <f t="shared" si="30"/>
        <v>87</v>
      </c>
      <c r="L497" t="s">
        <v>239</v>
      </c>
      <c r="M497" t="s">
        <v>331</v>
      </c>
      <c r="R497" t="s">
        <v>1349</v>
      </c>
    </row>
    <row r="498" spans="1:19" x14ac:dyDescent="0.25">
      <c r="A498" t="s">
        <v>341</v>
      </c>
      <c r="B498" s="4">
        <v>39703</v>
      </c>
      <c r="C498" s="9">
        <f t="shared" si="28"/>
        <v>9</v>
      </c>
      <c r="D498">
        <f t="shared" si="29"/>
        <v>2008</v>
      </c>
      <c r="E498">
        <f t="shared" si="31"/>
        <v>1</v>
      </c>
      <c r="F498" t="s">
        <v>298</v>
      </c>
      <c r="G498" t="s">
        <v>304</v>
      </c>
      <c r="H498" t="s">
        <v>238</v>
      </c>
      <c r="I498">
        <v>1</v>
      </c>
      <c r="J498">
        <v>18</v>
      </c>
      <c r="K498">
        <f t="shared" si="30"/>
        <v>78</v>
      </c>
      <c r="L498" t="s">
        <v>239</v>
      </c>
      <c r="R498" t="s">
        <v>1349</v>
      </c>
    </row>
    <row r="499" spans="1:19" x14ac:dyDescent="0.25">
      <c r="A499" t="s">
        <v>341</v>
      </c>
      <c r="B499" s="4">
        <v>39711</v>
      </c>
      <c r="C499" s="9">
        <f t="shared" si="28"/>
        <v>9</v>
      </c>
      <c r="D499">
        <f t="shared" si="29"/>
        <v>2008</v>
      </c>
      <c r="E499">
        <f t="shared" si="31"/>
        <v>1</v>
      </c>
      <c r="F499" t="s">
        <v>297</v>
      </c>
      <c r="G499" t="s">
        <v>101</v>
      </c>
      <c r="H499" t="s">
        <v>741</v>
      </c>
      <c r="I499">
        <v>1</v>
      </c>
      <c r="J499">
        <v>25</v>
      </c>
      <c r="K499">
        <f t="shared" si="30"/>
        <v>85</v>
      </c>
      <c r="M499" t="s">
        <v>325</v>
      </c>
      <c r="R499" t="s">
        <v>1348</v>
      </c>
    </row>
    <row r="500" spans="1:19" x14ac:dyDescent="0.25">
      <c r="A500" t="s">
        <v>341</v>
      </c>
      <c r="B500" s="4">
        <v>39713</v>
      </c>
      <c r="C500" s="9">
        <f t="shared" si="28"/>
        <v>9</v>
      </c>
      <c r="D500">
        <f t="shared" si="29"/>
        <v>2008</v>
      </c>
      <c r="E500">
        <f t="shared" si="31"/>
        <v>1</v>
      </c>
      <c r="F500" t="s">
        <v>297</v>
      </c>
      <c r="G500" t="s">
        <v>305</v>
      </c>
      <c r="H500" t="s">
        <v>326</v>
      </c>
      <c r="J500">
        <v>17</v>
      </c>
      <c r="K500">
        <f t="shared" si="30"/>
        <v>17</v>
      </c>
      <c r="L500" t="s">
        <v>323</v>
      </c>
      <c r="M500" t="s">
        <v>330</v>
      </c>
      <c r="R500" t="s">
        <v>1348</v>
      </c>
    </row>
    <row r="501" spans="1:19" x14ac:dyDescent="0.25">
      <c r="A501" t="s">
        <v>341</v>
      </c>
      <c r="B501" s="4">
        <v>39713</v>
      </c>
      <c r="C501" s="9">
        <f t="shared" si="28"/>
        <v>9</v>
      </c>
      <c r="D501">
        <f t="shared" si="29"/>
        <v>2008</v>
      </c>
      <c r="E501">
        <f t="shared" si="31"/>
        <v>0</v>
      </c>
      <c r="F501" t="s">
        <v>297</v>
      </c>
      <c r="G501" t="s">
        <v>306</v>
      </c>
      <c r="H501" t="s">
        <v>327</v>
      </c>
      <c r="J501">
        <v>20</v>
      </c>
      <c r="K501">
        <f t="shared" si="30"/>
        <v>20</v>
      </c>
      <c r="L501" t="s">
        <v>323</v>
      </c>
      <c r="R501" t="s">
        <v>1348</v>
      </c>
    </row>
    <row r="502" spans="1:19" x14ac:dyDescent="0.25">
      <c r="A502" t="s">
        <v>341</v>
      </c>
      <c r="B502" s="4">
        <v>39714</v>
      </c>
      <c r="C502" s="9">
        <f t="shared" si="28"/>
        <v>9</v>
      </c>
      <c r="D502">
        <f t="shared" si="29"/>
        <v>2008</v>
      </c>
      <c r="E502">
        <f t="shared" si="31"/>
        <v>1</v>
      </c>
      <c r="F502" t="s">
        <v>297</v>
      </c>
      <c r="G502" t="s">
        <v>307</v>
      </c>
      <c r="H502" t="s">
        <v>328</v>
      </c>
      <c r="J502">
        <v>49</v>
      </c>
      <c r="K502">
        <f t="shared" si="30"/>
        <v>49</v>
      </c>
      <c r="L502" t="s">
        <v>323</v>
      </c>
      <c r="R502" t="s">
        <v>1348</v>
      </c>
    </row>
    <row r="503" spans="1:19" x14ac:dyDescent="0.25">
      <c r="A503" t="s">
        <v>341</v>
      </c>
      <c r="B503" s="4">
        <v>39715</v>
      </c>
      <c r="C503" s="9">
        <f t="shared" si="28"/>
        <v>9</v>
      </c>
      <c r="D503">
        <f t="shared" si="29"/>
        <v>2008</v>
      </c>
      <c r="E503">
        <f t="shared" si="31"/>
        <v>1</v>
      </c>
      <c r="F503" t="s">
        <v>297</v>
      </c>
      <c r="G503" t="s">
        <v>308</v>
      </c>
      <c r="H503" t="s">
        <v>328</v>
      </c>
      <c r="J503">
        <v>6</v>
      </c>
      <c r="K503">
        <f t="shared" si="30"/>
        <v>6</v>
      </c>
      <c r="L503" t="s">
        <v>323</v>
      </c>
      <c r="R503" t="s">
        <v>1348</v>
      </c>
    </row>
    <row r="504" spans="1:19" x14ac:dyDescent="0.25">
      <c r="A504" t="s">
        <v>341</v>
      </c>
      <c r="B504" s="4">
        <v>39715</v>
      </c>
      <c r="C504" s="9">
        <f t="shared" si="28"/>
        <v>9</v>
      </c>
      <c r="D504">
        <f t="shared" si="29"/>
        <v>2008</v>
      </c>
      <c r="E504">
        <f t="shared" si="31"/>
        <v>0</v>
      </c>
      <c r="F504" t="s">
        <v>297</v>
      </c>
      <c r="G504" t="s">
        <v>308</v>
      </c>
      <c r="H504" t="s">
        <v>329</v>
      </c>
      <c r="J504">
        <v>8</v>
      </c>
      <c r="K504">
        <f t="shared" si="30"/>
        <v>8</v>
      </c>
      <c r="L504" t="s">
        <v>323</v>
      </c>
      <c r="R504" t="s">
        <v>1348</v>
      </c>
    </row>
    <row r="505" spans="1:19" x14ac:dyDescent="0.25">
      <c r="A505" t="s">
        <v>341</v>
      </c>
      <c r="B505" s="4">
        <v>39715</v>
      </c>
      <c r="C505" s="9">
        <f t="shared" si="28"/>
        <v>9</v>
      </c>
      <c r="D505">
        <f t="shared" ref="D505:D529" si="32">YEAR(B505)</f>
        <v>2008</v>
      </c>
      <c r="E505">
        <f t="shared" si="31"/>
        <v>0</v>
      </c>
      <c r="F505" t="s">
        <v>297</v>
      </c>
      <c r="G505" t="s">
        <v>307</v>
      </c>
      <c r="H505" t="s">
        <v>328</v>
      </c>
      <c r="I505">
        <v>1</v>
      </c>
      <c r="J505">
        <v>3</v>
      </c>
      <c r="K505">
        <f t="shared" ref="K505:K529" si="33">I505*60+J505</f>
        <v>63</v>
      </c>
      <c r="L505" t="s">
        <v>323</v>
      </c>
      <c r="M505" t="s">
        <v>334</v>
      </c>
      <c r="O505">
        <v>-19.8</v>
      </c>
      <c r="R505" t="s">
        <v>1348</v>
      </c>
    </row>
    <row r="506" spans="1:19" x14ac:dyDescent="0.25">
      <c r="A506" t="s">
        <v>341</v>
      </c>
      <c r="B506" s="4">
        <v>39715</v>
      </c>
      <c r="C506" s="9">
        <f t="shared" si="28"/>
        <v>9</v>
      </c>
      <c r="D506">
        <f t="shared" si="32"/>
        <v>2008</v>
      </c>
      <c r="E506">
        <f t="shared" si="31"/>
        <v>0</v>
      </c>
      <c r="F506" t="s">
        <v>297</v>
      </c>
      <c r="G506" t="s">
        <v>309</v>
      </c>
      <c r="H506" t="s">
        <v>332</v>
      </c>
      <c r="J506">
        <v>58</v>
      </c>
      <c r="K506">
        <f t="shared" si="33"/>
        <v>58</v>
      </c>
      <c r="L506" t="s">
        <v>323</v>
      </c>
      <c r="R506" t="s">
        <v>1348</v>
      </c>
    </row>
    <row r="507" spans="1:19" x14ac:dyDescent="0.25">
      <c r="A507" t="s">
        <v>341</v>
      </c>
      <c r="B507" s="4">
        <v>39716</v>
      </c>
      <c r="C507" s="9">
        <f t="shared" si="28"/>
        <v>9</v>
      </c>
      <c r="D507">
        <f t="shared" si="32"/>
        <v>2008</v>
      </c>
      <c r="E507">
        <f t="shared" si="31"/>
        <v>1</v>
      </c>
      <c r="F507" t="s">
        <v>297</v>
      </c>
      <c r="G507" t="s">
        <v>310</v>
      </c>
      <c r="H507" t="s">
        <v>333</v>
      </c>
      <c r="J507">
        <v>14</v>
      </c>
      <c r="K507">
        <f t="shared" si="33"/>
        <v>14</v>
      </c>
      <c r="L507" t="s">
        <v>323</v>
      </c>
      <c r="R507" t="s">
        <v>1348</v>
      </c>
    </row>
    <row r="508" spans="1:19" x14ac:dyDescent="0.25">
      <c r="A508" t="s">
        <v>341</v>
      </c>
      <c r="B508" s="4">
        <v>39716</v>
      </c>
      <c r="C508" s="9">
        <f t="shared" si="28"/>
        <v>9</v>
      </c>
      <c r="D508">
        <f t="shared" si="32"/>
        <v>2008</v>
      </c>
      <c r="E508">
        <f t="shared" si="31"/>
        <v>0</v>
      </c>
      <c r="F508" t="s">
        <v>297</v>
      </c>
      <c r="G508" t="s">
        <v>310</v>
      </c>
      <c r="H508" t="s">
        <v>333</v>
      </c>
      <c r="J508">
        <v>13</v>
      </c>
      <c r="K508">
        <f t="shared" si="33"/>
        <v>13</v>
      </c>
      <c r="L508" t="s">
        <v>323</v>
      </c>
      <c r="R508" t="s">
        <v>1348</v>
      </c>
    </row>
    <row r="509" spans="1:19" x14ac:dyDescent="0.25">
      <c r="A509" t="s">
        <v>341</v>
      </c>
      <c r="B509" s="4">
        <v>39739</v>
      </c>
      <c r="C509" s="9">
        <f t="shared" si="28"/>
        <v>10</v>
      </c>
      <c r="D509">
        <f t="shared" si="32"/>
        <v>2008</v>
      </c>
      <c r="E509">
        <v>1</v>
      </c>
      <c r="F509" t="s">
        <v>297</v>
      </c>
      <c r="G509" t="s">
        <v>101</v>
      </c>
      <c r="H509" t="s">
        <v>273</v>
      </c>
      <c r="J509">
        <v>14</v>
      </c>
      <c r="K509">
        <f t="shared" si="33"/>
        <v>14</v>
      </c>
      <c r="L509" t="s">
        <v>335</v>
      </c>
      <c r="R509" t="s">
        <v>1348</v>
      </c>
      <c r="S509" t="s">
        <v>1367</v>
      </c>
    </row>
    <row r="510" spans="1:19" x14ac:dyDescent="0.25">
      <c r="A510" t="s">
        <v>341</v>
      </c>
      <c r="B510" s="4">
        <v>39739</v>
      </c>
      <c r="C510" s="9">
        <f t="shared" si="28"/>
        <v>10</v>
      </c>
      <c r="D510">
        <f t="shared" si="32"/>
        <v>2008</v>
      </c>
      <c r="E510">
        <f t="shared" si="31"/>
        <v>0</v>
      </c>
      <c r="F510" t="s">
        <v>297</v>
      </c>
      <c r="G510" t="s">
        <v>101</v>
      </c>
      <c r="H510" t="s">
        <v>273</v>
      </c>
      <c r="J510">
        <v>17</v>
      </c>
      <c r="K510">
        <f t="shared" si="33"/>
        <v>17</v>
      </c>
      <c r="L510" t="s">
        <v>335</v>
      </c>
      <c r="R510" t="s">
        <v>1348</v>
      </c>
      <c r="S510" t="s">
        <v>1367</v>
      </c>
    </row>
    <row r="511" spans="1:19" x14ac:dyDescent="0.25">
      <c r="A511" t="s">
        <v>341</v>
      </c>
      <c r="B511" s="4">
        <v>39739</v>
      </c>
      <c r="C511" s="9">
        <f t="shared" si="28"/>
        <v>10</v>
      </c>
      <c r="D511">
        <f t="shared" si="32"/>
        <v>2008</v>
      </c>
      <c r="E511">
        <f t="shared" si="31"/>
        <v>0</v>
      </c>
      <c r="F511" t="s">
        <v>297</v>
      </c>
      <c r="G511" t="s">
        <v>101</v>
      </c>
      <c r="H511" t="s">
        <v>273</v>
      </c>
      <c r="J511">
        <v>30</v>
      </c>
      <c r="K511">
        <f t="shared" si="33"/>
        <v>30</v>
      </c>
      <c r="L511" t="s">
        <v>335</v>
      </c>
      <c r="R511" t="s">
        <v>1348</v>
      </c>
      <c r="S511" t="s">
        <v>1367</v>
      </c>
    </row>
    <row r="512" spans="1:19" x14ac:dyDescent="0.25">
      <c r="A512" t="s">
        <v>341</v>
      </c>
      <c r="B512" s="4">
        <v>39740</v>
      </c>
      <c r="C512" s="9">
        <f t="shared" si="28"/>
        <v>10</v>
      </c>
      <c r="D512">
        <f t="shared" si="32"/>
        <v>2008</v>
      </c>
      <c r="E512">
        <v>1</v>
      </c>
      <c r="F512" t="s">
        <v>297</v>
      </c>
      <c r="G512" t="s">
        <v>101</v>
      </c>
      <c r="H512" t="s">
        <v>273</v>
      </c>
      <c r="J512">
        <v>20</v>
      </c>
      <c r="K512">
        <f t="shared" si="33"/>
        <v>20</v>
      </c>
      <c r="L512" t="s">
        <v>335</v>
      </c>
      <c r="R512" t="s">
        <v>1348</v>
      </c>
      <c r="S512" t="s">
        <v>1367</v>
      </c>
    </row>
    <row r="513" spans="1:19" x14ac:dyDescent="0.25">
      <c r="A513" t="s">
        <v>341</v>
      </c>
      <c r="B513" s="4">
        <v>39740</v>
      </c>
      <c r="C513" s="9">
        <f t="shared" si="28"/>
        <v>10</v>
      </c>
      <c r="D513">
        <f t="shared" si="32"/>
        <v>2008</v>
      </c>
      <c r="E513">
        <f t="shared" si="31"/>
        <v>0</v>
      </c>
      <c r="F513" t="s">
        <v>297</v>
      </c>
      <c r="G513" t="s">
        <v>101</v>
      </c>
      <c r="H513" t="s">
        <v>273</v>
      </c>
      <c r="J513">
        <v>18</v>
      </c>
      <c r="K513">
        <f t="shared" si="33"/>
        <v>18</v>
      </c>
      <c r="L513" t="s">
        <v>335</v>
      </c>
      <c r="R513" t="s">
        <v>1348</v>
      </c>
      <c r="S513" t="s">
        <v>1367</v>
      </c>
    </row>
    <row r="514" spans="1:19" x14ac:dyDescent="0.25">
      <c r="A514" t="s">
        <v>341</v>
      </c>
      <c r="B514" s="4">
        <v>39740</v>
      </c>
      <c r="C514" s="9">
        <f t="shared" si="28"/>
        <v>10</v>
      </c>
      <c r="D514">
        <f t="shared" si="32"/>
        <v>2008</v>
      </c>
      <c r="E514">
        <f t="shared" si="31"/>
        <v>0</v>
      </c>
      <c r="F514" t="s">
        <v>297</v>
      </c>
      <c r="G514" t="s">
        <v>303</v>
      </c>
      <c r="H514" t="s">
        <v>273</v>
      </c>
      <c r="J514">
        <v>16</v>
      </c>
      <c r="K514">
        <f t="shared" si="33"/>
        <v>16</v>
      </c>
      <c r="L514" t="s">
        <v>335</v>
      </c>
      <c r="R514" t="s">
        <v>1348</v>
      </c>
      <c r="S514" t="s">
        <v>1367</v>
      </c>
    </row>
    <row r="515" spans="1:19" x14ac:dyDescent="0.25">
      <c r="A515" t="s">
        <v>344</v>
      </c>
      <c r="B515" s="4">
        <v>39809</v>
      </c>
      <c r="C515" s="9">
        <f t="shared" ref="C515:C578" si="34">MONTH(B515)</f>
        <v>12</v>
      </c>
      <c r="D515">
        <f t="shared" si="32"/>
        <v>2008</v>
      </c>
      <c r="E515">
        <f t="shared" si="31"/>
        <v>1</v>
      </c>
      <c r="F515" t="s">
        <v>299</v>
      </c>
      <c r="G515" t="s">
        <v>101</v>
      </c>
      <c r="H515" t="s">
        <v>273</v>
      </c>
      <c r="J515">
        <v>15</v>
      </c>
      <c r="K515">
        <f t="shared" si="33"/>
        <v>15</v>
      </c>
      <c r="M515" t="s">
        <v>336</v>
      </c>
      <c r="R515" t="s">
        <v>1348</v>
      </c>
    </row>
    <row r="516" spans="1:19" x14ac:dyDescent="0.25">
      <c r="A516" t="s">
        <v>344</v>
      </c>
      <c r="B516" s="4">
        <v>39809</v>
      </c>
      <c r="C516" s="9">
        <f t="shared" si="34"/>
        <v>12</v>
      </c>
      <c r="D516">
        <f t="shared" si="32"/>
        <v>2008</v>
      </c>
      <c r="E516">
        <f t="shared" ref="E516:E529" si="35">IF(OR(A516 = "GS",A516 = "BP"),IF( OR(A515="GS",A515="BP"),IF(B515=B516,0,1),1),0)</f>
        <v>0</v>
      </c>
      <c r="F516" t="s">
        <v>299</v>
      </c>
      <c r="G516" t="s">
        <v>101</v>
      </c>
      <c r="H516" t="s">
        <v>273</v>
      </c>
      <c r="J516">
        <v>15</v>
      </c>
      <c r="K516">
        <f t="shared" si="33"/>
        <v>15</v>
      </c>
      <c r="M516" t="s">
        <v>336</v>
      </c>
      <c r="R516" t="s">
        <v>1348</v>
      </c>
    </row>
    <row r="517" spans="1:19" x14ac:dyDescent="0.25">
      <c r="A517" t="s">
        <v>344</v>
      </c>
      <c r="B517" s="4">
        <v>39809</v>
      </c>
      <c r="C517" s="9">
        <f t="shared" si="34"/>
        <v>12</v>
      </c>
      <c r="D517">
        <f t="shared" si="32"/>
        <v>2008</v>
      </c>
      <c r="E517">
        <f t="shared" si="35"/>
        <v>0</v>
      </c>
      <c r="F517" t="s">
        <v>299</v>
      </c>
      <c r="G517" t="s">
        <v>101</v>
      </c>
      <c r="H517" t="s">
        <v>273</v>
      </c>
      <c r="J517">
        <v>15</v>
      </c>
      <c r="K517">
        <f t="shared" si="33"/>
        <v>15</v>
      </c>
      <c r="M517" t="s">
        <v>337</v>
      </c>
      <c r="R517" t="s">
        <v>1348</v>
      </c>
    </row>
    <row r="518" spans="1:19" x14ac:dyDescent="0.25">
      <c r="A518" t="s">
        <v>343</v>
      </c>
      <c r="B518" s="4">
        <v>39810</v>
      </c>
      <c r="C518" s="9">
        <f t="shared" si="34"/>
        <v>12</v>
      </c>
      <c r="D518">
        <f t="shared" si="32"/>
        <v>2008</v>
      </c>
      <c r="E518">
        <f t="shared" si="35"/>
        <v>0</v>
      </c>
      <c r="F518" t="s">
        <v>278</v>
      </c>
      <c r="G518" t="s">
        <v>409</v>
      </c>
      <c r="H518" t="s">
        <v>154</v>
      </c>
      <c r="K518">
        <f t="shared" si="33"/>
        <v>0</v>
      </c>
      <c r="R518" t="s">
        <v>1348</v>
      </c>
    </row>
    <row r="519" spans="1:19" x14ac:dyDescent="0.25">
      <c r="A519" t="s">
        <v>343</v>
      </c>
      <c r="B519" s="4">
        <v>39811</v>
      </c>
      <c r="C519" s="9">
        <f t="shared" si="34"/>
        <v>12</v>
      </c>
      <c r="D519">
        <f t="shared" si="32"/>
        <v>2008</v>
      </c>
      <c r="E519">
        <f t="shared" si="35"/>
        <v>0</v>
      </c>
      <c r="F519" t="s">
        <v>278</v>
      </c>
      <c r="G519" t="s">
        <v>282</v>
      </c>
      <c r="K519">
        <f t="shared" si="33"/>
        <v>0</v>
      </c>
      <c r="M519" t="s">
        <v>338</v>
      </c>
      <c r="R519" t="s">
        <v>1348</v>
      </c>
    </row>
    <row r="520" spans="1:19" x14ac:dyDescent="0.25">
      <c r="A520" t="s">
        <v>343</v>
      </c>
      <c r="B520" s="4">
        <v>39812</v>
      </c>
      <c r="C520" s="9">
        <f t="shared" si="34"/>
        <v>12</v>
      </c>
      <c r="D520">
        <f t="shared" si="32"/>
        <v>2008</v>
      </c>
      <c r="E520">
        <f t="shared" si="35"/>
        <v>0</v>
      </c>
      <c r="F520" t="s">
        <v>278</v>
      </c>
      <c r="G520" t="s">
        <v>409</v>
      </c>
      <c r="H520" t="s">
        <v>154</v>
      </c>
      <c r="K520">
        <f t="shared" si="33"/>
        <v>0</v>
      </c>
      <c r="R520" t="s">
        <v>1348</v>
      </c>
    </row>
    <row r="521" spans="1:19" x14ac:dyDescent="0.25">
      <c r="A521" t="s">
        <v>344</v>
      </c>
      <c r="B521" s="4">
        <v>39814</v>
      </c>
      <c r="C521" s="9">
        <f t="shared" si="34"/>
        <v>1</v>
      </c>
      <c r="D521">
        <f t="shared" si="32"/>
        <v>2009</v>
      </c>
      <c r="E521">
        <f t="shared" si="35"/>
        <v>1</v>
      </c>
      <c r="F521" t="s">
        <v>299</v>
      </c>
      <c r="G521" t="s">
        <v>101</v>
      </c>
      <c r="H521" t="s">
        <v>273</v>
      </c>
      <c r="J521">
        <v>15</v>
      </c>
      <c r="K521">
        <f t="shared" si="33"/>
        <v>15</v>
      </c>
      <c r="R521" t="s">
        <v>1348</v>
      </c>
    </row>
    <row r="522" spans="1:19" x14ac:dyDescent="0.25">
      <c r="A522" t="s">
        <v>344</v>
      </c>
      <c r="B522" s="4">
        <v>39814</v>
      </c>
      <c r="C522" s="9">
        <f t="shared" si="34"/>
        <v>1</v>
      </c>
      <c r="D522">
        <f t="shared" si="32"/>
        <v>2009</v>
      </c>
      <c r="E522">
        <f t="shared" si="35"/>
        <v>0</v>
      </c>
      <c r="F522" t="s">
        <v>299</v>
      </c>
      <c r="G522" t="s">
        <v>101</v>
      </c>
      <c r="H522" t="s">
        <v>273</v>
      </c>
      <c r="J522">
        <v>15</v>
      </c>
      <c r="K522">
        <f t="shared" si="33"/>
        <v>15</v>
      </c>
      <c r="R522" t="s">
        <v>1348</v>
      </c>
    </row>
    <row r="523" spans="1:19" x14ac:dyDescent="0.25">
      <c r="A523" t="s">
        <v>344</v>
      </c>
      <c r="B523" s="4">
        <v>39815</v>
      </c>
      <c r="C523" s="9">
        <f t="shared" si="34"/>
        <v>1</v>
      </c>
      <c r="D523">
        <f t="shared" si="32"/>
        <v>2009</v>
      </c>
      <c r="E523">
        <f t="shared" si="35"/>
        <v>1</v>
      </c>
      <c r="F523" t="s">
        <v>299</v>
      </c>
      <c r="G523" t="s">
        <v>101</v>
      </c>
      <c r="H523" t="s">
        <v>273</v>
      </c>
      <c r="J523">
        <v>15</v>
      </c>
      <c r="K523">
        <f t="shared" si="33"/>
        <v>15</v>
      </c>
      <c r="R523" t="s">
        <v>1348</v>
      </c>
    </row>
    <row r="524" spans="1:19" x14ac:dyDescent="0.25">
      <c r="A524" t="s">
        <v>344</v>
      </c>
      <c r="B524" s="4">
        <v>39815</v>
      </c>
      <c r="C524" s="9">
        <f t="shared" si="34"/>
        <v>1</v>
      </c>
      <c r="D524">
        <f t="shared" si="32"/>
        <v>2009</v>
      </c>
      <c r="E524">
        <f t="shared" si="35"/>
        <v>0</v>
      </c>
      <c r="F524" t="s">
        <v>299</v>
      </c>
      <c r="G524" t="s">
        <v>101</v>
      </c>
      <c r="H524" t="s">
        <v>273</v>
      </c>
      <c r="J524">
        <v>15</v>
      </c>
      <c r="K524">
        <f t="shared" si="33"/>
        <v>15</v>
      </c>
      <c r="R524" t="s">
        <v>1348</v>
      </c>
    </row>
    <row r="525" spans="1:19" x14ac:dyDescent="0.25">
      <c r="A525" t="s">
        <v>344</v>
      </c>
      <c r="B525" s="4">
        <v>39815</v>
      </c>
      <c r="C525" s="9">
        <f t="shared" si="34"/>
        <v>1</v>
      </c>
      <c r="D525">
        <f t="shared" si="32"/>
        <v>2009</v>
      </c>
      <c r="E525">
        <f t="shared" si="35"/>
        <v>0</v>
      </c>
      <c r="F525" t="s">
        <v>299</v>
      </c>
      <c r="G525" t="s">
        <v>409</v>
      </c>
      <c r="H525" t="s">
        <v>273</v>
      </c>
      <c r="J525">
        <v>15</v>
      </c>
      <c r="K525">
        <f t="shared" si="33"/>
        <v>15</v>
      </c>
      <c r="R525" t="s">
        <v>1348</v>
      </c>
    </row>
    <row r="526" spans="1:19" x14ac:dyDescent="0.25">
      <c r="A526" t="s">
        <v>344</v>
      </c>
      <c r="B526" s="4">
        <v>39816</v>
      </c>
      <c r="C526" s="9">
        <f t="shared" si="34"/>
        <v>1</v>
      </c>
      <c r="D526">
        <f t="shared" si="32"/>
        <v>2009</v>
      </c>
      <c r="E526">
        <f t="shared" si="35"/>
        <v>1</v>
      </c>
      <c r="F526" t="s">
        <v>299</v>
      </c>
      <c r="G526" t="s">
        <v>101</v>
      </c>
      <c r="H526" t="s">
        <v>273</v>
      </c>
      <c r="J526">
        <v>20</v>
      </c>
      <c r="K526">
        <f t="shared" si="33"/>
        <v>20</v>
      </c>
      <c r="R526" t="s">
        <v>1348</v>
      </c>
    </row>
    <row r="527" spans="1:19" x14ac:dyDescent="0.25">
      <c r="A527" t="s">
        <v>344</v>
      </c>
      <c r="B527" s="4">
        <v>39816</v>
      </c>
      <c r="C527" s="9">
        <f t="shared" si="34"/>
        <v>1</v>
      </c>
      <c r="D527">
        <f t="shared" si="32"/>
        <v>2009</v>
      </c>
      <c r="E527">
        <f t="shared" si="35"/>
        <v>0</v>
      </c>
      <c r="F527" t="s">
        <v>299</v>
      </c>
      <c r="G527" t="s">
        <v>101</v>
      </c>
      <c r="H527" t="s">
        <v>273</v>
      </c>
      <c r="J527">
        <v>20</v>
      </c>
      <c r="K527">
        <f t="shared" si="33"/>
        <v>20</v>
      </c>
      <c r="R527" t="s">
        <v>1348</v>
      </c>
    </row>
    <row r="528" spans="1:19" x14ac:dyDescent="0.25">
      <c r="A528" t="s">
        <v>343</v>
      </c>
      <c r="B528" s="4">
        <v>39817</v>
      </c>
      <c r="C528" s="9">
        <f t="shared" si="34"/>
        <v>1</v>
      </c>
      <c r="D528">
        <f t="shared" si="32"/>
        <v>2009</v>
      </c>
      <c r="E528">
        <f t="shared" si="35"/>
        <v>0</v>
      </c>
      <c r="F528" t="s">
        <v>278</v>
      </c>
      <c r="G528" t="s">
        <v>282</v>
      </c>
      <c r="K528">
        <f t="shared" si="33"/>
        <v>0</v>
      </c>
      <c r="M528" t="s">
        <v>338</v>
      </c>
      <c r="R528" t="s">
        <v>1348</v>
      </c>
    </row>
    <row r="529" spans="1:18" x14ac:dyDescent="0.25">
      <c r="A529" t="s">
        <v>343</v>
      </c>
      <c r="B529" s="4">
        <v>39820</v>
      </c>
      <c r="C529" s="9">
        <f t="shared" si="34"/>
        <v>1</v>
      </c>
      <c r="D529">
        <f t="shared" si="32"/>
        <v>2009</v>
      </c>
      <c r="E529">
        <f t="shared" si="35"/>
        <v>0</v>
      </c>
      <c r="F529" t="s">
        <v>278</v>
      </c>
      <c r="G529" t="s">
        <v>282</v>
      </c>
      <c r="K529">
        <f t="shared" si="33"/>
        <v>0</v>
      </c>
      <c r="R529" t="s">
        <v>1348</v>
      </c>
    </row>
    <row r="530" spans="1:18" x14ac:dyDescent="0.25">
      <c r="A530" t="s">
        <v>344</v>
      </c>
      <c r="B530" s="4">
        <v>39822</v>
      </c>
      <c r="C530" s="9">
        <f t="shared" si="34"/>
        <v>1</v>
      </c>
      <c r="D530">
        <f t="shared" ref="D530:D593" si="36">YEAR(B530)</f>
        <v>2009</v>
      </c>
      <c r="E530">
        <f t="shared" ref="E530:E593" si="37">IF(OR(A530 = "GS",A530 = "BP"),IF( OR(A529="GS",A529="BP"),IF(B529=B530,0,1),1),0)</f>
        <v>1</v>
      </c>
      <c r="F530" t="s">
        <v>299</v>
      </c>
      <c r="G530" t="s">
        <v>101</v>
      </c>
      <c r="H530" t="s">
        <v>273</v>
      </c>
      <c r="J530">
        <v>15</v>
      </c>
      <c r="K530">
        <f t="shared" ref="K530:K593" si="38">I530*60+J530</f>
        <v>15</v>
      </c>
      <c r="R530" t="s">
        <v>1348</v>
      </c>
    </row>
    <row r="531" spans="1:18" x14ac:dyDescent="0.25">
      <c r="A531" t="s">
        <v>344</v>
      </c>
      <c r="B531" s="4">
        <v>39822</v>
      </c>
      <c r="C531" s="9">
        <f t="shared" si="34"/>
        <v>1</v>
      </c>
      <c r="D531">
        <f t="shared" si="36"/>
        <v>2009</v>
      </c>
      <c r="E531">
        <f t="shared" si="37"/>
        <v>0</v>
      </c>
      <c r="F531" t="s">
        <v>299</v>
      </c>
      <c r="G531" t="s">
        <v>101</v>
      </c>
      <c r="H531" t="s">
        <v>273</v>
      </c>
      <c r="J531">
        <v>50</v>
      </c>
      <c r="K531">
        <f t="shared" si="38"/>
        <v>50</v>
      </c>
      <c r="M531" t="s">
        <v>348</v>
      </c>
      <c r="R531" t="s">
        <v>1348</v>
      </c>
    </row>
    <row r="532" spans="1:18" x14ac:dyDescent="0.25">
      <c r="A532" t="s">
        <v>344</v>
      </c>
      <c r="B532" s="4">
        <v>39823</v>
      </c>
      <c r="C532" s="9">
        <f t="shared" si="34"/>
        <v>1</v>
      </c>
      <c r="D532">
        <f t="shared" si="36"/>
        <v>2009</v>
      </c>
      <c r="E532">
        <f t="shared" si="37"/>
        <v>1</v>
      </c>
      <c r="F532" t="s">
        <v>299</v>
      </c>
      <c r="G532" t="s">
        <v>101</v>
      </c>
      <c r="H532" t="s">
        <v>273</v>
      </c>
      <c r="J532">
        <v>20</v>
      </c>
      <c r="K532">
        <f t="shared" si="38"/>
        <v>20</v>
      </c>
      <c r="R532" t="s">
        <v>1348</v>
      </c>
    </row>
    <row r="533" spans="1:18" x14ac:dyDescent="0.25">
      <c r="A533" t="s">
        <v>344</v>
      </c>
      <c r="B533" s="4">
        <v>39823</v>
      </c>
      <c r="C533" s="9">
        <f t="shared" si="34"/>
        <v>1</v>
      </c>
      <c r="D533">
        <f t="shared" si="36"/>
        <v>2009</v>
      </c>
      <c r="E533">
        <f t="shared" si="37"/>
        <v>0</v>
      </c>
      <c r="F533" t="s">
        <v>299</v>
      </c>
      <c r="G533" t="s">
        <v>101</v>
      </c>
      <c r="H533" t="s">
        <v>244</v>
      </c>
      <c r="J533">
        <v>20</v>
      </c>
      <c r="K533">
        <f t="shared" si="38"/>
        <v>20</v>
      </c>
      <c r="R533" t="s">
        <v>1348</v>
      </c>
    </row>
    <row r="534" spans="1:18" x14ac:dyDescent="0.25">
      <c r="A534" t="s">
        <v>343</v>
      </c>
      <c r="B534" s="4">
        <v>39823</v>
      </c>
      <c r="C534" s="9">
        <f t="shared" si="34"/>
        <v>1</v>
      </c>
      <c r="D534">
        <f t="shared" si="36"/>
        <v>2009</v>
      </c>
      <c r="E534">
        <f t="shared" si="37"/>
        <v>0</v>
      </c>
      <c r="F534" t="s">
        <v>278</v>
      </c>
      <c r="G534" t="s">
        <v>282</v>
      </c>
      <c r="K534">
        <f t="shared" si="38"/>
        <v>0</v>
      </c>
      <c r="R534" t="s">
        <v>1348</v>
      </c>
    </row>
    <row r="535" spans="1:18" x14ac:dyDescent="0.25">
      <c r="A535" t="s">
        <v>344</v>
      </c>
      <c r="B535" s="4">
        <v>39824</v>
      </c>
      <c r="C535" s="9">
        <f t="shared" si="34"/>
        <v>1</v>
      </c>
      <c r="D535">
        <f t="shared" si="36"/>
        <v>2009</v>
      </c>
      <c r="E535">
        <f t="shared" si="37"/>
        <v>1</v>
      </c>
      <c r="F535" t="s">
        <v>299</v>
      </c>
      <c r="G535" t="s">
        <v>101</v>
      </c>
      <c r="H535" t="s">
        <v>273</v>
      </c>
      <c r="J535">
        <v>20</v>
      </c>
      <c r="K535">
        <f t="shared" si="38"/>
        <v>20</v>
      </c>
      <c r="R535" t="s">
        <v>1348</v>
      </c>
    </row>
    <row r="536" spans="1:18" x14ac:dyDescent="0.25">
      <c r="A536" t="s">
        <v>344</v>
      </c>
      <c r="B536" s="4">
        <v>39824</v>
      </c>
      <c r="C536" s="9">
        <f t="shared" si="34"/>
        <v>1</v>
      </c>
      <c r="D536">
        <f t="shared" si="36"/>
        <v>2009</v>
      </c>
      <c r="E536">
        <f t="shared" si="37"/>
        <v>0</v>
      </c>
      <c r="F536" t="s">
        <v>299</v>
      </c>
      <c r="G536" t="s">
        <v>101</v>
      </c>
      <c r="H536" t="s">
        <v>273</v>
      </c>
      <c r="J536">
        <v>20</v>
      </c>
      <c r="K536">
        <f t="shared" si="38"/>
        <v>20</v>
      </c>
      <c r="R536" t="s">
        <v>1348</v>
      </c>
    </row>
    <row r="537" spans="1:18" x14ac:dyDescent="0.25">
      <c r="A537" t="s">
        <v>344</v>
      </c>
      <c r="B537" s="4">
        <v>39830</v>
      </c>
      <c r="C537" s="9">
        <f t="shared" si="34"/>
        <v>1</v>
      </c>
      <c r="D537">
        <f t="shared" si="36"/>
        <v>2009</v>
      </c>
      <c r="E537">
        <f t="shared" si="37"/>
        <v>1</v>
      </c>
      <c r="F537" t="s">
        <v>299</v>
      </c>
      <c r="G537" t="s">
        <v>346</v>
      </c>
      <c r="H537" t="s">
        <v>347</v>
      </c>
      <c r="J537">
        <v>15</v>
      </c>
      <c r="K537">
        <f t="shared" si="38"/>
        <v>15</v>
      </c>
      <c r="R537" t="s">
        <v>1348</v>
      </c>
    </row>
    <row r="538" spans="1:18" x14ac:dyDescent="0.25">
      <c r="A538" t="s">
        <v>344</v>
      </c>
      <c r="B538" s="4">
        <v>39830</v>
      </c>
      <c r="C538" s="9">
        <f t="shared" si="34"/>
        <v>1</v>
      </c>
      <c r="D538">
        <f t="shared" si="36"/>
        <v>2009</v>
      </c>
      <c r="E538">
        <f t="shared" si="37"/>
        <v>0</v>
      </c>
      <c r="F538" t="s">
        <v>299</v>
      </c>
      <c r="G538" t="s">
        <v>346</v>
      </c>
      <c r="H538" t="s">
        <v>347</v>
      </c>
      <c r="J538">
        <v>15</v>
      </c>
      <c r="K538">
        <f t="shared" si="38"/>
        <v>15</v>
      </c>
      <c r="R538" t="s">
        <v>1348</v>
      </c>
    </row>
    <row r="539" spans="1:18" x14ac:dyDescent="0.25">
      <c r="A539" t="s">
        <v>344</v>
      </c>
      <c r="B539" s="4">
        <v>39844</v>
      </c>
      <c r="C539" s="9">
        <f t="shared" si="34"/>
        <v>1</v>
      </c>
      <c r="D539">
        <f t="shared" si="36"/>
        <v>2009</v>
      </c>
      <c r="E539">
        <f t="shared" si="37"/>
        <v>1</v>
      </c>
      <c r="F539" t="s">
        <v>299</v>
      </c>
      <c r="G539" t="s">
        <v>346</v>
      </c>
      <c r="H539" t="s">
        <v>347</v>
      </c>
      <c r="J539">
        <v>15</v>
      </c>
      <c r="K539">
        <f t="shared" si="38"/>
        <v>15</v>
      </c>
      <c r="M539" t="s">
        <v>349</v>
      </c>
      <c r="R539" t="s">
        <v>1348</v>
      </c>
    </row>
    <row r="540" spans="1:18" x14ac:dyDescent="0.25">
      <c r="A540" t="s">
        <v>344</v>
      </c>
      <c r="B540" s="4">
        <v>39844</v>
      </c>
      <c r="C540" s="9">
        <f t="shared" si="34"/>
        <v>1</v>
      </c>
      <c r="D540">
        <f t="shared" si="36"/>
        <v>2009</v>
      </c>
      <c r="E540">
        <f t="shared" si="37"/>
        <v>0</v>
      </c>
      <c r="F540" t="s">
        <v>299</v>
      </c>
      <c r="G540" t="s">
        <v>346</v>
      </c>
      <c r="H540" t="s">
        <v>347</v>
      </c>
      <c r="J540">
        <v>15</v>
      </c>
      <c r="K540">
        <f t="shared" si="38"/>
        <v>15</v>
      </c>
      <c r="M540" t="s">
        <v>349</v>
      </c>
      <c r="R540" t="s">
        <v>1348</v>
      </c>
    </row>
    <row r="541" spans="1:18" x14ac:dyDescent="0.25">
      <c r="A541" s="5" t="s">
        <v>343</v>
      </c>
      <c r="B541" s="4">
        <v>39865</v>
      </c>
      <c r="C541" s="9">
        <f t="shared" si="34"/>
        <v>2</v>
      </c>
      <c r="D541">
        <f t="shared" si="36"/>
        <v>2009</v>
      </c>
      <c r="E541">
        <f t="shared" si="37"/>
        <v>0</v>
      </c>
      <c r="F541" t="s">
        <v>278</v>
      </c>
      <c r="G541" t="s">
        <v>409</v>
      </c>
      <c r="H541" t="s">
        <v>154</v>
      </c>
      <c r="K541">
        <f t="shared" si="38"/>
        <v>0</v>
      </c>
      <c r="R541" t="s">
        <v>1348</v>
      </c>
    </row>
    <row r="542" spans="1:18" x14ac:dyDescent="0.25">
      <c r="A542" t="s">
        <v>344</v>
      </c>
      <c r="B542" s="4">
        <v>39872</v>
      </c>
      <c r="C542" s="9">
        <f t="shared" si="34"/>
        <v>2</v>
      </c>
      <c r="D542">
        <f t="shared" si="36"/>
        <v>2009</v>
      </c>
      <c r="E542">
        <f t="shared" si="37"/>
        <v>1</v>
      </c>
      <c r="F542" t="s">
        <v>299</v>
      </c>
      <c r="G542" t="s">
        <v>101</v>
      </c>
      <c r="H542" t="s">
        <v>244</v>
      </c>
      <c r="J542">
        <v>17</v>
      </c>
      <c r="K542">
        <f t="shared" si="38"/>
        <v>17</v>
      </c>
      <c r="R542" t="s">
        <v>1348</v>
      </c>
    </row>
    <row r="543" spans="1:18" x14ac:dyDescent="0.25">
      <c r="A543" t="s">
        <v>344</v>
      </c>
      <c r="B543" s="4">
        <v>39872</v>
      </c>
      <c r="C543" s="9">
        <f t="shared" si="34"/>
        <v>2</v>
      </c>
      <c r="D543">
        <f t="shared" si="36"/>
        <v>2009</v>
      </c>
      <c r="E543">
        <f t="shared" si="37"/>
        <v>0</v>
      </c>
      <c r="F543" t="s">
        <v>299</v>
      </c>
      <c r="G543" t="s">
        <v>101</v>
      </c>
      <c r="H543" t="s">
        <v>244</v>
      </c>
      <c r="J543">
        <v>56</v>
      </c>
      <c r="K543">
        <f t="shared" si="38"/>
        <v>56</v>
      </c>
      <c r="R543" t="s">
        <v>1348</v>
      </c>
    </row>
    <row r="544" spans="1:18" x14ac:dyDescent="0.25">
      <c r="A544" t="s">
        <v>344</v>
      </c>
      <c r="B544" s="4">
        <v>39894</v>
      </c>
      <c r="C544" s="9">
        <f t="shared" si="34"/>
        <v>3</v>
      </c>
      <c r="D544">
        <f t="shared" si="36"/>
        <v>2009</v>
      </c>
      <c r="E544">
        <f t="shared" si="37"/>
        <v>1</v>
      </c>
      <c r="F544" t="s">
        <v>299</v>
      </c>
      <c r="G544" t="s">
        <v>101</v>
      </c>
      <c r="H544" t="s">
        <v>273</v>
      </c>
      <c r="J544">
        <v>19</v>
      </c>
      <c r="K544">
        <f t="shared" si="38"/>
        <v>19</v>
      </c>
      <c r="R544" t="s">
        <v>1348</v>
      </c>
    </row>
    <row r="545" spans="1:18" x14ac:dyDescent="0.25">
      <c r="A545" t="s">
        <v>341</v>
      </c>
      <c r="B545" s="4">
        <v>39900</v>
      </c>
      <c r="C545" s="9">
        <f t="shared" si="34"/>
        <v>3</v>
      </c>
      <c r="D545">
        <f t="shared" si="36"/>
        <v>2009</v>
      </c>
      <c r="E545">
        <f t="shared" si="37"/>
        <v>1</v>
      </c>
      <c r="F545" t="s">
        <v>297</v>
      </c>
      <c r="G545" t="s">
        <v>101</v>
      </c>
      <c r="H545" t="s">
        <v>273</v>
      </c>
      <c r="J545">
        <v>25</v>
      </c>
      <c r="K545">
        <f t="shared" si="38"/>
        <v>25</v>
      </c>
      <c r="R545" t="s">
        <v>1348</v>
      </c>
    </row>
    <row r="546" spans="1:18" x14ac:dyDescent="0.25">
      <c r="A546" t="s">
        <v>341</v>
      </c>
      <c r="B546" s="4">
        <v>39907</v>
      </c>
      <c r="C546" s="9">
        <f t="shared" si="34"/>
        <v>4</v>
      </c>
      <c r="D546">
        <f t="shared" si="36"/>
        <v>2009</v>
      </c>
      <c r="E546">
        <f t="shared" si="37"/>
        <v>1</v>
      </c>
      <c r="F546" t="s">
        <v>297</v>
      </c>
      <c r="G546" t="s">
        <v>101</v>
      </c>
      <c r="H546" t="s">
        <v>153</v>
      </c>
      <c r="J546">
        <v>58</v>
      </c>
      <c r="K546">
        <f t="shared" si="38"/>
        <v>58</v>
      </c>
      <c r="R546" t="s">
        <v>1348</v>
      </c>
    </row>
    <row r="547" spans="1:18" x14ac:dyDescent="0.25">
      <c r="A547" t="s">
        <v>341</v>
      </c>
      <c r="B547" s="4">
        <v>39908</v>
      </c>
      <c r="C547" s="9">
        <f t="shared" si="34"/>
        <v>4</v>
      </c>
      <c r="D547">
        <f t="shared" si="36"/>
        <v>2009</v>
      </c>
      <c r="E547">
        <f t="shared" si="37"/>
        <v>1</v>
      </c>
      <c r="F547" t="s">
        <v>297</v>
      </c>
      <c r="G547" t="s">
        <v>101</v>
      </c>
      <c r="H547" t="s">
        <v>273</v>
      </c>
      <c r="I547">
        <v>2</v>
      </c>
      <c r="J547">
        <v>20</v>
      </c>
      <c r="K547">
        <f t="shared" si="38"/>
        <v>140</v>
      </c>
      <c r="M547" t="s">
        <v>350</v>
      </c>
      <c r="R547" t="s">
        <v>1348</v>
      </c>
    </row>
    <row r="548" spans="1:18" x14ac:dyDescent="0.25">
      <c r="A548" t="s">
        <v>341</v>
      </c>
      <c r="B548" s="4">
        <v>39921</v>
      </c>
      <c r="C548" s="9">
        <f t="shared" si="34"/>
        <v>4</v>
      </c>
      <c r="D548">
        <f t="shared" si="36"/>
        <v>2009</v>
      </c>
      <c r="E548">
        <f t="shared" si="37"/>
        <v>1</v>
      </c>
      <c r="F548" t="s">
        <v>297</v>
      </c>
      <c r="G548" t="s">
        <v>101</v>
      </c>
      <c r="H548" t="s">
        <v>273</v>
      </c>
      <c r="J548">
        <v>39</v>
      </c>
      <c r="K548">
        <f t="shared" si="38"/>
        <v>39</v>
      </c>
      <c r="R548" t="s">
        <v>1348</v>
      </c>
    </row>
    <row r="549" spans="1:18" x14ac:dyDescent="0.25">
      <c r="A549" t="s">
        <v>344</v>
      </c>
      <c r="B549" s="4">
        <v>39932</v>
      </c>
      <c r="C549" s="9">
        <f t="shared" si="34"/>
        <v>4</v>
      </c>
      <c r="D549">
        <f t="shared" si="36"/>
        <v>2009</v>
      </c>
      <c r="E549">
        <f t="shared" si="37"/>
        <v>1</v>
      </c>
      <c r="F549" t="s">
        <v>299</v>
      </c>
      <c r="G549" t="s">
        <v>167</v>
      </c>
      <c r="H549" t="s">
        <v>170</v>
      </c>
      <c r="I549">
        <v>1</v>
      </c>
      <c r="J549">
        <v>18</v>
      </c>
      <c r="K549">
        <f t="shared" si="38"/>
        <v>78</v>
      </c>
      <c r="L549" t="s">
        <v>173</v>
      </c>
      <c r="M549" t="s">
        <v>351</v>
      </c>
      <c r="R549" t="s">
        <v>1348</v>
      </c>
    </row>
    <row r="550" spans="1:18" x14ac:dyDescent="0.25">
      <c r="A550" t="s">
        <v>344</v>
      </c>
      <c r="B550" s="4">
        <v>39933</v>
      </c>
      <c r="C550" s="9">
        <f t="shared" si="34"/>
        <v>4</v>
      </c>
      <c r="D550">
        <f t="shared" si="36"/>
        <v>2009</v>
      </c>
      <c r="E550">
        <f t="shared" si="37"/>
        <v>1</v>
      </c>
      <c r="F550" t="s">
        <v>299</v>
      </c>
      <c r="G550" t="s">
        <v>352</v>
      </c>
      <c r="H550" t="s">
        <v>353</v>
      </c>
      <c r="J550">
        <v>27</v>
      </c>
      <c r="K550">
        <f t="shared" si="38"/>
        <v>27</v>
      </c>
      <c r="L550" t="s">
        <v>173</v>
      </c>
      <c r="M550" t="s">
        <v>354</v>
      </c>
      <c r="R550" t="s">
        <v>1348</v>
      </c>
    </row>
    <row r="551" spans="1:18" x14ac:dyDescent="0.25">
      <c r="A551" t="s">
        <v>344</v>
      </c>
      <c r="B551" s="4">
        <v>39934</v>
      </c>
      <c r="C551" s="9">
        <f t="shared" si="34"/>
        <v>5</v>
      </c>
      <c r="D551">
        <f t="shared" si="36"/>
        <v>2009</v>
      </c>
      <c r="E551">
        <f t="shared" si="37"/>
        <v>1</v>
      </c>
      <c r="F551" t="s">
        <v>299</v>
      </c>
      <c r="G551" t="s">
        <v>166</v>
      </c>
      <c r="H551" t="s">
        <v>355</v>
      </c>
      <c r="J551">
        <v>42</v>
      </c>
      <c r="K551">
        <f t="shared" si="38"/>
        <v>42</v>
      </c>
      <c r="L551" t="s">
        <v>173</v>
      </c>
      <c r="M551" t="s">
        <v>356</v>
      </c>
      <c r="O551">
        <v>10.5</v>
      </c>
      <c r="R551" t="s">
        <v>1348</v>
      </c>
    </row>
    <row r="552" spans="1:18" x14ac:dyDescent="0.25">
      <c r="A552" t="s">
        <v>341</v>
      </c>
      <c r="B552" s="4">
        <v>39934</v>
      </c>
      <c r="C552" s="9">
        <f t="shared" si="34"/>
        <v>5</v>
      </c>
      <c r="D552">
        <f t="shared" si="36"/>
        <v>2009</v>
      </c>
      <c r="E552">
        <f t="shared" si="37"/>
        <v>0</v>
      </c>
      <c r="F552" t="s">
        <v>297</v>
      </c>
      <c r="G552" t="s">
        <v>166</v>
      </c>
      <c r="H552" t="s">
        <v>355</v>
      </c>
      <c r="J552">
        <v>47</v>
      </c>
      <c r="K552">
        <f t="shared" si="38"/>
        <v>47</v>
      </c>
      <c r="L552" t="s">
        <v>173</v>
      </c>
      <c r="M552" t="s">
        <v>357</v>
      </c>
      <c r="O552">
        <v>17.899999999999999</v>
      </c>
      <c r="R552" t="s">
        <v>1348</v>
      </c>
    </row>
    <row r="553" spans="1:18" x14ac:dyDescent="0.25">
      <c r="A553" t="s">
        <v>341</v>
      </c>
      <c r="B553" s="4">
        <v>39936</v>
      </c>
      <c r="C553" s="9">
        <f t="shared" si="34"/>
        <v>5</v>
      </c>
      <c r="D553">
        <f t="shared" si="36"/>
        <v>2009</v>
      </c>
      <c r="E553">
        <f t="shared" si="37"/>
        <v>1</v>
      </c>
      <c r="F553" t="s">
        <v>297</v>
      </c>
      <c r="G553" t="s">
        <v>358</v>
      </c>
      <c r="H553" t="s">
        <v>273</v>
      </c>
      <c r="I553">
        <v>2</v>
      </c>
      <c r="J553">
        <v>52</v>
      </c>
      <c r="K553">
        <f t="shared" si="38"/>
        <v>172</v>
      </c>
      <c r="M553" t="s">
        <v>359</v>
      </c>
      <c r="N553">
        <v>6.2</v>
      </c>
      <c r="O553">
        <v>18.899999999999999</v>
      </c>
      <c r="R553" t="s">
        <v>1348</v>
      </c>
    </row>
    <row r="554" spans="1:18" x14ac:dyDescent="0.25">
      <c r="A554" t="s">
        <v>344</v>
      </c>
      <c r="B554" s="4">
        <v>39954</v>
      </c>
      <c r="C554" s="9">
        <f t="shared" si="34"/>
        <v>5</v>
      </c>
      <c r="D554">
        <f t="shared" si="36"/>
        <v>2009</v>
      </c>
      <c r="E554">
        <f t="shared" si="37"/>
        <v>1</v>
      </c>
      <c r="F554" t="s">
        <v>299</v>
      </c>
      <c r="G554" t="s">
        <v>1008</v>
      </c>
      <c r="H554" t="s">
        <v>360</v>
      </c>
      <c r="J554">
        <v>7</v>
      </c>
      <c r="K554">
        <f t="shared" si="38"/>
        <v>7</v>
      </c>
      <c r="M554" t="s">
        <v>365</v>
      </c>
      <c r="R554" t="s">
        <v>1348</v>
      </c>
    </row>
    <row r="555" spans="1:18" x14ac:dyDescent="0.25">
      <c r="A555" t="s">
        <v>344</v>
      </c>
      <c r="B555" s="4">
        <v>39956</v>
      </c>
      <c r="C555" s="9">
        <f t="shared" si="34"/>
        <v>5</v>
      </c>
      <c r="D555">
        <f t="shared" si="36"/>
        <v>2009</v>
      </c>
      <c r="E555">
        <f t="shared" si="37"/>
        <v>1</v>
      </c>
      <c r="F555" t="s">
        <v>299</v>
      </c>
      <c r="G555" t="s">
        <v>1008</v>
      </c>
      <c r="H555" t="s">
        <v>360</v>
      </c>
      <c r="J555">
        <v>14</v>
      </c>
      <c r="K555">
        <f t="shared" si="38"/>
        <v>14</v>
      </c>
      <c r="M555" t="s">
        <v>366</v>
      </c>
      <c r="R555" t="s">
        <v>1348</v>
      </c>
    </row>
    <row r="556" spans="1:18" x14ac:dyDescent="0.25">
      <c r="A556" t="s">
        <v>344</v>
      </c>
      <c r="B556" s="4">
        <v>39964</v>
      </c>
      <c r="C556" s="9">
        <f t="shared" si="34"/>
        <v>5</v>
      </c>
      <c r="D556">
        <f t="shared" si="36"/>
        <v>2009</v>
      </c>
      <c r="E556">
        <f t="shared" si="37"/>
        <v>1</v>
      </c>
      <c r="F556" t="s">
        <v>299</v>
      </c>
      <c r="G556" t="s">
        <v>358</v>
      </c>
      <c r="H556" t="s">
        <v>361</v>
      </c>
      <c r="J556">
        <v>19</v>
      </c>
      <c r="K556">
        <f t="shared" si="38"/>
        <v>19</v>
      </c>
      <c r="R556" t="s">
        <v>1348</v>
      </c>
    </row>
    <row r="557" spans="1:18" x14ac:dyDescent="0.25">
      <c r="A557" t="s">
        <v>341</v>
      </c>
      <c r="B557" s="4">
        <v>39986</v>
      </c>
      <c r="C557" s="9">
        <f t="shared" si="34"/>
        <v>6</v>
      </c>
      <c r="D557">
        <f t="shared" si="36"/>
        <v>2009</v>
      </c>
      <c r="E557">
        <f t="shared" si="37"/>
        <v>1</v>
      </c>
      <c r="F557" t="s">
        <v>297</v>
      </c>
      <c r="G557" t="s">
        <v>362</v>
      </c>
      <c r="H557" t="s">
        <v>363</v>
      </c>
      <c r="J557">
        <v>26</v>
      </c>
      <c r="K557">
        <f t="shared" si="38"/>
        <v>26</v>
      </c>
      <c r="L557" t="s">
        <v>364</v>
      </c>
      <c r="R557" t="s">
        <v>1348</v>
      </c>
    </row>
    <row r="558" spans="1:18" x14ac:dyDescent="0.25">
      <c r="A558" t="s">
        <v>344</v>
      </c>
      <c r="B558" s="4">
        <v>39986</v>
      </c>
      <c r="C558" s="9">
        <f t="shared" si="34"/>
        <v>6</v>
      </c>
      <c r="D558">
        <f t="shared" si="36"/>
        <v>2009</v>
      </c>
      <c r="E558">
        <f t="shared" si="37"/>
        <v>0</v>
      </c>
      <c r="F558" t="s">
        <v>299</v>
      </c>
      <c r="G558" t="s">
        <v>367</v>
      </c>
      <c r="H558" t="s">
        <v>368</v>
      </c>
      <c r="J558">
        <v>16</v>
      </c>
      <c r="K558">
        <f t="shared" si="38"/>
        <v>16</v>
      </c>
      <c r="L558" t="s">
        <v>364</v>
      </c>
      <c r="R558" t="s">
        <v>1348</v>
      </c>
    </row>
    <row r="559" spans="1:18" x14ac:dyDescent="0.25">
      <c r="A559" t="s">
        <v>341</v>
      </c>
      <c r="B559" s="4">
        <v>39988</v>
      </c>
      <c r="C559" s="9">
        <f t="shared" si="34"/>
        <v>6</v>
      </c>
      <c r="D559">
        <f t="shared" si="36"/>
        <v>2009</v>
      </c>
      <c r="E559">
        <f t="shared" si="37"/>
        <v>1</v>
      </c>
      <c r="F559" t="s">
        <v>297</v>
      </c>
      <c r="G559" t="s">
        <v>369</v>
      </c>
      <c r="H559" t="s">
        <v>370</v>
      </c>
      <c r="J559">
        <v>29</v>
      </c>
      <c r="K559">
        <f t="shared" si="38"/>
        <v>29</v>
      </c>
      <c r="L559" t="s">
        <v>364</v>
      </c>
      <c r="R559" t="s">
        <v>1348</v>
      </c>
    </row>
    <row r="560" spans="1:18" x14ac:dyDescent="0.25">
      <c r="A560" t="s">
        <v>344</v>
      </c>
      <c r="B560" s="4">
        <v>39988</v>
      </c>
      <c r="C560" s="9">
        <f t="shared" si="34"/>
        <v>6</v>
      </c>
      <c r="D560">
        <f t="shared" si="36"/>
        <v>2009</v>
      </c>
      <c r="E560">
        <f t="shared" si="37"/>
        <v>0</v>
      </c>
      <c r="F560" t="s">
        <v>299</v>
      </c>
      <c r="G560" t="s">
        <v>369</v>
      </c>
      <c r="H560" t="s">
        <v>370</v>
      </c>
      <c r="J560">
        <v>38</v>
      </c>
      <c r="K560">
        <f t="shared" si="38"/>
        <v>38</v>
      </c>
      <c r="L560" t="s">
        <v>364</v>
      </c>
      <c r="R560" t="s">
        <v>1348</v>
      </c>
    </row>
    <row r="561" spans="1:19" x14ac:dyDescent="0.25">
      <c r="A561" t="s">
        <v>341</v>
      </c>
      <c r="B561" s="4">
        <v>39989</v>
      </c>
      <c r="C561" s="9">
        <f t="shared" si="34"/>
        <v>6</v>
      </c>
      <c r="D561">
        <f t="shared" si="36"/>
        <v>2009</v>
      </c>
      <c r="E561">
        <f t="shared" si="37"/>
        <v>1</v>
      </c>
      <c r="F561" t="s">
        <v>297</v>
      </c>
      <c r="G561" t="s">
        <v>7</v>
      </c>
      <c r="H561" t="s">
        <v>55</v>
      </c>
      <c r="J561">
        <v>48</v>
      </c>
      <c r="K561">
        <f t="shared" si="38"/>
        <v>48</v>
      </c>
      <c r="L561" t="s">
        <v>364</v>
      </c>
      <c r="R561" t="s">
        <v>1348</v>
      </c>
    </row>
    <row r="562" spans="1:19" x14ac:dyDescent="0.25">
      <c r="A562" t="s">
        <v>344</v>
      </c>
      <c r="B562" s="4">
        <v>39989</v>
      </c>
      <c r="C562" s="9">
        <f t="shared" si="34"/>
        <v>6</v>
      </c>
      <c r="D562">
        <f t="shared" si="36"/>
        <v>2009</v>
      </c>
      <c r="E562">
        <f t="shared" si="37"/>
        <v>0</v>
      </c>
      <c r="F562" t="s">
        <v>299</v>
      </c>
      <c r="G562" t="s">
        <v>371</v>
      </c>
      <c r="H562" t="s">
        <v>372</v>
      </c>
      <c r="J562">
        <v>8</v>
      </c>
      <c r="K562">
        <f t="shared" si="38"/>
        <v>8</v>
      </c>
      <c r="L562" t="s">
        <v>364</v>
      </c>
      <c r="R562" t="s">
        <v>1348</v>
      </c>
    </row>
    <row r="563" spans="1:19" x14ac:dyDescent="0.25">
      <c r="A563" t="s">
        <v>344</v>
      </c>
      <c r="B563" s="4">
        <v>39990</v>
      </c>
      <c r="C563" s="9">
        <f t="shared" si="34"/>
        <v>6</v>
      </c>
      <c r="D563">
        <f t="shared" si="36"/>
        <v>2009</v>
      </c>
      <c r="E563">
        <f t="shared" si="37"/>
        <v>1</v>
      </c>
      <c r="F563" t="s">
        <v>299</v>
      </c>
      <c r="G563" t="s">
        <v>373</v>
      </c>
      <c r="H563" t="s">
        <v>273</v>
      </c>
      <c r="J563">
        <v>21</v>
      </c>
      <c r="K563">
        <f t="shared" si="38"/>
        <v>21</v>
      </c>
      <c r="L563" t="s">
        <v>364</v>
      </c>
      <c r="R563" t="s">
        <v>1348</v>
      </c>
    </row>
    <row r="564" spans="1:19" x14ac:dyDescent="0.25">
      <c r="A564" t="s">
        <v>344</v>
      </c>
      <c r="B564" s="4">
        <v>39992</v>
      </c>
      <c r="C564" s="9">
        <f t="shared" si="34"/>
        <v>6</v>
      </c>
      <c r="D564">
        <f t="shared" si="36"/>
        <v>2009</v>
      </c>
      <c r="E564">
        <f t="shared" si="37"/>
        <v>1</v>
      </c>
      <c r="F564" t="s">
        <v>425</v>
      </c>
      <c r="G564" t="s">
        <v>374</v>
      </c>
      <c r="H564" t="s">
        <v>375</v>
      </c>
      <c r="J564">
        <v>11</v>
      </c>
      <c r="K564">
        <f t="shared" si="38"/>
        <v>11</v>
      </c>
      <c r="R564" t="s">
        <v>1348</v>
      </c>
    </row>
    <row r="565" spans="1:19" x14ac:dyDescent="0.25">
      <c r="A565" t="s">
        <v>341</v>
      </c>
      <c r="B565" s="4">
        <v>39992</v>
      </c>
      <c r="C565" s="9">
        <f t="shared" si="34"/>
        <v>6</v>
      </c>
      <c r="D565">
        <f t="shared" si="36"/>
        <v>2009</v>
      </c>
      <c r="E565">
        <f t="shared" si="37"/>
        <v>0</v>
      </c>
      <c r="F565" t="s">
        <v>297</v>
      </c>
      <c r="G565" t="s">
        <v>374</v>
      </c>
      <c r="H565" t="s">
        <v>375</v>
      </c>
      <c r="J565">
        <v>33</v>
      </c>
      <c r="K565">
        <f t="shared" si="38"/>
        <v>33</v>
      </c>
      <c r="R565" t="s">
        <v>1348</v>
      </c>
    </row>
    <row r="566" spans="1:19" x14ac:dyDescent="0.25">
      <c r="A566" t="s">
        <v>344</v>
      </c>
      <c r="B566" s="4">
        <v>40003</v>
      </c>
      <c r="C566" s="9">
        <f t="shared" si="34"/>
        <v>7</v>
      </c>
      <c r="D566">
        <f t="shared" si="36"/>
        <v>2009</v>
      </c>
      <c r="E566">
        <v>1</v>
      </c>
      <c r="F566" t="s">
        <v>299</v>
      </c>
      <c r="G566" t="s">
        <v>247</v>
      </c>
      <c r="H566" t="s">
        <v>250</v>
      </c>
      <c r="J566">
        <v>10</v>
      </c>
      <c r="K566">
        <f t="shared" si="38"/>
        <v>10</v>
      </c>
      <c r="L566" t="s">
        <v>311</v>
      </c>
      <c r="M566" t="s">
        <v>325</v>
      </c>
      <c r="R566" t="s">
        <v>1348</v>
      </c>
      <c r="S566" t="s">
        <v>1367</v>
      </c>
    </row>
    <row r="567" spans="1:19" x14ac:dyDescent="0.25">
      <c r="A567" t="s">
        <v>341</v>
      </c>
      <c r="B567" s="4">
        <v>40003</v>
      </c>
      <c r="C567" s="9">
        <f t="shared" si="34"/>
        <v>7</v>
      </c>
      <c r="D567">
        <f t="shared" si="36"/>
        <v>2009</v>
      </c>
      <c r="E567">
        <f t="shared" si="37"/>
        <v>0</v>
      </c>
      <c r="F567" t="s">
        <v>297</v>
      </c>
      <c r="G567" t="s">
        <v>247</v>
      </c>
      <c r="H567" t="s">
        <v>250</v>
      </c>
      <c r="J567">
        <v>13</v>
      </c>
      <c r="K567">
        <f t="shared" si="38"/>
        <v>13</v>
      </c>
      <c r="R567" t="s">
        <v>1348</v>
      </c>
    </row>
    <row r="568" spans="1:19" x14ac:dyDescent="0.25">
      <c r="A568" t="s">
        <v>344</v>
      </c>
      <c r="B568" s="4">
        <v>40005</v>
      </c>
      <c r="C568" s="9">
        <f t="shared" si="34"/>
        <v>7</v>
      </c>
      <c r="D568">
        <f t="shared" si="36"/>
        <v>2009</v>
      </c>
      <c r="E568">
        <f t="shared" si="37"/>
        <v>1</v>
      </c>
      <c r="F568" t="s">
        <v>299</v>
      </c>
      <c r="G568" t="s">
        <v>517</v>
      </c>
      <c r="H568" t="s">
        <v>273</v>
      </c>
      <c r="J568">
        <v>58</v>
      </c>
      <c r="K568">
        <f t="shared" si="38"/>
        <v>58</v>
      </c>
      <c r="R568" t="s">
        <v>1348</v>
      </c>
    </row>
    <row r="569" spans="1:19" x14ac:dyDescent="0.25">
      <c r="A569" t="s">
        <v>341</v>
      </c>
      <c r="B569" s="4">
        <v>40006</v>
      </c>
      <c r="C569" s="9">
        <f t="shared" si="34"/>
        <v>7</v>
      </c>
      <c r="D569">
        <f t="shared" si="36"/>
        <v>2009</v>
      </c>
      <c r="E569">
        <f t="shared" si="37"/>
        <v>1</v>
      </c>
      <c r="F569" t="s">
        <v>297</v>
      </c>
      <c r="G569" t="s">
        <v>101</v>
      </c>
      <c r="H569" t="s">
        <v>273</v>
      </c>
      <c r="J569">
        <v>39</v>
      </c>
      <c r="K569">
        <f t="shared" si="38"/>
        <v>39</v>
      </c>
      <c r="M569" t="s">
        <v>376</v>
      </c>
      <c r="R569" t="s">
        <v>1348</v>
      </c>
    </row>
    <row r="570" spans="1:19" x14ac:dyDescent="0.25">
      <c r="A570" t="s">
        <v>341</v>
      </c>
      <c r="B570" s="4">
        <v>40013</v>
      </c>
      <c r="C570" s="9">
        <f t="shared" si="34"/>
        <v>7</v>
      </c>
      <c r="D570">
        <f t="shared" si="36"/>
        <v>2009</v>
      </c>
      <c r="E570">
        <f t="shared" si="37"/>
        <v>1</v>
      </c>
      <c r="F570" t="s">
        <v>297</v>
      </c>
      <c r="G570" t="s">
        <v>101</v>
      </c>
      <c r="H570" t="s">
        <v>273</v>
      </c>
      <c r="J570">
        <v>29</v>
      </c>
      <c r="K570">
        <f t="shared" si="38"/>
        <v>29</v>
      </c>
      <c r="M570" t="s">
        <v>376</v>
      </c>
      <c r="R570" t="s">
        <v>1348</v>
      </c>
    </row>
    <row r="571" spans="1:19" x14ac:dyDescent="0.25">
      <c r="A571" t="s">
        <v>341</v>
      </c>
      <c r="B571" s="4">
        <v>40013</v>
      </c>
      <c r="C571" s="9">
        <f t="shared" si="34"/>
        <v>7</v>
      </c>
      <c r="D571">
        <f t="shared" si="36"/>
        <v>2009</v>
      </c>
      <c r="E571">
        <f t="shared" si="37"/>
        <v>0</v>
      </c>
      <c r="F571" t="s">
        <v>297</v>
      </c>
      <c r="G571" t="s">
        <v>377</v>
      </c>
      <c r="H571" t="s">
        <v>273</v>
      </c>
      <c r="I571">
        <v>1</v>
      </c>
      <c r="J571">
        <v>7</v>
      </c>
      <c r="K571">
        <f t="shared" si="38"/>
        <v>67</v>
      </c>
      <c r="R571" t="s">
        <v>1348</v>
      </c>
    </row>
    <row r="572" spans="1:19" x14ac:dyDescent="0.25">
      <c r="A572" t="s">
        <v>341</v>
      </c>
      <c r="B572" s="4">
        <v>40019</v>
      </c>
      <c r="C572" s="9">
        <f t="shared" si="34"/>
        <v>7</v>
      </c>
      <c r="D572">
        <f t="shared" si="36"/>
        <v>2009</v>
      </c>
      <c r="E572">
        <f t="shared" si="37"/>
        <v>1</v>
      </c>
      <c r="F572" t="s">
        <v>297</v>
      </c>
      <c r="G572" t="s">
        <v>377</v>
      </c>
      <c r="H572" t="s">
        <v>153</v>
      </c>
      <c r="I572">
        <v>1</v>
      </c>
      <c r="J572">
        <v>2</v>
      </c>
      <c r="K572">
        <f t="shared" si="38"/>
        <v>62</v>
      </c>
      <c r="R572" t="s">
        <v>1348</v>
      </c>
    </row>
    <row r="573" spans="1:19" x14ac:dyDescent="0.25">
      <c r="A573" t="s">
        <v>344</v>
      </c>
      <c r="B573" s="4">
        <v>40020</v>
      </c>
      <c r="C573" s="9">
        <f t="shared" si="34"/>
        <v>7</v>
      </c>
      <c r="D573">
        <f t="shared" si="36"/>
        <v>2009</v>
      </c>
      <c r="E573">
        <f t="shared" si="37"/>
        <v>1</v>
      </c>
      <c r="F573" t="s">
        <v>299</v>
      </c>
      <c r="G573" t="s">
        <v>517</v>
      </c>
      <c r="H573" t="s">
        <v>320</v>
      </c>
      <c r="I573">
        <v>1</v>
      </c>
      <c r="J573">
        <v>49</v>
      </c>
      <c r="K573">
        <f t="shared" si="38"/>
        <v>109</v>
      </c>
      <c r="M573" t="s">
        <v>379</v>
      </c>
      <c r="R573" t="s">
        <v>1348</v>
      </c>
    </row>
    <row r="574" spans="1:19" x14ac:dyDescent="0.25">
      <c r="A574" t="s">
        <v>344</v>
      </c>
      <c r="B574" s="4">
        <v>40026</v>
      </c>
      <c r="C574" s="9">
        <f t="shared" si="34"/>
        <v>8</v>
      </c>
      <c r="D574">
        <f t="shared" si="36"/>
        <v>2009</v>
      </c>
      <c r="E574">
        <f t="shared" si="37"/>
        <v>1</v>
      </c>
      <c r="F574" t="s">
        <v>299</v>
      </c>
      <c r="G574" t="s">
        <v>517</v>
      </c>
      <c r="H574" t="s">
        <v>153</v>
      </c>
      <c r="J574">
        <v>53</v>
      </c>
      <c r="K574">
        <f t="shared" si="38"/>
        <v>53</v>
      </c>
      <c r="M574" t="s">
        <v>380</v>
      </c>
      <c r="R574" t="s">
        <v>1348</v>
      </c>
    </row>
    <row r="575" spans="1:19" x14ac:dyDescent="0.25">
      <c r="A575" t="s">
        <v>341</v>
      </c>
      <c r="B575" s="4">
        <v>40034</v>
      </c>
      <c r="C575" s="9">
        <f t="shared" si="34"/>
        <v>8</v>
      </c>
      <c r="D575">
        <f t="shared" si="36"/>
        <v>2009</v>
      </c>
      <c r="E575">
        <f t="shared" si="37"/>
        <v>1</v>
      </c>
      <c r="F575" t="s">
        <v>297</v>
      </c>
      <c r="G575" t="s">
        <v>101</v>
      </c>
      <c r="H575" t="s">
        <v>320</v>
      </c>
      <c r="J575">
        <v>45</v>
      </c>
      <c r="K575">
        <f t="shared" si="38"/>
        <v>45</v>
      </c>
      <c r="R575" t="s">
        <v>1348</v>
      </c>
    </row>
    <row r="576" spans="1:19" x14ac:dyDescent="0.25">
      <c r="A576" t="s">
        <v>341</v>
      </c>
      <c r="B576" s="4">
        <v>40053</v>
      </c>
      <c r="C576" s="9">
        <f t="shared" si="34"/>
        <v>8</v>
      </c>
      <c r="D576">
        <f t="shared" si="36"/>
        <v>2009</v>
      </c>
      <c r="E576">
        <f t="shared" si="37"/>
        <v>1</v>
      </c>
      <c r="F576" t="s">
        <v>297</v>
      </c>
      <c r="G576" t="s">
        <v>101</v>
      </c>
      <c r="H576" t="s">
        <v>320</v>
      </c>
      <c r="I576">
        <v>1</v>
      </c>
      <c r="J576">
        <v>50</v>
      </c>
      <c r="K576">
        <f t="shared" si="38"/>
        <v>110</v>
      </c>
      <c r="M576" t="s">
        <v>381</v>
      </c>
      <c r="R576" t="s">
        <v>1348</v>
      </c>
    </row>
    <row r="577" spans="1:18" x14ac:dyDescent="0.25">
      <c r="A577" t="s">
        <v>341</v>
      </c>
      <c r="B577" s="4">
        <v>40055</v>
      </c>
      <c r="C577" s="9">
        <f t="shared" si="34"/>
        <v>8</v>
      </c>
      <c r="D577">
        <f t="shared" si="36"/>
        <v>2009</v>
      </c>
      <c r="E577">
        <f t="shared" si="37"/>
        <v>1</v>
      </c>
      <c r="F577" t="s">
        <v>297</v>
      </c>
      <c r="G577" t="s">
        <v>101</v>
      </c>
      <c r="H577" t="s">
        <v>273</v>
      </c>
      <c r="J577">
        <v>45</v>
      </c>
      <c r="K577">
        <f t="shared" si="38"/>
        <v>45</v>
      </c>
      <c r="R577" t="s">
        <v>1348</v>
      </c>
    </row>
    <row r="578" spans="1:18" x14ac:dyDescent="0.25">
      <c r="A578" t="s">
        <v>344</v>
      </c>
      <c r="B578" s="4">
        <v>40062</v>
      </c>
      <c r="C578" s="9">
        <f t="shared" si="34"/>
        <v>9</v>
      </c>
      <c r="D578">
        <f t="shared" si="36"/>
        <v>2009</v>
      </c>
      <c r="E578">
        <f t="shared" si="37"/>
        <v>1</v>
      </c>
      <c r="F578" t="s">
        <v>299</v>
      </c>
      <c r="G578" t="s">
        <v>7</v>
      </c>
      <c r="H578" t="s">
        <v>55</v>
      </c>
      <c r="J578">
        <v>30</v>
      </c>
      <c r="K578">
        <f t="shared" si="38"/>
        <v>30</v>
      </c>
      <c r="R578" t="s">
        <v>1348</v>
      </c>
    </row>
    <row r="579" spans="1:18" x14ac:dyDescent="0.25">
      <c r="A579" t="s">
        <v>341</v>
      </c>
      <c r="B579" s="4">
        <v>40068</v>
      </c>
      <c r="C579" s="9">
        <f t="shared" ref="C579:C642" si="39">MONTH(B579)</f>
        <v>9</v>
      </c>
      <c r="D579">
        <f t="shared" si="36"/>
        <v>2009</v>
      </c>
      <c r="E579">
        <f t="shared" si="37"/>
        <v>1</v>
      </c>
      <c r="F579" t="s">
        <v>297</v>
      </c>
      <c r="G579" t="s">
        <v>101</v>
      </c>
      <c r="H579" t="s">
        <v>273</v>
      </c>
      <c r="J579">
        <v>20</v>
      </c>
      <c r="K579">
        <f t="shared" si="38"/>
        <v>20</v>
      </c>
      <c r="R579" t="s">
        <v>1348</v>
      </c>
    </row>
    <row r="580" spans="1:18" x14ac:dyDescent="0.25">
      <c r="A580" t="s">
        <v>341</v>
      </c>
      <c r="B580" s="4">
        <v>40069</v>
      </c>
      <c r="C580" s="9">
        <f t="shared" si="39"/>
        <v>9</v>
      </c>
      <c r="D580">
        <f t="shared" si="36"/>
        <v>2009</v>
      </c>
      <c r="E580">
        <f t="shared" si="37"/>
        <v>1</v>
      </c>
      <c r="F580" t="s">
        <v>297</v>
      </c>
      <c r="G580" t="s">
        <v>101</v>
      </c>
      <c r="H580" t="s">
        <v>273</v>
      </c>
      <c r="J580">
        <v>29</v>
      </c>
      <c r="K580">
        <f t="shared" si="38"/>
        <v>29</v>
      </c>
      <c r="R580" t="s">
        <v>1348</v>
      </c>
    </row>
    <row r="581" spans="1:18" x14ac:dyDescent="0.25">
      <c r="A581" t="s">
        <v>344</v>
      </c>
      <c r="B581" s="4">
        <v>40076</v>
      </c>
      <c r="C581" s="9">
        <f t="shared" si="39"/>
        <v>9</v>
      </c>
      <c r="D581">
        <f t="shared" si="36"/>
        <v>2009</v>
      </c>
      <c r="E581">
        <f t="shared" si="37"/>
        <v>1</v>
      </c>
      <c r="F581" t="s">
        <v>299</v>
      </c>
      <c r="G581" t="s">
        <v>101</v>
      </c>
      <c r="H581" t="s">
        <v>273</v>
      </c>
      <c r="J581">
        <v>32</v>
      </c>
      <c r="K581">
        <f t="shared" si="38"/>
        <v>32</v>
      </c>
      <c r="M581" t="s">
        <v>384</v>
      </c>
      <c r="R581" t="s">
        <v>1348</v>
      </c>
    </row>
    <row r="582" spans="1:18" x14ac:dyDescent="0.25">
      <c r="A582" t="s">
        <v>344</v>
      </c>
      <c r="B582" s="4">
        <v>40076</v>
      </c>
      <c r="C582" s="9">
        <f t="shared" si="39"/>
        <v>9</v>
      </c>
      <c r="D582">
        <f t="shared" si="36"/>
        <v>2009</v>
      </c>
      <c r="E582">
        <f t="shared" si="37"/>
        <v>0</v>
      </c>
      <c r="F582" t="s">
        <v>299</v>
      </c>
      <c r="G582" t="s">
        <v>101</v>
      </c>
      <c r="H582" t="s">
        <v>273</v>
      </c>
      <c r="J582">
        <v>22</v>
      </c>
      <c r="K582">
        <f t="shared" si="38"/>
        <v>22</v>
      </c>
      <c r="M582" s="6" t="s">
        <v>385</v>
      </c>
      <c r="R582" t="s">
        <v>1348</v>
      </c>
    </row>
    <row r="583" spans="1:18" x14ac:dyDescent="0.25">
      <c r="A583" t="s">
        <v>344</v>
      </c>
      <c r="B583" s="4">
        <v>40082</v>
      </c>
      <c r="C583" s="9">
        <f t="shared" si="39"/>
        <v>9</v>
      </c>
      <c r="D583">
        <f t="shared" si="36"/>
        <v>2009</v>
      </c>
      <c r="E583">
        <f t="shared" si="37"/>
        <v>1</v>
      </c>
      <c r="F583" t="s">
        <v>299</v>
      </c>
      <c r="G583" t="s">
        <v>101</v>
      </c>
      <c r="H583" t="s">
        <v>153</v>
      </c>
      <c r="J583">
        <v>57</v>
      </c>
      <c r="K583">
        <f t="shared" si="38"/>
        <v>57</v>
      </c>
      <c r="R583" t="s">
        <v>1348</v>
      </c>
    </row>
    <row r="584" spans="1:18" x14ac:dyDescent="0.25">
      <c r="A584" t="s">
        <v>341</v>
      </c>
      <c r="B584" s="4">
        <v>40083</v>
      </c>
      <c r="C584" s="9">
        <f t="shared" si="39"/>
        <v>9</v>
      </c>
      <c r="D584">
        <f t="shared" si="36"/>
        <v>2009</v>
      </c>
      <c r="E584">
        <f t="shared" si="37"/>
        <v>1</v>
      </c>
      <c r="F584" t="s">
        <v>297</v>
      </c>
      <c r="G584" t="s">
        <v>101</v>
      </c>
      <c r="H584" t="s">
        <v>244</v>
      </c>
      <c r="I584">
        <v>1</v>
      </c>
      <c r="J584">
        <v>48</v>
      </c>
      <c r="K584">
        <f t="shared" si="38"/>
        <v>108</v>
      </c>
      <c r="M584" t="s">
        <v>382</v>
      </c>
      <c r="R584" t="s">
        <v>1348</v>
      </c>
    </row>
    <row r="585" spans="1:18" x14ac:dyDescent="0.25">
      <c r="A585" t="s">
        <v>341</v>
      </c>
      <c r="B585" s="4">
        <v>40089</v>
      </c>
      <c r="C585" s="9">
        <f t="shared" si="39"/>
        <v>10</v>
      </c>
      <c r="D585">
        <f t="shared" si="36"/>
        <v>2009</v>
      </c>
      <c r="E585">
        <f t="shared" si="37"/>
        <v>1</v>
      </c>
      <c r="F585" t="s">
        <v>297</v>
      </c>
      <c r="G585" t="s">
        <v>101</v>
      </c>
      <c r="H585" t="s">
        <v>273</v>
      </c>
      <c r="J585">
        <v>30</v>
      </c>
      <c r="K585">
        <f t="shared" si="38"/>
        <v>30</v>
      </c>
      <c r="M585" t="s">
        <v>383</v>
      </c>
      <c r="R585" t="s">
        <v>1348</v>
      </c>
    </row>
    <row r="586" spans="1:18" x14ac:dyDescent="0.25">
      <c r="A586" t="s">
        <v>341</v>
      </c>
      <c r="B586" s="4">
        <v>40109</v>
      </c>
      <c r="C586" s="9">
        <f t="shared" si="39"/>
        <v>10</v>
      </c>
      <c r="D586">
        <f t="shared" si="36"/>
        <v>2009</v>
      </c>
      <c r="E586">
        <f t="shared" si="37"/>
        <v>1</v>
      </c>
      <c r="F586" t="s">
        <v>386</v>
      </c>
      <c r="G586" t="s">
        <v>387</v>
      </c>
      <c r="H586" t="s">
        <v>388</v>
      </c>
      <c r="J586">
        <v>50</v>
      </c>
      <c r="K586">
        <f t="shared" si="38"/>
        <v>50</v>
      </c>
      <c r="M586" t="s">
        <v>389</v>
      </c>
      <c r="R586" t="s">
        <v>1353</v>
      </c>
    </row>
    <row r="587" spans="1:18" x14ac:dyDescent="0.25">
      <c r="A587" t="s">
        <v>344</v>
      </c>
      <c r="B587" s="4">
        <v>40114</v>
      </c>
      <c r="C587" s="9">
        <f t="shared" si="39"/>
        <v>10</v>
      </c>
      <c r="D587">
        <f t="shared" si="36"/>
        <v>2009</v>
      </c>
      <c r="E587">
        <f t="shared" si="37"/>
        <v>1</v>
      </c>
      <c r="F587" t="s">
        <v>299</v>
      </c>
      <c r="G587" t="s">
        <v>387</v>
      </c>
      <c r="H587" t="s">
        <v>388</v>
      </c>
      <c r="J587">
        <v>7</v>
      </c>
      <c r="K587">
        <f t="shared" si="38"/>
        <v>7</v>
      </c>
      <c r="M587" t="s">
        <v>389</v>
      </c>
      <c r="R587" t="s">
        <v>1353</v>
      </c>
    </row>
    <row r="588" spans="1:18" x14ac:dyDescent="0.25">
      <c r="A588" t="s">
        <v>341</v>
      </c>
      <c r="B588" s="4">
        <v>40114</v>
      </c>
      <c r="C588" s="9">
        <f t="shared" si="39"/>
        <v>10</v>
      </c>
      <c r="D588">
        <f t="shared" si="36"/>
        <v>2009</v>
      </c>
      <c r="E588">
        <f t="shared" si="37"/>
        <v>0</v>
      </c>
      <c r="F588" t="s">
        <v>386</v>
      </c>
      <c r="G588" t="s">
        <v>387</v>
      </c>
      <c r="H588" t="s">
        <v>390</v>
      </c>
      <c r="J588">
        <v>24</v>
      </c>
      <c r="K588">
        <f t="shared" si="38"/>
        <v>24</v>
      </c>
      <c r="M588" t="s">
        <v>391</v>
      </c>
      <c r="R588" t="s">
        <v>1353</v>
      </c>
    </row>
    <row r="589" spans="1:18" x14ac:dyDescent="0.25">
      <c r="A589" t="s">
        <v>344</v>
      </c>
      <c r="B589" s="4">
        <v>40201</v>
      </c>
      <c r="C589" s="9">
        <f t="shared" si="39"/>
        <v>1</v>
      </c>
      <c r="D589">
        <f t="shared" si="36"/>
        <v>2010</v>
      </c>
      <c r="E589">
        <f t="shared" si="37"/>
        <v>1</v>
      </c>
      <c r="F589" t="s">
        <v>299</v>
      </c>
      <c r="G589" t="s">
        <v>101</v>
      </c>
      <c r="H589" t="s">
        <v>244</v>
      </c>
      <c r="J589">
        <v>19</v>
      </c>
      <c r="K589">
        <f t="shared" si="38"/>
        <v>19</v>
      </c>
      <c r="R589" t="s">
        <v>1348</v>
      </c>
    </row>
    <row r="590" spans="1:18" x14ac:dyDescent="0.25">
      <c r="A590" t="s">
        <v>341</v>
      </c>
      <c r="B590" s="4">
        <v>40245</v>
      </c>
      <c r="C590" s="9">
        <f t="shared" si="39"/>
        <v>3</v>
      </c>
      <c r="D590">
        <f t="shared" si="36"/>
        <v>2010</v>
      </c>
      <c r="E590">
        <f t="shared" si="37"/>
        <v>1</v>
      </c>
      <c r="F590" t="s">
        <v>297</v>
      </c>
      <c r="G590" t="s">
        <v>101</v>
      </c>
      <c r="H590" t="s">
        <v>244</v>
      </c>
      <c r="J590">
        <v>41</v>
      </c>
      <c r="K590">
        <f t="shared" si="38"/>
        <v>41</v>
      </c>
      <c r="R590" t="s">
        <v>1348</v>
      </c>
    </row>
    <row r="591" spans="1:18" x14ac:dyDescent="0.25">
      <c r="A591" t="s">
        <v>341</v>
      </c>
      <c r="B591" s="4">
        <v>40277</v>
      </c>
      <c r="C591" s="9">
        <f t="shared" si="39"/>
        <v>4</v>
      </c>
      <c r="D591">
        <f t="shared" si="36"/>
        <v>2010</v>
      </c>
      <c r="E591">
        <f t="shared" si="37"/>
        <v>1</v>
      </c>
      <c r="F591" t="s">
        <v>297</v>
      </c>
      <c r="G591" t="s">
        <v>101</v>
      </c>
      <c r="H591" t="s">
        <v>392</v>
      </c>
      <c r="J591">
        <v>20</v>
      </c>
      <c r="K591">
        <f t="shared" si="38"/>
        <v>20</v>
      </c>
      <c r="R591" t="s">
        <v>1348</v>
      </c>
    </row>
    <row r="592" spans="1:18" x14ac:dyDescent="0.25">
      <c r="A592" t="s">
        <v>341</v>
      </c>
      <c r="B592" s="4">
        <v>40278</v>
      </c>
      <c r="C592" s="9">
        <f t="shared" si="39"/>
        <v>4</v>
      </c>
      <c r="D592">
        <f t="shared" si="36"/>
        <v>2010</v>
      </c>
      <c r="E592">
        <f t="shared" si="37"/>
        <v>1</v>
      </c>
      <c r="F592" t="s">
        <v>297</v>
      </c>
      <c r="G592" t="s">
        <v>101</v>
      </c>
      <c r="H592" t="s">
        <v>392</v>
      </c>
      <c r="J592">
        <v>50</v>
      </c>
      <c r="K592">
        <f t="shared" si="38"/>
        <v>50</v>
      </c>
      <c r="R592" t="s">
        <v>1348</v>
      </c>
    </row>
    <row r="593" spans="1:18" x14ac:dyDescent="0.25">
      <c r="A593" t="s">
        <v>341</v>
      </c>
      <c r="B593" s="4">
        <v>40278</v>
      </c>
      <c r="C593" s="9">
        <f t="shared" si="39"/>
        <v>4</v>
      </c>
      <c r="D593">
        <f t="shared" si="36"/>
        <v>2010</v>
      </c>
      <c r="E593">
        <f t="shared" si="37"/>
        <v>0</v>
      </c>
      <c r="F593" t="s">
        <v>297</v>
      </c>
      <c r="G593" t="s">
        <v>101</v>
      </c>
      <c r="H593" t="s">
        <v>392</v>
      </c>
      <c r="J593">
        <v>10</v>
      </c>
      <c r="K593">
        <f t="shared" si="38"/>
        <v>10</v>
      </c>
      <c r="R593" t="s">
        <v>1348</v>
      </c>
    </row>
    <row r="594" spans="1:18" x14ac:dyDescent="0.25">
      <c r="A594" t="s">
        <v>341</v>
      </c>
      <c r="B594" s="4">
        <v>40278</v>
      </c>
      <c r="C594" s="9">
        <f t="shared" si="39"/>
        <v>4</v>
      </c>
      <c r="D594">
        <f t="shared" ref="D594:D656" si="40">YEAR(B594)</f>
        <v>2010</v>
      </c>
      <c r="E594">
        <f t="shared" ref="E594:E656" si="41">IF(OR(A594 = "GS",A594 = "BP"),IF( OR(A593="GS",A593="BP"),IF(B593=B594,0,1),1),0)</f>
        <v>0</v>
      </c>
      <c r="F594" t="s">
        <v>297</v>
      </c>
      <c r="G594" t="s">
        <v>101</v>
      </c>
      <c r="H594" t="s">
        <v>273</v>
      </c>
      <c r="J594">
        <v>20</v>
      </c>
      <c r="K594">
        <f t="shared" ref="K594:K656" si="42">I594*60+J594</f>
        <v>20</v>
      </c>
      <c r="R594" t="s">
        <v>1348</v>
      </c>
    </row>
    <row r="595" spans="1:18" x14ac:dyDescent="0.25">
      <c r="A595" t="s">
        <v>341</v>
      </c>
      <c r="B595" s="4">
        <v>40284</v>
      </c>
      <c r="C595" s="9">
        <f t="shared" si="39"/>
        <v>4</v>
      </c>
      <c r="D595">
        <f t="shared" si="40"/>
        <v>2010</v>
      </c>
      <c r="E595">
        <f t="shared" si="41"/>
        <v>1</v>
      </c>
      <c r="F595" t="s">
        <v>297</v>
      </c>
      <c r="G595" t="s">
        <v>101</v>
      </c>
      <c r="H595" t="s">
        <v>273</v>
      </c>
      <c r="J595">
        <v>20</v>
      </c>
      <c r="K595">
        <f t="shared" si="42"/>
        <v>20</v>
      </c>
      <c r="R595" t="s">
        <v>1348</v>
      </c>
    </row>
    <row r="596" spans="1:18" x14ac:dyDescent="0.25">
      <c r="A596" t="s">
        <v>344</v>
      </c>
      <c r="B596" s="4">
        <v>40285</v>
      </c>
      <c r="C596" s="9">
        <f t="shared" si="39"/>
        <v>4</v>
      </c>
      <c r="D596">
        <f t="shared" si="40"/>
        <v>2010</v>
      </c>
      <c r="E596">
        <f t="shared" si="41"/>
        <v>1</v>
      </c>
      <c r="F596" t="s">
        <v>299</v>
      </c>
      <c r="G596" t="s">
        <v>101</v>
      </c>
      <c r="H596" t="s">
        <v>273</v>
      </c>
      <c r="I596">
        <v>2</v>
      </c>
      <c r="J596">
        <v>0</v>
      </c>
      <c r="K596">
        <f t="shared" si="42"/>
        <v>120</v>
      </c>
      <c r="M596" t="s">
        <v>112</v>
      </c>
      <c r="R596" t="s">
        <v>1348</v>
      </c>
    </row>
    <row r="597" spans="1:18" x14ac:dyDescent="0.25">
      <c r="A597" t="s">
        <v>341</v>
      </c>
      <c r="B597" s="4">
        <v>40322</v>
      </c>
      <c r="C597" s="9">
        <f t="shared" si="39"/>
        <v>5</v>
      </c>
      <c r="D597">
        <f t="shared" si="40"/>
        <v>2010</v>
      </c>
      <c r="E597">
        <f t="shared" si="41"/>
        <v>1</v>
      </c>
      <c r="F597" t="s">
        <v>297</v>
      </c>
      <c r="G597" t="s">
        <v>393</v>
      </c>
      <c r="H597" t="s">
        <v>294</v>
      </c>
      <c r="J597">
        <v>39</v>
      </c>
      <c r="K597">
        <f t="shared" si="42"/>
        <v>39</v>
      </c>
      <c r="L597" t="s">
        <v>295</v>
      </c>
      <c r="R597" t="s">
        <v>1349</v>
      </c>
    </row>
    <row r="598" spans="1:18" x14ac:dyDescent="0.25">
      <c r="A598" t="s">
        <v>341</v>
      </c>
      <c r="B598" s="4">
        <v>40322</v>
      </c>
      <c r="C598" s="9">
        <f t="shared" si="39"/>
        <v>5</v>
      </c>
      <c r="D598">
        <f t="shared" si="40"/>
        <v>2010</v>
      </c>
      <c r="E598">
        <f t="shared" si="41"/>
        <v>0</v>
      </c>
      <c r="F598" t="s">
        <v>297</v>
      </c>
      <c r="G598" t="s">
        <v>393</v>
      </c>
      <c r="H598" t="s">
        <v>294</v>
      </c>
      <c r="I598">
        <v>1</v>
      </c>
      <c r="J598">
        <v>26</v>
      </c>
      <c r="K598">
        <f t="shared" si="42"/>
        <v>86</v>
      </c>
      <c r="L598" t="s">
        <v>295</v>
      </c>
      <c r="R598" t="s">
        <v>1349</v>
      </c>
    </row>
    <row r="599" spans="1:18" x14ac:dyDescent="0.25">
      <c r="A599" t="s">
        <v>341</v>
      </c>
      <c r="B599" s="4">
        <v>40323</v>
      </c>
      <c r="C599" s="9">
        <f t="shared" si="39"/>
        <v>5</v>
      </c>
      <c r="D599">
        <f t="shared" si="40"/>
        <v>2010</v>
      </c>
      <c r="E599">
        <f t="shared" si="41"/>
        <v>1</v>
      </c>
      <c r="F599" t="s">
        <v>297</v>
      </c>
      <c r="G599" t="s">
        <v>292</v>
      </c>
      <c r="H599" t="s">
        <v>292</v>
      </c>
      <c r="J599">
        <v>30</v>
      </c>
      <c r="K599">
        <f t="shared" si="42"/>
        <v>30</v>
      </c>
      <c r="L599" t="s">
        <v>295</v>
      </c>
      <c r="M599" t="s">
        <v>394</v>
      </c>
      <c r="R599" t="s">
        <v>1349</v>
      </c>
    </row>
    <row r="600" spans="1:18" x14ac:dyDescent="0.25">
      <c r="A600" t="s">
        <v>341</v>
      </c>
      <c r="B600" s="4">
        <v>40323</v>
      </c>
      <c r="C600" s="9">
        <f t="shared" si="39"/>
        <v>5</v>
      </c>
      <c r="D600">
        <f t="shared" si="40"/>
        <v>2010</v>
      </c>
      <c r="E600">
        <f t="shared" si="41"/>
        <v>0</v>
      </c>
      <c r="F600" t="s">
        <v>297</v>
      </c>
      <c r="G600" t="s">
        <v>292</v>
      </c>
      <c r="H600" t="s">
        <v>292</v>
      </c>
      <c r="J600">
        <v>15</v>
      </c>
      <c r="K600">
        <f t="shared" si="42"/>
        <v>15</v>
      </c>
      <c r="L600" t="s">
        <v>295</v>
      </c>
      <c r="R600" t="s">
        <v>1349</v>
      </c>
    </row>
    <row r="601" spans="1:18" x14ac:dyDescent="0.25">
      <c r="A601" t="s">
        <v>341</v>
      </c>
      <c r="B601" s="4">
        <v>40324</v>
      </c>
      <c r="C601" s="9">
        <f t="shared" si="39"/>
        <v>5</v>
      </c>
      <c r="D601">
        <f t="shared" si="40"/>
        <v>2010</v>
      </c>
      <c r="E601">
        <f t="shared" si="41"/>
        <v>1</v>
      </c>
      <c r="F601" t="s">
        <v>297</v>
      </c>
      <c r="G601" t="s">
        <v>393</v>
      </c>
      <c r="H601" t="s">
        <v>294</v>
      </c>
      <c r="J601">
        <v>40</v>
      </c>
      <c r="K601">
        <f t="shared" si="42"/>
        <v>40</v>
      </c>
      <c r="L601" t="s">
        <v>295</v>
      </c>
      <c r="R601" t="s">
        <v>1349</v>
      </c>
    </row>
    <row r="602" spans="1:18" x14ac:dyDescent="0.25">
      <c r="A602" t="s">
        <v>344</v>
      </c>
      <c r="B602" s="4">
        <v>40324</v>
      </c>
      <c r="C602" s="9">
        <f t="shared" si="39"/>
        <v>5</v>
      </c>
      <c r="D602">
        <f t="shared" si="40"/>
        <v>2010</v>
      </c>
      <c r="E602">
        <f t="shared" si="41"/>
        <v>0</v>
      </c>
      <c r="F602" t="s">
        <v>299</v>
      </c>
      <c r="G602" t="s">
        <v>393</v>
      </c>
      <c r="H602" t="s">
        <v>294</v>
      </c>
      <c r="J602">
        <v>30</v>
      </c>
      <c r="K602">
        <f t="shared" si="42"/>
        <v>30</v>
      </c>
      <c r="L602" t="s">
        <v>295</v>
      </c>
      <c r="R602" t="s">
        <v>1349</v>
      </c>
    </row>
    <row r="603" spans="1:18" x14ac:dyDescent="0.25">
      <c r="A603" t="s">
        <v>344</v>
      </c>
      <c r="B603" s="4">
        <v>40324</v>
      </c>
      <c r="C603" s="9">
        <f t="shared" si="39"/>
        <v>5</v>
      </c>
      <c r="D603">
        <f t="shared" si="40"/>
        <v>2010</v>
      </c>
      <c r="E603">
        <f t="shared" si="41"/>
        <v>0</v>
      </c>
      <c r="F603" t="s">
        <v>299</v>
      </c>
      <c r="G603" t="s">
        <v>291</v>
      </c>
      <c r="H603" t="s">
        <v>291</v>
      </c>
      <c r="J603">
        <v>42</v>
      </c>
      <c r="K603">
        <f t="shared" si="42"/>
        <v>42</v>
      </c>
      <c r="L603" t="s">
        <v>295</v>
      </c>
      <c r="R603" t="s">
        <v>1349</v>
      </c>
    </row>
    <row r="604" spans="1:18" x14ac:dyDescent="0.25">
      <c r="A604" t="s">
        <v>341</v>
      </c>
      <c r="B604" s="4">
        <v>40325</v>
      </c>
      <c r="C604" s="9">
        <f t="shared" si="39"/>
        <v>5</v>
      </c>
      <c r="D604">
        <f t="shared" si="40"/>
        <v>2010</v>
      </c>
      <c r="E604">
        <f t="shared" si="41"/>
        <v>1</v>
      </c>
      <c r="F604" t="s">
        <v>297</v>
      </c>
      <c r="G604" t="s">
        <v>393</v>
      </c>
      <c r="H604" t="s">
        <v>294</v>
      </c>
      <c r="J604">
        <v>15</v>
      </c>
      <c r="K604">
        <f t="shared" si="42"/>
        <v>15</v>
      </c>
      <c r="L604" t="s">
        <v>295</v>
      </c>
      <c r="R604" t="s">
        <v>1349</v>
      </c>
    </row>
    <row r="605" spans="1:18" x14ac:dyDescent="0.25">
      <c r="A605" t="s">
        <v>341</v>
      </c>
      <c r="B605" s="4">
        <v>40326</v>
      </c>
      <c r="C605" s="9">
        <f t="shared" si="39"/>
        <v>5</v>
      </c>
      <c r="D605">
        <f t="shared" si="40"/>
        <v>2010</v>
      </c>
      <c r="E605">
        <f t="shared" si="41"/>
        <v>1</v>
      </c>
      <c r="F605" t="s">
        <v>297</v>
      </c>
      <c r="G605" t="s">
        <v>393</v>
      </c>
      <c r="H605" t="s">
        <v>294</v>
      </c>
      <c r="J605">
        <v>22</v>
      </c>
      <c r="K605">
        <f t="shared" si="42"/>
        <v>22</v>
      </c>
      <c r="L605" t="s">
        <v>295</v>
      </c>
      <c r="R605" t="s">
        <v>1349</v>
      </c>
    </row>
    <row r="606" spans="1:18" x14ac:dyDescent="0.25">
      <c r="A606" t="s">
        <v>341</v>
      </c>
      <c r="B606" s="4">
        <v>40326</v>
      </c>
      <c r="C606" s="9">
        <f t="shared" si="39"/>
        <v>5</v>
      </c>
      <c r="D606">
        <f t="shared" si="40"/>
        <v>2010</v>
      </c>
      <c r="E606">
        <f t="shared" si="41"/>
        <v>0</v>
      </c>
      <c r="F606" t="s">
        <v>297</v>
      </c>
      <c r="G606" t="s">
        <v>393</v>
      </c>
      <c r="H606" t="s">
        <v>395</v>
      </c>
      <c r="J606">
        <v>50</v>
      </c>
      <c r="K606">
        <f t="shared" si="42"/>
        <v>50</v>
      </c>
      <c r="L606" t="s">
        <v>295</v>
      </c>
      <c r="R606" t="s">
        <v>1349</v>
      </c>
    </row>
    <row r="607" spans="1:18" x14ac:dyDescent="0.25">
      <c r="A607" t="s">
        <v>341</v>
      </c>
      <c r="B607" s="4">
        <v>40333</v>
      </c>
      <c r="C607" s="9">
        <f t="shared" si="39"/>
        <v>6</v>
      </c>
      <c r="D607">
        <f t="shared" si="40"/>
        <v>2010</v>
      </c>
      <c r="E607">
        <f t="shared" si="41"/>
        <v>1</v>
      </c>
      <c r="F607" t="s">
        <v>297</v>
      </c>
      <c r="G607" t="s">
        <v>101</v>
      </c>
      <c r="H607" t="s">
        <v>273</v>
      </c>
      <c r="J607">
        <v>12</v>
      </c>
      <c r="K607">
        <f t="shared" si="42"/>
        <v>12</v>
      </c>
      <c r="R607" t="s">
        <v>1348</v>
      </c>
    </row>
    <row r="608" spans="1:18" x14ac:dyDescent="0.25">
      <c r="A608" t="s">
        <v>344</v>
      </c>
      <c r="B608" s="4">
        <v>40334</v>
      </c>
      <c r="C608" s="9">
        <f t="shared" si="39"/>
        <v>6</v>
      </c>
      <c r="D608">
        <f t="shared" si="40"/>
        <v>2010</v>
      </c>
      <c r="E608">
        <f t="shared" si="41"/>
        <v>1</v>
      </c>
      <c r="F608" t="s">
        <v>299</v>
      </c>
      <c r="G608" t="s">
        <v>282</v>
      </c>
      <c r="H608" t="s">
        <v>273</v>
      </c>
      <c r="J608">
        <v>54</v>
      </c>
      <c r="K608">
        <f t="shared" si="42"/>
        <v>54</v>
      </c>
      <c r="M608" t="s">
        <v>396</v>
      </c>
      <c r="R608" t="s">
        <v>1348</v>
      </c>
    </row>
    <row r="609" spans="1:19" x14ac:dyDescent="0.25">
      <c r="A609" t="s">
        <v>341</v>
      </c>
      <c r="B609" s="4">
        <v>40335</v>
      </c>
      <c r="C609" s="9">
        <f t="shared" si="39"/>
        <v>6</v>
      </c>
      <c r="D609">
        <f t="shared" si="40"/>
        <v>2010</v>
      </c>
      <c r="E609">
        <f t="shared" si="41"/>
        <v>1</v>
      </c>
      <c r="F609" t="s">
        <v>297</v>
      </c>
      <c r="G609" t="s">
        <v>101</v>
      </c>
      <c r="H609" t="s">
        <v>153</v>
      </c>
      <c r="J609">
        <v>47</v>
      </c>
      <c r="K609">
        <f t="shared" si="42"/>
        <v>47</v>
      </c>
      <c r="R609" t="s">
        <v>1348</v>
      </c>
    </row>
    <row r="610" spans="1:19" x14ac:dyDescent="0.25">
      <c r="A610" t="s">
        <v>341</v>
      </c>
      <c r="B610" s="4">
        <v>40350</v>
      </c>
      <c r="C610" s="9">
        <f t="shared" si="39"/>
        <v>6</v>
      </c>
      <c r="D610">
        <f t="shared" si="40"/>
        <v>2010</v>
      </c>
      <c r="E610">
        <f t="shared" si="41"/>
        <v>1</v>
      </c>
      <c r="F610" t="s">
        <v>297</v>
      </c>
      <c r="G610" t="s">
        <v>397</v>
      </c>
      <c r="H610" t="s">
        <v>398</v>
      </c>
      <c r="J610">
        <v>16</v>
      </c>
      <c r="K610">
        <f t="shared" si="42"/>
        <v>16</v>
      </c>
      <c r="L610" t="s">
        <v>364</v>
      </c>
      <c r="R610" t="s">
        <v>1348</v>
      </c>
    </row>
    <row r="611" spans="1:19" x14ac:dyDescent="0.25">
      <c r="A611" t="s">
        <v>341</v>
      </c>
      <c r="B611" s="4">
        <v>40351</v>
      </c>
      <c r="C611" s="9">
        <f t="shared" si="39"/>
        <v>6</v>
      </c>
      <c r="D611">
        <f t="shared" si="40"/>
        <v>2010</v>
      </c>
      <c r="E611">
        <f t="shared" si="41"/>
        <v>1</v>
      </c>
      <c r="F611" t="s">
        <v>297</v>
      </c>
      <c r="G611" t="s">
        <v>399</v>
      </c>
      <c r="H611" t="s">
        <v>400</v>
      </c>
      <c r="J611">
        <v>51</v>
      </c>
      <c r="K611">
        <f t="shared" si="42"/>
        <v>51</v>
      </c>
      <c r="L611" t="s">
        <v>364</v>
      </c>
      <c r="R611" t="s">
        <v>1348</v>
      </c>
    </row>
    <row r="612" spans="1:19" x14ac:dyDescent="0.25">
      <c r="A612" t="s">
        <v>341</v>
      </c>
      <c r="B612" s="4">
        <v>40351</v>
      </c>
      <c r="C612" s="9">
        <f t="shared" si="39"/>
        <v>6</v>
      </c>
      <c r="D612">
        <f t="shared" si="40"/>
        <v>2010</v>
      </c>
      <c r="E612">
        <f t="shared" si="41"/>
        <v>0</v>
      </c>
      <c r="F612" t="s">
        <v>297</v>
      </c>
      <c r="G612" t="s">
        <v>367</v>
      </c>
      <c r="H612" t="s">
        <v>368</v>
      </c>
      <c r="J612">
        <v>15</v>
      </c>
      <c r="K612">
        <f t="shared" si="42"/>
        <v>15</v>
      </c>
      <c r="L612" t="s">
        <v>364</v>
      </c>
      <c r="R612" t="s">
        <v>1348</v>
      </c>
    </row>
    <row r="613" spans="1:19" x14ac:dyDescent="0.25">
      <c r="A613" t="s">
        <v>341</v>
      </c>
      <c r="B613" s="4">
        <v>40352</v>
      </c>
      <c r="C613" s="9">
        <f t="shared" si="39"/>
        <v>6</v>
      </c>
      <c r="D613">
        <f t="shared" si="40"/>
        <v>2010</v>
      </c>
      <c r="E613">
        <f t="shared" si="41"/>
        <v>1</v>
      </c>
      <c r="F613" t="s">
        <v>297</v>
      </c>
      <c r="G613" t="s">
        <v>399</v>
      </c>
      <c r="H613" t="s">
        <v>400</v>
      </c>
      <c r="I613">
        <v>1</v>
      </c>
      <c r="J613">
        <v>28</v>
      </c>
      <c r="K613">
        <f t="shared" si="42"/>
        <v>88</v>
      </c>
      <c r="L613" t="s">
        <v>364</v>
      </c>
      <c r="R613" t="s">
        <v>1348</v>
      </c>
    </row>
    <row r="614" spans="1:19" x14ac:dyDescent="0.25">
      <c r="A614" t="s">
        <v>344</v>
      </c>
      <c r="B614" s="4">
        <v>40352</v>
      </c>
      <c r="C614" s="9">
        <f t="shared" si="39"/>
        <v>6</v>
      </c>
      <c r="D614">
        <f t="shared" si="40"/>
        <v>2010</v>
      </c>
      <c r="E614">
        <f t="shared" si="41"/>
        <v>0</v>
      </c>
      <c r="F614" t="s">
        <v>299</v>
      </c>
      <c r="G614" t="s">
        <v>159</v>
      </c>
      <c r="H614" t="s">
        <v>401</v>
      </c>
      <c r="J614">
        <v>27</v>
      </c>
      <c r="K614">
        <f t="shared" si="42"/>
        <v>27</v>
      </c>
      <c r="L614" t="s">
        <v>364</v>
      </c>
      <c r="R614" t="s">
        <v>1348</v>
      </c>
    </row>
    <row r="615" spans="1:19" x14ac:dyDescent="0.25">
      <c r="A615" t="s">
        <v>344</v>
      </c>
      <c r="B615" s="4">
        <v>40353</v>
      </c>
      <c r="C615" s="9">
        <f t="shared" si="39"/>
        <v>6</v>
      </c>
      <c r="D615">
        <f t="shared" si="40"/>
        <v>2010</v>
      </c>
      <c r="E615">
        <f t="shared" si="41"/>
        <v>1</v>
      </c>
      <c r="F615" t="s">
        <v>299</v>
      </c>
      <c r="G615" t="s">
        <v>7</v>
      </c>
      <c r="H615" t="s">
        <v>55</v>
      </c>
      <c r="J615">
        <v>56</v>
      </c>
      <c r="K615">
        <f t="shared" si="42"/>
        <v>56</v>
      </c>
      <c r="L615" t="s">
        <v>364</v>
      </c>
      <c r="R615" t="s">
        <v>1348</v>
      </c>
    </row>
    <row r="616" spans="1:19" x14ac:dyDescent="0.25">
      <c r="A616" t="s">
        <v>344</v>
      </c>
      <c r="B616" s="4">
        <v>40353</v>
      </c>
      <c r="C616" s="9">
        <f t="shared" si="39"/>
        <v>6</v>
      </c>
      <c r="D616">
        <f t="shared" si="40"/>
        <v>2010</v>
      </c>
      <c r="E616">
        <f t="shared" si="41"/>
        <v>0</v>
      </c>
      <c r="F616" t="s">
        <v>299</v>
      </c>
      <c r="G616" t="s">
        <v>402</v>
      </c>
      <c r="H616" t="s">
        <v>403</v>
      </c>
      <c r="J616">
        <v>35</v>
      </c>
      <c r="K616">
        <f t="shared" si="42"/>
        <v>35</v>
      </c>
      <c r="L616" t="s">
        <v>364</v>
      </c>
      <c r="R616" t="s">
        <v>1348</v>
      </c>
    </row>
    <row r="617" spans="1:19" x14ac:dyDescent="0.25">
      <c r="A617" t="s">
        <v>344</v>
      </c>
      <c r="B617" s="4">
        <v>40354</v>
      </c>
      <c r="C617" s="9">
        <f t="shared" si="39"/>
        <v>6</v>
      </c>
      <c r="D617">
        <f t="shared" si="40"/>
        <v>2010</v>
      </c>
      <c r="E617">
        <f t="shared" si="41"/>
        <v>1</v>
      </c>
      <c r="F617" t="s">
        <v>299</v>
      </c>
      <c r="G617" t="s">
        <v>404</v>
      </c>
      <c r="H617" t="s">
        <v>405</v>
      </c>
      <c r="J617">
        <v>35</v>
      </c>
      <c r="K617">
        <f t="shared" si="42"/>
        <v>35</v>
      </c>
      <c r="L617" t="s">
        <v>364</v>
      </c>
      <c r="R617" t="s">
        <v>1348</v>
      </c>
    </row>
    <row r="618" spans="1:19" x14ac:dyDescent="0.25">
      <c r="A618" t="s">
        <v>341</v>
      </c>
      <c r="B618" s="4">
        <v>40355</v>
      </c>
      <c r="C618" s="9">
        <f t="shared" si="39"/>
        <v>6</v>
      </c>
      <c r="D618">
        <f t="shared" si="40"/>
        <v>2010</v>
      </c>
      <c r="E618">
        <f t="shared" si="41"/>
        <v>1</v>
      </c>
      <c r="F618" t="s">
        <v>297</v>
      </c>
      <c r="G618" t="s">
        <v>406</v>
      </c>
      <c r="H618" t="s">
        <v>273</v>
      </c>
      <c r="I618">
        <v>2</v>
      </c>
      <c r="J618">
        <v>36</v>
      </c>
      <c r="K618">
        <f t="shared" si="42"/>
        <v>156</v>
      </c>
      <c r="R618" t="s">
        <v>1348</v>
      </c>
    </row>
    <row r="619" spans="1:19" x14ac:dyDescent="0.25">
      <c r="A619" t="s">
        <v>341</v>
      </c>
      <c r="B619" s="4">
        <v>40356</v>
      </c>
      <c r="C619" s="9">
        <f t="shared" si="39"/>
        <v>6</v>
      </c>
      <c r="D619">
        <f t="shared" si="40"/>
        <v>2010</v>
      </c>
      <c r="E619">
        <f t="shared" si="41"/>
        <v>1</v>
      </c>
      <c r="F619" t="s">
        <v>297</v>
      </c>
      <c r="G619" t="s">
        <v>406</v>
      </c>
      <c r="H619" t="s">
        <v>273</v>
      </c>
      <c r="I619">
        <v>1</v>
      </c>
      <c r="J619">
        <v>58</v>
      </c>
      <c r="K619">
        <f t="shared" si="42"/>
        <v>118</v>
      </c>
      <c r="R619" t="s">
        <v>1348</v>
      </c>
    </row>
    <row r="620" spans="1:19" x14ac:dyDescent="0.25">
      <c r="A620" t="s">
        <v>341</v>
      </c>
      <c r="B620" s="4">
        <v>40357</v>
      </c>
      <c r="C620" s="9">
        <f t="shared" si="39"/>
        <v>6</v>
      </c>
      <c r="D620">
        <f t="shared" si="40"/>
        <v>2010</v>
      </c>
      <c r="E620">
        <f t="shared" si="41"/>
        <v>1</v>
      </c>
      <c r="F620" t="s">
        <v>297</v>
      </c>
      <c r="G620" t="s">
        <v>406</v>
      </c>
      <c r="H620" t="s">
        <v>153</v>
      </c>
      <c r="I620">
        <v>1</v>
      </c>
      <c r="J620">
        <v>2</v>
      </c>
      <c r="K620">
        <f t="shared" si="42"/>
        <v>62</v>
      </c>
      <c r="R620" t="s">
        <v>1348</v>
      </c>
    </row>
    <row r="621" spans="1:19" x14ac:dyDescent="0.25">
      <c r="A621" t="s">
        <v>341</v>
      </c>
      <c r="B621" s="4">
        <v>40361</v>
      </c>
      <c r="C621" s="9">
        <f t="shared" si="39"/>
        <v>7</v>
      </c>
      <c r="D621">
        <f t="shared" si="40"/>
        <v>2010</v>
      </c>
      <c r="E621">
        <f t="shared" si="41"/>
        <v>1</v>
      </c>
      <c r="F621" t="s">
        <v>297</v>
      </c>
      <c r="G621" t="s">
        <v>101</v>
      </c>
      <c r="H621" t="s">
        <v>153</v>
      </c>
      <c r="I621">
        <v>1</v>
      </c>
      <c r="J621">
        <v>40</v>
      </c>
      <c r="K621">
        <f t="shared" si="42"/>
        <v>100</v>
      </c>
      <c r="R621" t="s">
        <v>1348</v>
      </c>
    </row>
    <row r="622" spans="1:19" x14ac:dyDescent="0.25">
      <c r="A622" t="s">
        <v>341</v>
      </c>
      <c r="B622" s="4">
        <v>40362</v>
      </c>
      <c r="C622" s="9">
        <f t="shared" si="39"/>
        <v>7</v>
      </c>
      <c r="D622">
        <f t="shared" si="40"/>
        <v>2010</v>
      </c>
      <c r="E622">
        <v>1</v>
      </c>
      <c r="F622" t="s">
        <v>297</v>
      </c>
      <c r="G622" t="s">
        <v>247</v>
      </c>
      <c r="H622" t="s">
        <v>250</v>
      </c>
      <c r="J622">
        <v>15</v>
      </c>
      <c r="K622">
        <f t="shared" si="42"/>
        <v>15</v>
      </c>
      <c r="L622" t="s">
        <v>410</v>
      </c>
      <c r="R622" t="s">
        <v>1348</v>
      </c>
      <c r="S622" t="s">
        <v>1367</v>
      </c>
    </row>
    <row r="623" spans="1:19" x14ac:dyDescent="0.25">
      <c r="A623" t="s">
        <v>341</v>
      </c>
      <c r="B623" s="4">
        <v>40362</v>
      </c>
      <c r="C623" s="9">
        <f t="shared" si="39"/>
        <v>7</v>
      </c>
      <c r="D623">
        <f t="shared" si="40"/>
        <v>2010</v>
      </c>
      <c r="E623">
        <f t="shared" si="41"/>
        <v>0</v>
      </c>
      <c r="F623" t="s">
        <v>297</v>
      </c>
      <c r="G623" t="s">
        <v>247</v>
      </c>
      <c r="H623" t="s">
        <v>250</v>
      </c>
      <c r="J623">
        <v>15</v>
      </c>
      <c r="K623">
        <f t="shared" si="42"/>
        <v>15</v>
      </c>
      <c r="L623" t="s">
        <v>410</v>
      </c>
      <c r="R623" t="s">
        <v>1348</v>
      </c>
      <c r="S623" t="s">
        <v>1367</v>
      </c>
    </row>
    <row r="624" spans="1:19" x14ac:dyDescent="0.25">
      <c r="A624" t="s">
        <v>341</v>
      </c>
      <c r="B624" s="4">
        <v>40362</v>
      </c>
      <c r="C624" s="9">
        <f t="shared" si="39"/>
        <v>7</v>
      </c>
      <c r="D624">
        <f t="shared" si="40"/>
        <v>2010</v>
      </c>
      <c r="E624">
        <f t="shared" si="41"/>
        <v>0</v>
      </c>
      <c r="F624" t="s">
        <v>297</v>
      </c>
      <c r="G624" t="s">
        <v>247</v>
      </c>
      <c r="H624" t="s">
        <v>250</v>
      </c>
      <c r="J624">
        <v>15</v>
      </c>
      <c r="K624">
        <f t="shared" si="42"/>
        <v>15</v>
      </c>
      <c r="L624" t="s">
        <v>410</v>
      </c>
      <c r="R624" t="s">
        <v>1348</v>
      </c>
      <c r="S624" t="s">
        <v>1367</v>
      </c>
    </row>
    <row r="625" spans="1:19" x14ac:dyDescent="0.25">
      <c r="A625" t="s">
        <v>341</v>
      </c>
      <c r="B625" s="4">
        <v>40363</v>
      </c>
      <c r="C625" s="9">
        <f t="shared" si="39"/>
        <v>7</v>
      </c>
      <c r="D625">
        <f t="shared" si="40"/>
        <v>2010</v>
      </c>
      <c r="E625">
        <v>1</v>
      </c>
      <c r="F625" t="s">
        <v>297</v>
      </c>
      <c r="G625" t="s">
        <v>247</v>
      </c>
      <c r="H625" t="s">
        <v>250</v>
      </c>
      <c r="J625">
        <v>15</v>
      </c>
      <c r="K625">
        <f t="shared" si="42"/>
        <v>15</v>
      </c>
      <c r="L625" t="s">
        <v>410</v>
      </c>
      <c r="R625" t="s">
        <v>1348</v>
      </c>
      <c r="S625" t="s">
        <v>1367</v>
      </c>
    </row>
    <row r="626" spans="1:19" x14ac:dyDescent="0.25">
      <c r="A626" t="s">
        <v>341</v>
      </c>
      <c r="B626" s="4">
        <v>40363</v>
      </c>
      <c r="C626" s="9">
        <f t="shared" si="39"/>
        <v>7</v>
      </c>
      <c r="D626">
        <f t="shared" si="40"/>
        <v>2010</v>
      </c>
      <c r="E626">
        <f t="shared" si="41"/>
        <v>0</v>
      </c>
      <c r="F626" t="s">
        <v>297</v>
      </c>
      <c r="G626" t="s">
        <v>247</v>
      </c>
      <c r="H626" t="s">
        <v>250</v>
      </c>
      <c r="J626">
        <v>15</v>
      </c>
      <c r="K626">
        <f t="shared" si="42"/>
        <v>15</v>
      </c>
      <c r="L626" t="s">
        <v>410</v>
      </c>
      <c r="R626" t="s">
        <v>1348</v>
      </c>
      <c r="S626" t="s">
        <v>1367</v>
      </c>
    </row>
    <row r="627" spans="1:19" x14ac:dyDescent="0.25">
      <c r="A627" t="s">
        <v>341</v>
      </c>
      <c r="B627" s="4">
        <v>40365</v>
      </c>
      <c r="C627" s="9">
        <f t="shared" si="39"/>
        <v>7</v>
      </c>
      <c r="D627">
        <f t="shared" si="40"/>
        <v>2010</v>
      </c>
      <c r="E627">
        <f t="shared" si="41"/>
        <v>1</v>
      </c>
      <c r="F627" t="s">
        <v>297</v>
      </c>
      <c r="G627" t="s">
        <v>101</v>
      </c>
      <c r="H627" t="s">
        <v>273</v>
      </c>
      <c r="J627">
        <v>40</v>
      </c>
      <c r="K627">
        <f t="shared" si="42"/>
        <v>40</v>
      </c>
      <c r="R627" t="s">
        <v>1348</v>
      </c>
    </row>
    <row r="628" spans="1:19" x14ac:dyDescent="0.25">
      <c r="A628" t="s">
        <v>341</v>
      </c>
      <c r="B628" s="4">
        <v>40366</v>
      </c>
      <c r="C628" s="9">
        <f t="shared" si="39"/>
        <v>7</v>
      </c>
      <c r="D628">
        <f t="shared" si="40"/>
        <v>2010</v>
      </c>
      <c r="E628">
        <f t="shared" si="41"/>
        <v>1</v>
      </c>
      <c r="F628" t="s">
        <v>297</v>
      </c>
      <c r="G628" t="s">
        <v>101</v>
      </c>
      <c r="H628" t="s">
        <v>273</v>
      </c>
      <c r="I628">
        <v>1</v>
      </c>
      <c r="J628">
        <v>32</v>
      </c>
      <c r="K628">
        <f t="shared" si="42"/>
        <v>92</v>
      </c>
      <c r="R628" t="s">
        <v>1348</v>
      </c>
    </row>
    <row r="629" spans="1:19" x14ac:dyDescent="0.25">
      <c r="A629" t="s">
        <v>341</v>
      </c>
      <c r="B629" s="4">
        <v>40368</v>
      </c>
      <c r="C629" s="9">
        <f t="shared" si="39"/>
        <v>7</v>
      </c>
      <c r="D629">
        <f t="shared" si="40"/>
        <v>2010</v>
      </c>
      <c r="E629">
        <f t="shared" si="41"/>
        <v>1</v>
      </c>
      <c r="F629" t="s">
        <v>297</v>
      </c>
      <c r="G629" t="s">
        <v>406</v>
      </c>
      <c r="H629" t="s">
        <v>153</v>
      </c>
      <c r="I629">
        <v>1</v>
      </c>
      <c r="J629">
        <v>54</v>
      </c>
      <c r="K629">
        <f t="shared" si="42"/>
        <v>114</v>
      </c>
      <c r="R629" t="s">
        <v>1348</v>
      </c>
    </row>
    <row r="630" spans="1:19" x14ac:dyDescent="0.25">
      <c r="A630" t="s">
        <v>341</v>
      </c>
      <c r="B630" s="4">
        <v>40377</v>
      </c>
      <c r="C630" s="9">
        <f t="shared" si="39"/>
        <v>7</v>
      </c>
      <c r="D630">
        <f t="shared" si="40"/>
        <v>2010</v>
      </c>
      <c r="E630">
        <f t="shared" si="41"/>
        <v>1</v>
      </c>
      <c r="F630" t="s">
        <v>297</v>
      </c>
      <c r="G630" t="s">
        <v>406</v>
      </c>
      <c r="H630" t="s">
        <v>244</v>
      </c>
      <c r="J630">
        <v>50</v>
      </c>
      <c r="K630">
        <f t="shared" si="42"/>
        <v>50</v>
      </c>
      <c r="R630" t="s">
        <v>1348</v>
      </c>
    </row>
    <row r="631" spans="1:19" x14ac:dyDescent="0.25">
      <c r="A631" t="s">
        <v>341</v>
      </c>
      <c r="B631" s="4">
        <v>40390</v>
      </c>
      <c r="C631" s="9">
        <f t="shared" si="39"/>
        <v>7</v>
      </c>
      <c r="D631">
        <f t="shared" si="40"/>
        <v>2010</v>
      </c>
      <c r="E631">
        <f t="shared" si="41"/>
        <v>1</v>
      </c>
      <c r="F631" t="s">
        <v>297</v>
      </c>
      <c r="G631" t="s">
        <v>406</v>
      </c>
      <c r="H631" t="s">
        <v>153</v>
      </c>
      <c r="I631">
        <v>2</v>
      </c>
      <c r="J631">
        <v>18</v>
      </c>
      <c r="K631">
        <f t="shared" si="42"/>
        <v>138</v>
      </c>
      <c r="R631" t="s">
        <v>1348</v>
      </c>
    </row>
    <row r="632" spans="1:19" x14ac:dyDescent="0.25">
      <c r="A632" t="s">
        <v>341</v>
      </c>
      <c r="B632" s="4">
        <v>40390</v>
      </c>
      <c r="C632" s="9">
        <f t="shared" si="39"/>
        <v>7</v>
      </c>
      <c r="D632">
        <f t="shared" si="40"/>
        <v>2010</v>
      </c>
      <c r="E632">
        <f t="shared" si="41"/>
        <v>0</v>
      </c>
      <c r="F632" t="s">
        <v>297</v>
      </c>
      <c r="G632" t="s">
        <v>303</v>
      </c>
      <c r="H632" t="s">
        <v>273</v>
      </c>
      <c r="J632">
        <v>53</v>
      </c>
      <c r="K632">
        <f t="shared" si="42"/>
        <v>53</v>
      </c>
      <c r="R632" t="s">
        <v>1348</v>
      </c>
    </row>
    <row r="633" spans="1:19" x14ac:dyDescent="0.25">
      <c r="A633" t="s">
        <v>341</v>
      </c>
      <c r="B633" s="4">
        <v>40391</v>
      </c>
      <c r="C633" s="9">
        <f t="shared" si="39"/>
        <v>8</v>
      </c>
      <c r="D633">
        <f t="shared" si="40"/>
        <v>2010</v>
      </c>
      <c r="E633">
        <f t="shared" si="41"/>
        <v>1</v>
      </c>
      <c r="F633" t="s">
        <v>297</v>
      </c>
      <c r="G633" t="s">
        <v>406</v>
      </c>
      <c r="H633" t="s">
        <v>244</v>
      </c>
      <c r="I633">
        <v>1</v>
      </c>
      <c r="J633">
        <v>49</v>
      </c>
      <c r="K633">
        <f t="shared" si="42"/>
        <v>109</v>
      </c>
      <c r="R633" t="s">
        <v>1348</v>
      </c>
    </row>
    <row r="634" spans="1:19" x14ac:dyDescent="0.25">
      <c r="A634" t="s">
        <v>341</v>
      </c>
      <c r="B634" s="4">
        <v>40397</v>
      </c>
      <c r="C634" s="9">
        <f t="shared" si="39"/>
        <v>8</v>
      </c>
      <c r="D634">
        <f t="shared" si="40"/>
        <v>2010</v>
      </c>
      <c r="E634">
        <f t="shared" si="41"/>
        <v>1</v>
      </c>
      <c r="F634" t="s">
        <v>297</v>
      </c>
      <c r="G634" t="s">
        <v>406</v>
      </c>
      <c r="H634" t="s">
        <v>244</v>
      </c>
      <c r="I634">
        <v>2</v>
      </c>
      <c r="J634">
        <v>1</v>
      </c>
      <c r="K634">
        <f t="shared" si="42"/>
        <v>121</v>
      </c>
      <c r="R634" t="s">
        <v>1348</v>
      </c>
    </row>
    <row r="635" spans="1:19" x14ac:dyDescent="0.25">
      <c r="A635" t="s">
        <v>344</v>
      </c>
      <c r="B635" s="4">
        <v>40412</v>
      </c>
      <c r="C635" s="9">
        <f t="shared" si="39"/>
        <v>8</v>
      </c>
      <c r="D635">
        <f t="shared" si="40"/>
        <v>2010</v>
      </c>
      <c r="E635">
        <f t="shared" si="41"/>
        <v>1</v>
      </c>
      <c r="F635" t="s">
        <v>299</v>
      </c>
      <c r="G635" t="s">
        <v>517</v>
      </c>
      <c r="H635" t="s">
        <v>273</v>
      </c>
      <c r="J635">
        <v>30</v>
      </c>
      <c r="K635">
        <f t="shared" si="42"/>
        <v>30</v>
      </c>
      <c r="R635" t="s">
        <v>1348</v>
      </c>
    </row>
    <row r="636" spans="1:19" x14ac:dyDescent="0.25">
      <c r="A636" t="s">
        <v>341</v>
      </c>
      <c r="B636" s="4">
        <v>40415</v>
      </c>
      <c r="C636" s="9">
        <f t="shared" si="39"/>
        <v>8</v>
      </c>
      <c r="D636">
        <f t="shared" si="40"/>
        <v>2010</v>
      </c>
      <c r="E636">
        <f t="shared" si="41"/>
        <v>1</v>
      </c>
      <c r="F636" t="s">
        <v>297</v>
      </c>
      <c r="G636" t="s">
        <v>409</v>
      </c>
      <c r="H636" t="s">
        <v>108</v>
      </c>
      <c r="J636">
        <v>58</v>
      </c>
      <c r="K636">
        <f t="shared" si="42"/>
        <v>58</v>
      </c>
      <c r="M636" t="s">
        <v>408</v>
      </c>
      <c r="R636" t="s">
        <v>1348</v>
      </c>
    </row>
    <row r="637" spans="1:19" x14ac:dyDescent="0.25">
      <c r="A637" t="s">
        <v>341</v>
      </c>
      <c r="B637" s="4">
        <v>40416</v>
      </c>
      <c r="C637" s="9">
        <f t="shared" si="39"/>
        <v>8</v>
      </c>
      <c r="D637">
        <f t="shared" si="40"/>
        <v>2010</v>
      </c>
      <c r="E637">
        <f t="shared" si="41"/>
        <v>1</v>
      </c>
      <c r="F637" t="s">
        <v>297</v>
      </c>
      <c r="G637" t="s">
        <v>409</v>
      </c>
      <c r="H637" t="s">
        <v>320</v>
      </c>
      <c r="J637">
        <v>16</v>
      </c>
      <c r="K637">
        <f t="shared" si="42"/>
        <v>16</v>
      </c>
      <c r="R637" t="s">
        <v>1348</v>
      </c>
    </row>
    <row r="638" spans="1:19" x14ac:dyDescent="0.25">
      <c r="A638" t="s">
        <v>344</v>
      </c>
      <c r="B638" s="4">
        <v>40419</v>
      </c>
      <c r="C638" s="9">
        <f t="shared" si="39"/>
        <v>8</v>
      </c>
      <c r="D638">
        <f t="shared" si="40"/>
        <v>2010</v>
      </c>
      <c r="E638">
        <f t="shared" si="41"/>
        <v>1</v>
      </c>
      <c r="F638" t="s">
        <v>299</v>
      </c>
      <c r="G638" t="s">
        <v>517</v>
      </c>
      <c r="H638" t="s">
        <v>273</v>
      </c>
      <c r="J638">
        <v>34</v>
      </c>
      <c r="K638">
        <f t="shared" si="42"/>
        <v>34</v>
      </c>
      <c r="M638" t="s">
        <v>412</v>
      </c>
      <c r="R638" t="s">
        <v>1348</v>
      </c>
    </row>
    <row r="639" spans="1:19" x14ac:dyDescent="0.25">
      <c r="A639" t="s">
        <v>341</v>
      </c>
      <c r="B639" s="4">
        <v>40422</v>
      </c>
      <c r="C639" s="9">
        <f t="shared" si="39"/>
        <v>9</v>
      </c>
      <c r="D639">
        <f t="shared" si="40"/>
        <v>2010</v>
      </c>
      <c r="E639">
        <f t="shared" si="41"/>
        <v>1</v>
      </c>
      <c r="F639" t="s">
        <v>297</v>
      </c>
      <c r="G639" t="s">
        <v>101</v>
      </c>
      <c r="H639" t="s">
        <v>273</v>
      </c>
      <c r="J639">
        <v>19</v>
      </c>
      <c r="K639">
        <f t="shared" si="42"/>
        <v>19</v>
      </c>
      <c r="M639" t="s">
        <v>413</v>
      </c>
      <c r="R639" t="s">
        <v>1348</v>
      </c>
    </row>
    <row r="640" spans="1:19" x14ac:dyDescent="0.25">
      <c r="A640" t="s">
        <v>341</v>
      </c>
      <c r="B640" s="4">
        <v>40422</v>
      </c>
      <c r="C640" s="9">
        <f t="shared" si="39"/>
        <v>9</v>
      </c>
      <c r="D640">
        <f t="shared" si="40"/>
        <v>2010</v>
      </c>
      <c r="E640">
        <f t="shared" si="41"/>
        <v>0</v>
      </c>
      <c r="F640" t="s">
        <v>297</v>
      </c>
      <c r="G640" t="s">
        <v>101</v>
      </c>
      <c r="H640" t="s">
        <v>273</v>
      </c>
      <c r="J640">
        <v>43</v>
      </c>
      <c r="K640">
        <f t="shared" si="42"/>
        <v>43</v>
      </c>
      <c r="M640" t="s">
        <v>413</v>
      </c>
      <c r="R640" t="s">
        <v>1348</v>
      </c>
    </row>
    <row r="641" spans="1:18" x14ac:dyDescent="0.25">
      <c r="A641" t="s">
        <v>341</v>
      </c>
      <c r="B641" s="4">
        <v>40423</v>
      </c>
      <c r="C641" s="9">
        <f t="shared" si="39"/>
        <v>9</v>
      </c>
      <c r="D641">
        <f t="shared" si="40"/>
        <v>2010</v>
      </c>
      <c r="E641">
        <f t="shared" si="41"/>
        <v>1</v>
      </c>
      <c r="F641" t="s">
        <v>297</v>
      </c>
      <c r="G641" t="s">
        <v>101</v>
      </c>
      <c r="H641" t="s">
        <v>273</v>
      </c>
      <c r="J641">
        <v>11</v>
      </c>
      <c r="K641">
        <f t="shared" si="42"/>
        <v>11</v>
      </c>
      <c r="R641" t="s">
        <v>1348</v>
      </c>
    </row>
    <row r="642" spans="1:18" x14ac:dyDescent="0.25">
      <c r="A642" t="s">
        <v>341</v>
      </c>
      <c r="B642" s="4">
        <v>40423</v>
      </c>
      <c r="C642" s="9">
        <f t="shared" si="39"/>
        <v>9</v>
      </c>
      <c r="D642">
        <f t="shared" si="40"/>
        <v>2010</v>
      </c>
      <c r="E642">
        <f t="shared" si="41"/>
        <v>0</v>
      </c>
      <c r="F642" t="s">
        <v>297</v>
      </c>
      <c r="G642" t="s">
        <v>101</v>
      </c>
      <c r="H642" t="s">
        <v>273</v>
      </c>
      <c r="J642">
        <v>31</v>
      </c>
      <c r="K642">
        <f t="shared" si="42"/>
        <v>31</v>
      </c>
      <c r="R642" t="s">
        <v>1348</v>
      </c>
    </row>
    <row r="643" spans="1:18" x14ac:dyDescent="0.25">
      <c r="A643" t="s">
        <v>341</v>
      </c>
      <c r="B643" s="4">
        <v>40424</v>
      </c>
      <c r="C643" s="9">
        <f t="shared" ref="C643:C706" si="43">MONTH(B643)</f>
        <v>9</v>
      </c>
      <c r="D643">
        <f t="shared" si="40"/>
        <v>2010</v>
      </c>
      <c r="E643">
        <f t="shared" si="41"/>
        <v>1</v>
      </c>
      <c r="F643" t="s">
        <v>411</v>
      </c>
      <c r="G643" t="s">
        <v>101</v>
      </c>
      <c r="H643" t="s">
        <v>273</v>
      </c>
      <c r="J643">
        <v>20</v>
      </c>
      <c r="K643">
        <f t="shared" si="42"/>
        <v>20</v>
      </c>
      <c r="M643" t="s">
        <v>414</v>
      </c>
      <c r="R643" t="s">
        <v>1348</v>
      </c>
    </row>
    <row r="644" spans="1:18" x14ac:dyDescent="0.25">
      <c r="A644" t="s">
        <v>341</v>
      </c>
      <c r="B644" s="4">
        <v>40424</v>
      </c>
      <c r="C644" s="9">
        <f t="shared" si="43"/>
        <v>9</v>
      </c>
      <c r="D644">
        <f t="shared" si="40"/>
        <v>2010</v>
      </c>
      <c r="E644">
        <f t="shared" si="41"/>
        <v>0</v>
      </c>
      <c r="F644" t="s">
        <v>297</v>
      </c>
      <c r="G644" t="s">
        <v>101</v>
      </c>
      <c r="H644" t="s">
        <v>273</v>
      </c>
      <c r="J644">
        <v>23</v>
      </c>
      <c r="K644">
        <f t="shared" si="42"/>
        <v>23</v>
      </c>
      <c r="R644" t="s">
        <v>1348</v>
      </c>
    </row>
    <row r="645" spans="1:18" x14ac:dyDescent="0.25">
      <c r="A645" t="s">
        <v>341</v>
      </c>
      <c r="B645" s="4">
        <v>40425</v>
      </c>
      <c r="C645" s="9">
        <f t="shared" si="43"/>
        <v>9</v>
      </c>
      <c r="D645">
        <f t="shared" si="40"/>
        <v>2010</v>
      </c>
      <c r="E645">
        <f t="shared" si="41"/>
        <v>1</v>
      </c>
      <c r="F645" t="s">
        <v>297</v>
      </c>
      <c r="G645" t="s">
        <v>101</v>
      </c>
      <c r="H645" t="s">
        <v>153</v>
      </c>
      <c r="J645">
        <v>50</v>
      </c>
      <c r="K645">
        <f t="shared" si="42"/>
        <v>50</v>
      </c>
      <c r="R645" t="s">
        <v>1348</v>
      </c>
    </row>
    <row r="646" spans="1:18" x14ac:dyDescent="0.25">
      <c r="A646" t="s">
        <v>344</v>
      </c>
      <c r="B646" s="4">
        <v>40426</v>
      </c>
      <c r="C646" s="9">
        <f t="shared" si="43"/>
        <v>9</v>
      </c>
      <c r="D646">
        <f t="shared" si="40"/>
        <v>2010</v>
      </c>
      <c r="E646">
        <f t="shared" si="41"/>
        <v>1</v>
      </c>
      <c r="F646" t="s">
        <v>299</v>
      </c>
      <c r="G646" t="s">
        <v>237</v>
      </c>
      <c r="H646" t="s">
        <v>238</v>
      </c>
      <c r="J646">
        <v>53</v>
      </c>
      <c r="K646">
        <f t="shared" si="42"/>
        <v>53</v>
      </c>
      <c r="L646" t="s">
        <v>239</v>
      </c>
      <c r="M646" t="s">
        <v>416</v>
      </c>
      <c r="R646" t="s">
        <v>1349</v>
      </c>
    </row>
    <row r="647" spans="1:18" x14ac:dyDescent="0.25">
      <c r="A647" t="s">
        <v>341</v>
      </c>
      <c r="B647" s="4">
        <v>40427</v>
      </c>
      <c r="C647" s="9">
        <f t="shared" si="43"/>
        <v>9</v>
      </c>
      <c r="D647">
        <f t="shared" si="40"/>
        <v>2010</v>
      </c>
      <c r="E647">
        <f t="shared" si="41"/>
        <v>1</v>
      </c>
      <c r="F647" t="s">
        <v>297</v>
      </c>
      <c r="G647" t="s">
        <v>237</v>
      </c>
      <c r="H647" t="s">
        <v>238</v>
      </c>
      <c r="J647">
        <v>37</v>
      </c>
      <c r="K647">
        <f t="shared" si="42"/>
        <v>37</v>
      </c>
      <c r="L647" t="s">
        <v>239</v>
      </c>
      <c r="R647" t="s">
        <v>1349</v>
      </c>
    </row>
    <row r="648" spans="1:18" x14ac:dyDescent="0.25">
      <c r="A648" t="s">
        <v>344</v>
      </c>
      <c r="B648" s="4">
        <v>40427</v>
      </c>
      <c r="C648" s="9">
        <f t="shared" si="43"/>
        <v>9</v>
      </c>
      <c r="D648">
        <f t="shared" si="40"/>
        <v>2010</v>
      </c>
      <c r="E648">
        <f t="shared" si="41"/>
        <v>0</v>
      </c>
      <c r="F648" t="s">
        <v>299</v>
      </c>
      <c r="G648" t="s">
        <v>249</v>
      </c>
      <c r="H648" t="s">
        <v>253</v>
      </c>
      <c r="J648">
        <v>9</v>
      </c>
      <c r="K648">
        <f t="shared" si="42"/>
        <v>9</v>
      </c>
      <c r="L648" t="s">
        <v>239</v>
      </c>
      <c r="R648" t="s">
        <v>1349</v>
      </c>
    </row>
    <row r="649" spans="1:18" x14ac:dyDescent="0.25">
      <c r="A649" t="s">
        <v>341</v>
      </c>
      <c r="B649" s="4">
        <v>40430</v>
      </c>
      <c r="C649" s="9">
        <f t="shared" si="43"/>
        <v>9</v>
      </c>
      <c r="D649">
        <f t="shared" si="40"/>
        <v>2010</v>
      </c>
      <c r="E649">
        <f t="shared" si="41"/>
        <v>1</v>
      </c>
      <c r="F649" t="s">
        <v>297</v>
      </c>
      <c r="G649" t="s">
        <v>237</v>
      </c>
      <c r="H649" t="s">
        <v>238</v>
      </c>
      <c r="J649">
        <v>38</v>
      </c>
      <c r="K649">
        <f t="shared" si="42"/>
        <v>38</v>
      </c>
      <c r="L649" t="s">
        <v>239</v>
      </c>
      <c r="R649" t="s">
        <v>1349</v>
      </c>
    </row>
    <row r="650" spans="1:18" x14ac:dyDescent="0.25">
      <c r="A650" t="s">
        <v>341</v>
      </c>
      <c r="B650" s="4">
        <v>40430</v>
      </c>
      <c r="C650" s="9">
        <f t="shared" si="43"/>
        <v>9</v>
      </c>
      <c r="D650">
        <f t="shared" si="40"/>
        <v>2010</v>
      </c>
      <c r="E650">
        <f t="shared" si="41"/>
        <v>0</v>
      </c>
      <c r="F650" t="s">
        <v>297</v>
      </c>
      <c r="G650" t="s">
        <v>237</v>
      </c>
      <c r="H650" t="s">
        <v>238</v>
      </c>
      <c r="J650">
        <v>29</v>
      </c>
      <c r="K650">
        <f t="shared" si="42"/>
        <v>29</v>
      </c>
      <c r="L650" t="s">
        <v>239</v>
      </c>
      <c r="R650" t="s">
        <v>1349</v>
      </c>
    </row>
    <row r="651" spans="1:18" x14ac:dyDescent="0.25">
      <c r="A651" t="s">
        <v>341</v>
      </c>
      <c r="B651" s="4">
        <v>40431</v>
      </c>
      <c r="C651" s="9">
        <f t="shared" si="43"/>
        <v>9</v>
      </c>
      <c r="D651">
        <f t="shared" si="40"/>
        <v>2010</v>
      </c>
      <c r="E651">
        <f t="shared" si="41"/>
        <v>1</v>
      </c>
      <c r="F651" t="s">
        <v>297</v>
      </c>
      <c r="G651" t="s">
        <v>423</v>
      </c>
      <c r="H651" t="s">
        <v>415</v>
      </c>
      <c r="I651">
        <v>1</v>
      </c>
      <c r="J651">
        <v>49</v>
      </c>
      <c r="K651">
        <f t="shared" si="42"/>
        <v>109</v>
      </c>
      <c r="L651" t="s">
        <v>239</v>
      </c>
      <c r="R651" t="s">
        <v>1349</v>
      </c>
    </row>
    <row r="652" spans="1:18" x14ac:dyDescent="0.25">
      <c r="A652" t="s">
        <v>341</v>
      </c>
      <c r="B652" s="4">
        <v>40431</v>
      </c>
      <c r="C652" s="9">
        <f t="shared" si="43"/>
        <v>9</v>
      </c>
      <c r="D652">
        <f t="shared" si="40"/>
        <v>2010</v>
      </c>
      <c r="E652">
        <f t="shared" si="41"/>
        <v>0</v>
      </c>
      <c r="F652" t="s">
        <v>297</v>
      </c>
      <c r="G652" t="s">
        <v>424</v>
      </c>
      <c r="H652" t="s">
        <v>415</v>
      </c>
      <c r="I652">
        <v>1</v>
      </c>
      <c r="J652">
        <v>26</v>
      </c>
      <c r="K652">
        <f t="shared" si="42"/>
        <v>86</v>
      </c>
      <c r="L652" t="s">
        <v>239</v>
      </c>
      <c r="R652" t="s">
        <v>1349</v>
      </c>
    </row>
    <row r="653" spans="1:18" x14ac:dyDescent="0.25">
      <c r="A653" t="s">
        <v>341</v>
      </c>
      <c r="B653" s="4">
        <v>40433</v>
      </c>
      <c r="C653" s="9">
        <f t="shared" si="43"/>
        <v>9</v>
      </c>
      <c r="D653">
        <f t="shared" si="40"/>
        <v>2010</v>
      </c>
      <c r="E653">
        <f t="shared" si="41"/>
        <v>1</v>
      </c>
      <c r="F653" t="s">
        <v>297</v>
      </c>
      <c r="G653" t="s">
        <v>406</v>
      </c>
      <c r="H653" t="s">
        <v>273</v>
      </c>
      <c r="J653">
        <v>15</v>
      </c>
      <c r="K653">
        <f t="shared" si="42"/>
        <v>15</v>
      </c>
      <c r="M653" t="s">
        <v>417</v>
      </c>
      <c r="R653" t="s">
        <v>1348</v>
      </c>
    </row>
    <row r="654" spans="1:18" x14ac:dyDescent="0.25">
      <c r="A654" t="s">
        <v>341</v>
      </c>
      <c r="B654" s="4">
        <v>40460</v>
      </c>
      <c r="C654" s="9">
        <f t="shared" si="43"/>
        <v>10</v>
      </c>
      <c r="D654">
        <f t="shared" si="40"/>
        <v>2010</v>
      </c>
      <c r="E654">
        <f t="shared" si="41"/>
        <v>1</v>
      </c>
      <c r="F654" t="s">
        <v>297</v>
      </c>
      <c r="G654" t="s">
        <v>101</v>
      </c>
      <c r="H654" t="s">
        <v>273</v>
      </c>
      <c r="J654">
        <v>15</v>
      </c>
      <c r="K654">
        <f t="shared" si="42"/>
        <v>15</v>
      </c>
      <c r="R654" t="s">
        <v>1348</v>
      </c>
    </row>
    <row r="655" spans="1:18" x14ac:dyDescent="0.25">
      <c r="A655" t="s">
        <v>341</v>
      </c>
      <c r="B655" s="4">
        <v>40461</v>
      </c>
      <c r="C655" s="9">
        <f t="shared" si="43"/>
        <v>10</v>
      </c>
      <c r="D655">
        <f t="shared" si="40"/>
        <v>2010</v>
      </c>
      <c r="E655">
        <f t="shared" si="41"/>
        <v>1</v>
      </c>
      <c r="F655" t="s">
        <v>297</v>
      </c>
      <c r="G655" t="s">
        <v>101</v>
      </c>
      <c r="H655" t="s">
        <v>273</v>
      </c>
      <c r="J655">
        <v>26</v>
      </c>
      <c r="K655">
        <f t="shared" si="42"/>
        <v>26</v>
      </c>
      <c r="M655" t="s">
        <v>421</v>
      </c>
      <c r="R655" t="s">
        <v>1348</v>
      </c>
    </row>
    <row r="656" spans="1:18" x14ac:dyDescent="0.25">
      <c r="A656" t="s">
        <v>341</v>
      </c>
      <c r="B656" s="4">
        <v>40461</v>
      </c>
      <c r="C656" s="9">
        <f t="shared" si="43"/>
        <v>10</v>
      </c>
      <c r="D656">
        <f t="shared" si="40"/>
        <v>2010</v>
      </c>
      <c r="E656">
        <f t="shared" si="41"/>
        <v>0</v>
      </c>
      <c r="F656" t="s">
        <v>297</v>
      </c>
      <c r="G656" t="s">
        <v>101</v>
      </c>
      <c r="H656" t="s">
        <v>273</v>
      </c>
      <c r="J656">
        <v>11</v>
      </c>
      <c r="K656">
        <f t="shared" si="42"/>
        <v>11</v>
      </c>
      <c r="R656" t="s">
        <v>1348</v>
      </c>
    </row>
    <row r="657" spans="1:18" x14ac:dyDescent="0.25">
      <c r="A657" t="s">
        <v>341</v>
      </c>
      <c r="B657" s="4">
        <v>40476</v>
      </c>
      <c r="C657" s="9">
        <f t="shared" si="43"/>
        <v>10</v>
      </c>
      <c r="D657">
        <f t="shared" ref="D657:D720" si="44">YEAR(B657)</f>
        <v>2010</v>
      </c>
      <c r="E657">
        <f t="shared" ref="E657:E720" si="45">IF(OR(A657 = "GS",A657 = "BP"),IF( OR(A656="GS",A656="BP"),IF(B656=B657,0,1),1),0)</f>
        <v>1</v>
      </c>
      <c r="F657" t="s">
        <v>297</v>
      </c>
      <c r="G657" t="s">
        <v>562</v>
      </c>
      <c r="H657" t="s">
        <v>276</v>
      </c>
      <c r="J657">
        <v>7</v>
      </c>
      <c r="K657">
        <f t="shared" ref="K657:K720" si="46">I657*60+J657</f>
        <v>7</v>
      </c>
      <c r="L657" t="s">
        <v>419</v>
      </c>
      <c r="R657" t="s">
        <v>1351</v>
      </c>
    </row>
    <row r="658" spans="1:18" x14ac:dyDescent="0.25">
      <c r="A658" t="s">
        <v>341</v>
      </c>
      <c r="B658" s="4">
        <v>40476</v>
      </c>
      <c r="C658" s="9">
        <f t="shared" si="43"/>
        <v>10</v>
      </c>
      <c r="D658">
        <f t="shared" si="44"/>
        <v>2010</v>
      </c>
      <c r="E658">
        <f t="shared" si="45"/>
        <v>0</v>
      </c>
      <c r="F658" t="s">
        <v>297</v>
      </c>
      <c r="G658" t="s">
        <v>562</v>
      </c>
      <c r="H658" t="s">
        <v>276</v>
      </c>
      <c r="J658">
        <v>28</v>
      </c>
      <c r="K658">
        <f t="shared" si="46"/>
        <v>28</v>
      </c>
      <c r="L658" t="s">
        <v>419</v>
      </c>
      <c r="R658" t="s">
        <v>1351</v>
      </c>
    </row>
    <row r="659" spans="1:18" x14ac:dyDescent="0.25">
      <c r="A659" t="s">
        <v>341</v>
      </c>
      <c r="B659" s="4">
        <v>40477</v>
      </c>
      <c r="C659" s="9">
        <f t="shared" si="43"/>
        <v>10</v>
      </c>
      <c r="D659">
        <f t="shared" si="44"/>
        <v>2010</v>
      </c>
      <c r="E659">
        <f t="shared" si="45"/>
        <v>1</v>
      </c>
      <c r="F659" t="s">
        <v>297</v>
      </c>
      <c r="G659" t="s">
        <v>563</v>
      </c>
      <c r="H659" t="s">
        <v>276</v>
      </c>
      <c r="J659">
        <v>11</v>
      </c>
      <c r="K659">
        <f t="shared" si="46"/>
        <v>11</v>
      </c>
      <c r="L659" t="s">
        <v>419</v>
      </c>
      <c r="R659" t="s">
        <v>1351</v>
      </c>
    </row>
    <row r="660" spans="1:18" x14ac:dyDescent="0.25">
      <c r="A660" t="s">
        <v>341</v>
      </c>
      <c r="B660" s="4">
        <v>40477</v>
      </c>
      <c r="C660" s="9">
        <f t="shared" si="43"/>
        <v>10</v>
      </c>
      <c r="D660">
        <f t="shared" si="44"/>
        <v>2010</v>
      </c>
      <c r="E660">
        <f t="shared" si="45"/>
        <v>0</v>
      </c>
      <c r="F660" t="s">
        <v>297</v>
      </c>
      <c r="G660" t="s">
        <v>418</v>
      </c>
      <c r="H660" t="s">
        <v>276</v>
      </c>
      <c r="I660">
        <v>1</v>
      </c>
      <c r="J660">
        <v>21</v>
      </c>
      <c r="K660">
        <f t="shared" si="46"/>
        <v>81</v>
      </c>
      <c r="L660" t="s">
        <v>419</v>
      </c>
      <c r="R660" t="s">
        <v>1351</v>
      </c>
    </row>
    <row r="661" spans="1:18" x14ac:dyDescent="0.25">
      <c r="A661" t="s">
        <v>341</v>
      </c>
      <c r="B661" s="4">
        <v>40477</v>
      </c>
      <c r="C661" s="9">
        <f t="shared" si="43"/>
        <v>10</v>
      </c>
      <c r="D661">
        <f t="shared" si="44"/>
        <v>2010</v>
      </c>
      <c r="E661">
        <f t="shared" si="45"/>
        <v>0</v>
      </c>
      <c r="F661" t="s">
        <v>297</v>
      </c>
      <c r="G661" t="s">
        <v>418</v>
      </c>
      <c r="H661" t="s">
        <v>276</v>
      </c>
      <c r="J661">
        <v>52</v>
      </c>
      <c r="K661">
        <f t="shared" si="46"/>
        <v>52</v>
      </c>
      <c r="L661" t="s">
        <v>419</v>
      </c>
      <c r="R661" t="s">
        <v>1351</v>
      </c>
    </row>
    <row r="662" spans="1:18" x14ac:dyDescent="0.25">
      <c r="A662" t="s">
        <v>341</v>
      </c>
      <c r="B662" s="4">
        <v>40478</v>
      </c>
      <c r="C662" s="9">
        <f t="shared" si="43"/>
        <v>10</v>
      </c>
      <c r="D662">
        <f t="shared" si="44"/>
        <v>2010</v>
      </c>
      <c r="E662">
        <f t="shared" si="45"/>
        <v>1</v>
      </c>
      <c r="F662" t="s">
        <v>297</v>
      </c>
      <c r="G662" t="s">
        <v>422</v>
      </c>
      <c r="H662" t="s">
        <v>277</v>
      </c>
      <c r="J662">
        <v>44</v>
      </c>
      <c r="K662">
        <f t="shared" si="46"/>
        <v>44</v>
      </c>
      <c r="L662" t="s">
        <v>419</v>
      </c>
      <c r="R662" t="s">
        <v>1351</v>
      </c>
    </row>
    <row r="663" spans="1:18" x14ac:dyDescent="0.25">
      <c r="A663" t="s">
        <v>341</v>
      </c>
      <c r="B663" s="4">
        <v>40478</v>
      </c>
      <c r="C663" s="9">
        <f t="shared" si="43"/>
        <v>10</v>
      </c>
      <c r="D663">
        <f t="shared" si="44"/>
        <v>2010</v>
      </c>
      <c r="E663">
        <f t="shared" si="45"/>
        <v>0</v>
      </c>
      <c r="F663" t="s">
        <v>297</v>
      </c>
      <c r="G663" t="s">
        <v>264</v>
      </c>
      <c r="H663" t="s">
        <v>121</v>
      </c>
      <c r="I663">
        <v>1</v>
      </c>
      <c r="J663">
        <v>0</v>
      </c>
      <c r="K663">
        <f t="shared" si="46"/>
        <v>60</v>
      </c>
      <c r="L663" t="s">
        <v>419</v>
      </c>
      <c r="R663" t="s">
        <v>1351</v>
      </c>
    </row>
    <row r="664" spans="1:18" x14ac:dyDescent="0.25">
      <c r="A664" t="s">
        <v>341</v>
      </c>
      <c r="B664" s="4">
        <v>40479</v>
      </c>
      <c r="C664" s="9">
        <f t="shared" si="43"/>
        <v>10</v>
      </c>
      <c r="D664">
        <f t="shared" si="44"/>
        <v>2010</v>
      </c>
      <c r="E664">
        <f t="shared" si="45"/>
        <v>1</v>
      </c>
      <c r="F664" t="s">
        <v>297</v>
      </c>
      <c r="G664" t="s">
        <v>264</v>
      </c>
      <c r="H664" t="s">
        <v>121</v>
      </c>
      <c r="J664">
        <v>22</v>
      </c>
      <c r="K664">
        <f t="shared" si="46"/>
        <v>22</v>
      </c>
      <c r="L664" t="s">
        <v>419</v>
      </c>
      <c r="R664" t="s">
        <v>1351</v>
      </c>
    </row>
    <row r="665" spans="1:18" x14ac:dyDescent="0.25">
      <c r="A665" t="s">
        <v>341</v>
      </c>
      <c r="B665" s="4">
        <v>40480</v>
      </c>
      <c r="C665" s="9">
        <f t="shared" si="43"/>
        <v>10</v>
      </c>
      <c r="D665">
        <f t="shared" si="44"/>
        <v>2010</v>
      </c>
      <c r="E665">
        <f t="shared" si="45"/>
        <v>1</v>
      </c>
      <c r="F665" t="s">
        <v>297</v>
      </c>
      <c r="G665" t="s">
        <v>264</v>
      </c>
      <c r="H665" t="s">
        <v>121</v>
      </c>
      <c r="J665">
        <v>20</v>
      </c>
      <c r="K665">
        <f t="shared" si="46"/>
        <v>20</v>
      </c>
      <c r="L665" t="s">
        <v>419</v>
      </c>
      <c r="M665" t="s">
        <v>420</v>
      </c>
      <c r="R665" t="s">
        <v>1351</v>
      </c>
    </row>
    <row r="666" spans="1:18" x14ac:dyDescent="0.25">
      <c r="A666" t="s">
        <v>344</v>
      </c>
      <c r="B666" s="4">
        <v>40544</v>
      </c>
      <c r="C666" s="9">
        <f t="shared" si="43"/>
        <v>1</v>
      </c>
      <c r="D666">
        <f t="shared" si="44"/>
        <v>2011</v>
      </c>
      <c r="E666">
        <f t="shared" si="45"/>
        <v>1</v>
      </c>
      <c r="F666" t="s">
        <v>299</v>
      </c>
      <c r="G666" t="s">
        <v>101</v>
      </c>
      <c r="H666" t="s">
        <v>244</v>
      </c>
      <c r="J666">
        <v>15</v>
      </c>
      <c r="K666">
        <f t="shared" si="46"/>
        <v>15</v>
      </c>
      <c r="M666" t="s">
        <v>426</v>
      </c>
      <c r="R666" t="s">
        <v>1348</v>
      </c>
    </row>
    <row r="667" spans="1:18" x14ac:dyDescent="0.25">
      <c r="A667" t="s">
        <v>341</v>
      </c>
      <c r="B667" s="4">
        <v>40559</v>
      </c>
      <c r="C667" s="9">
        <f t="shared" si="43"/>
        <v>1</v>
      </c>
      <c r="D667">
        <f t="shared" si="44"/>
        <v>2011</v>
      </c>
      <c r="E667">
        <f t="shared" si="45"/>
        <v>1</v>
      </c>
      <c r="F667" t="s">
        <v>297</v>
      </c>
      <c r="G667" t="s">
        <v>101</v>
      </c>
      <c r="H667" t="s">
        <v>244</v>
      </c>
      <c r="I667">
        <v>1</v>
      </c>
      <c r="J667">
        <v>19</v>
      </c>
      <c r="K667">
        <f t="shared" si="46"/>
        <v>79</v>
      </c>
      <c r="R667" t="s">
        <v>1348</v>
      </c>
    </row>
    <row r="668" spans="1:18" x14ac:dyDescent="0.25">
      <c r="A668" t="s">
        <v>341</v>
      </c>
      <c r="B668" s="4">
        <v>40604</v>
      </c>
      <c r="C668" s="9">
        <f t="shared" si="43"/>
        <v>3</v>
      </c>
      <c r="D668">
        <f t="shared" si="44"/>
        <v>2011</v>
      </c>
      <c r="E668">
        <f t="shared" si="45"/>
        <v>1</v>
      </c>
      <c r="F668" t="s">
        <v>297</v>
      </c>
      <c r="G668" t="s">
        <v>101</v>
      </c>
      <c r="H668" t="s">
        <v>273</v>
      </c>
      <c r="J668">
        <v>16</v>
      </c>
      <c r="K668">
        <f t="shared" si="46"/>
        <v>16</v>
      </c>
      <c r="R668" t="s">
        <v>1348</v>
      </c>
    </row>
    <row r="669" spans="1:18" x14ac:dyDescent="0.25">
      <c r="A669" t="s">
        <v>341</v>
      </c>
      <c r="B669" s="4">
        <v>40606</v>
      </c>
      <c r="C669" s="9">
        <f t="shared" si="43"/>
        <v>3</v>
      </c>
      <c r="D669">
        <f t="shared" si="44"/>
        <v>2011</v>
      </c>
      <c r="E669">
        <f t="shared" si="45"/>
        <v>1</v>
      </c>
      <c r="F669" t="s">
        <v>297</v>
      </c>
      <c r="G669" t="s">
        <v>101</v>
      </c>
      <c r="H669" t="s">
        <v>273</v>
      </c>
      <c r="J669">
        <v>46</v>
      </c>
      <c r="K669">
        <f t="shared" si="46"/>
        <v>46</v>
      </c>
      <c r="R669" t="s">
        <v>1348</v>
      </c>
    </row>
    <row r="670" spans="1:18" x14ac:dyDescent="0.25">
      <c r="A670" t="s">
        <v>341</v>
      </c>
      <c r="B670" s="4">
        <v>40607</v>
      </c>
      <c r="C670" s="9">
        <f t="shared" si="43"/>
        <v>3</v>
      </c>
      <c r="D670">
        <f t="shared" si="44"/>
        <v>2011</v>
      </c>
      <c r="E670">
        <f t="shared" si="45"/>
        <v>1</v>
      </c>
      <c r="F670" t="s">
        <v>297</v>
      </c>
      <c r="G670" t="s">
        <v>101</v>
      </c>
      <c r="H670" t="s">
        <v>273</v>
      </c>
      <c r="I670">
        <v>1</v>
      </c>
      <c r="J670">
        <v>20</v>
      </c>
      <c r="K670">
        <f t="shared" si="46"/>
        <v>80</v>
      </c>
      <c r="R670" t="s">
        <v>1348</v>
      </c>
    </row>
    <row r="671" spans="1:18" x14ac:dyDescent="0.25">
      <c r="A671" t="s">
        <v>341</v>
      </c>
      <c r="B671" s="4">
        <v>40609</v>
      </c>
      <c r="C671" s="9">
        <f t="shared" si="43"/>
        <v>3</v>
      </c>
      <c r="D671">
        <f t="shared" si="44"/>
        <v>2011</v>
      </c>
      <c r="E671">
        <f t="shared" si="45"/>
        <v>1</v>
      </c>
      <c r="F671" t="s">
        <v>297</v>
      </c>
      <c r="G671" t="s">
        <v>101</v>
      </c>
      <c r="H671" t="s">
        <v>244</v>
      </c>
      <c r="J671">
        <v>58</v>
      </c>
      <c r="K671">
        <f t="shared" si="46"/>
        <v>58</v>
      </c>
      <c r="R671" t="s">
        <v>1348</v>
      </c>
    </row>
    <row r="672" spans="1:18" x14ac:dyDescent="0.25">
      <c r="A672" t="s">
        <v>341</v>
      </c>
      <c r="B672" s="4">
        <v>40610</v>
      </c>
      <c r="C672" s="9">
        <f t="shared" si="43"/>
        <v>3</v>
      </c>
      <c r="D672">
        <f t="shared" si="44"/>
        <v>2011</v>
      </c>
      <c r="E672">
        <f t="shared" si="45"/>
        <v>1</v>
      </c>
      <c r="F672" t="s">
        <v>297</v>
      </c>
      <c r="G672" t="s">
        <v>101</v>
      </c>
      <c r="H672" t="s">
        <v>153</v>
      </c>
      <c r="I672">
        <v>1</v>
      </c>
      <c r="J672">
        <v>38</v>
      </c>
      <c r="K672">
        <f t="shared" si="46"/>
        <v>98</v>
      </c>
      <c r="M672" t="s">
        <v>427</v>
      </c>
      <c r="N672">
        <v>8.3000000000000007</v>
      </c>
      <c r="R672" t="s">
        <v>1348</v>
      </c>
    </row>
    <row r="673" spans="1:18" x14ac:dyDescent="0.25">
      <c r="A673" t="s">
        <v>341</v>
      </c>
      <c r="B673" s="4">
        <v>40611</v>
      </c>
      <c r="C673" s="9">
        <f t="shared" si="43"/>
        <v>3</v>
      </c>
      <c r="D673">
        <f t="shared" si="44"/>
        <v>2011</v>
      </c>
      <c r="E673">
        <f t="shared" si="45"/>
        <v>1</v>
      </c>
      <c r="F673" t="s">
        <v>297</v>
      </c>
      <c r="G673" t="s">
        <v>101</v>
      </c>
      <c r="H673" t="s">
        <v>153</v>
      </c>
      <c r="I673">
        <v>2</v>
      </c>
      <c r="J673">
        <v>0</v>
      </c>
      <c r="K673">
        <f t="shared" si="46"/>
        <v>120</v>
      </c>
      <c r="M673" t="s">
        <v>427</v>
      </c>
      <c r="R673" t="s">
        <v>1348</v>
      </c>
    </row>
    <row r="674" spans="1:18" x14ac:dyDescent="0.25">
      <c r="A674" t="s">
        <v>341</v>
      </c>
      <c r="B674" s="4">
        <v>40612</v>
      </c>
      <c r="C674" s="9">
        <f t="shared" si="43"/>
        <v>3</v>
      </c>
      <c r="D674">
        <f t="shared" si="44"/>
        <v>2011</v>
      </c>
      <c r="E674">
        <f t="shared" si="45"/>
        <v>1</v>
      </c>
      <c r="F674" t="s">
        <v>297</v>
      </c>
      <c r="G674" t="s">
        <v>101</v>
      </c>
      <c r="H674" t="s">
        <v>153</v>
      </c>
      <c r="I674">
        <v>1</v>
      </c>
      <c r="J674">
        <v>0</v>
      </c>
      <c r="K674">
        <f t="shared" si="46"/>
        <v>60</v>
      </c>
      <c r="M674" t="s">
        <v>427</v>
      </c>
      <c r="R674" t="s">
        <v>1348</v>
      </c>
    </row>
    <row r="675" spans="1:18" x14ac:dyDescent="0.25">
      <c r="A675" t="s">
        <v>341</v>
      </c>
      <c r="B675" s="4">
        <v>40613</v>
      </c>
      <c r="C675" s="9">
        <f t="shared" si="43"/>
        <v>3</v>
      </c>
      <c r="D675">
        <f t="shared" si="44"/>
        <v>2011</v>
      </c>
      <c r="E675">
        <f t="shared" si="45"/>
        <v>1</v>
      </c>
      <c r="F675" t="s">
        <v>297</v>
      </c>
      <c r="G675" t="s">
        <v>101</v>
      </c>
      <c r="H675" t="s">
        <v>153</v>
      </c>
      <c r="I675">
        <v>2</v>
      </c>
      <c r="J675">
        <v>1</v>
      </c>
      <c r="K675">
        <f t="shared" si="46"/>
        <v>121</v>
      </c>
      <c r="R675" t="s">
        <v>1348</v>
      </c>
    </row>
    <row r="676" spans="1:18" x14ac:dyDescent="0.25">
      <c r="A676" t="s">
        <v>341</v>
      </c>
      <c r="B676" s="4">
        <v>40627</v>
      </c>
      <c r="C676" s="9">
        <f t="shared" si="43"/>
        <v>3</v>
      </c>
      <c r="D676">
        <f t="shared" si="44"/>
        <v>2011</v>
      </c>
      <c r="E676">
        <f t="shared" si="45"/>
        <v>1</v>
      </c>
      <c r="F676" t="s">
        <v>428</v>
      </c>
      <c r="G676" t="s">
        <v>101</v>
      </c>
      <c r="H676" t="s">
        <v>273</v>
      </c>
      <c r="I676">
        <v>1</v>
      </c>
      <c r="J676">
        <v>40</v>
      </c>
      <c r="K676">
        <f t="shared" si="46"/>
        <v>100</v>
      </c>
      <c r="M676" t="s">
        <v>429</v>
      </c>
      <c r="N676">
        <v>10</v>
      </c>
      <c r="R676" t="s">
        <v>1348</v>
      </c>
    </row>
    <row r="677" spans="1:18" x14ac:dyDescent="0.25">
      <c r="A677" t="s">
        <v>341</v>
      </c>
      <c r="B677" s="4">
        <v>40628</v>
      </c>
      <c r="C677" s="9">
        <f t="shared" si="43"/>
        <v>3</v>
      </c>
      <c r="D677">
        <f t="shared" si="44"/>
        <v>2011</v>
      </c>
      <c r="E677">
        <f t="shared" si="45"/>
        <v>1</v>
      </c>
      <c r="F677" t="s">
        <v>428</v>
      </c>
      <c r="G677" t="s">
        <v>101</v>
      </c>
      <c r="H677" t="s">
        <v>273</v>
      </c>
      <c r="J677">
        <v>25</v>
      </c>
      <c r="K677">
        <f t="shared" si="46"/>
        <v>25</v>
      </c>
      <c r="R677" t="s">
        <v>1348</v>
      </c>
    </row>
    <row r="678" spans="1:18" x14ac:dyDescent="0.25">
      <c r="A678" t="s">
        <v>341</v>
      </c>
      <c r="B678" s="4">
        <v>40635</v>
      </c>
      <c r="C678" s="9">
        <f t="shared" si="43"/>
        <v>4</v>
      </c>
      <c r="D678">
        <f t="shared" si="44"/>
        <v>2011</v>
      </c>
      <c r="E678">
        <f t="shared" si="45"/>
        <v>1</v>
      </c>
      <c r="F678" t="s">
        <v>428</v>
      </c>
      <c r="G678" t="s">
        <v>101</v>
      </c>
      <c r="H678" t="s">
        <v>273</v>
      </c>
      <c r="I678">
        <v>2</v>
      </c>
      <c r="J678">
        <v>7</v>
      </c>
      <c r="K678">
        <f t="shared" si="46"/>
        <v>127</v>
      </c>
      <c r="M678" t="s">
        <v>430</v>
      </c>
      <c r="R678" t="s">
        <v>1348</v>
      </c>
    </row>
    <row r="679" spans="1:18" x14ac:dyDescent="0.25">
      <c r="A679" t="s">
        <v>344</v>
      </c>
      <c r="B679" s="4">
        <v>40636</v>
      </c>
      <c r="C679" s="9">
        <f t="shared" si="43"/>
        <v>4</v>
      </c>
      <c r="D679">
        <f t="shared" si="44"/>
        <v>2011</v>
      </c>
      <c r="E679">
        <f t="shared" si="45"/>
        <v>1</v>
      </c>
      <c r="F679" t="s">
        <v>299</v>
      </c>
      <c r="G679" t="s">
        <v>101</v>
      </c>
      <c r="H679" t="s">
        <v>273</v>
      </c>
      <c r="J679">
        <v>38</v>
      </c>
      <c r="K679">
        <f t="shared" si="46"/>
        <v>38</v>
      </c>
      <c r="M679" t="s">
        <v>431</v>
      </c>
      <c r="R679" t="s">
        <v>1348</v>
      </c>
    </row>
    <row r="680" spans="1:18" x14ac:dyDescent="0.25">
      <c r="A680" t="s">
        <v>341</v>
      </c>
      <c r="B680" s="4">
        <v>40642</v>
      </c>
      <c r="C680" s="9">
        <f t="shared" si="43"/>
        <v>4</v>
      </c>
      <c r="D680">
        <f t="shared" si="44"/>
        <v>2011</v>
      </c>
      <c r="E680">
        <f t="shared" si="45"/>
        <v>1</v>
      </c>
      <c r="F680" t="s">
        <v>428</v>
      </c>
      <c r="G680" t="s">
        <v>101</v>
      </c>
      <c r="H680" t="s">
        <v>273</v>
      </c>
      <c r="I680">
        <v>1</v>
      </c>
      <c r="J680">
        <v>10</v>
      </c>
      <c r="K680">
        <f t="shared" si="46"/>
        <v>70</v>
      </c>
      <c r="R680" t="s">
        <v>1348</v>
      </c>
    </row>
    <row r="681" spans="1:18" x14ac:dyDescent="0.25">
      <c r="A681" t="s">
        <v>341</v>
      </c>
      <c r="B681" s="4">
        <v>40643</v>
      </c>
      <c r="C681" s="9">
        <f t="shared" si="43"/>
        <v>4</v>
      </c>
      <c r="D681">
        <f t="shared" si="44"/>
        <v>2011</v>
      </c>
      <c r="E681">
        <f t="shared" si="45"/>
        <v>1</v>
      </c>
      <c r="F681" t="s">
        <v>428</v>
      </c>
      <c r="G681" t="s">
        <v>101</v>
      </c>
      <c r="H681" t="s">
        <v>273</v>
      </c>
      <c r="J681">
        <v>46</v>
      </c>
      <c r="K681">
        <f t="shared" si="46"/>
        <v>46</v>
      </c>
      <c r="R681" t="s">
        <v>1348</v>
      </c>
    </row>
    <row r="682" spans="1:18" x14ac:dyDescent="0.25">
      <c r="A682" t="s">
        <v>341</v>
      </c>
      <c r="B682" s="4">
        <v>40654</v>
      </c>
      <c r="C682" s="9">
        <f t="shared" si="43"/>
        <v>4</v>
      </c>
      <c r="D682">
        <f t="shared" si="44"/>
        <v>2011</v>
      </c>
      <c r="E682">
        <f t="shared" si="45"/>
        <v>1</v>
      </c>
      <c r="F682" t="s">
        <v>428</v>
      </c>
      <c r="G682" t="s">
        <v>101</v>
      </c>
      <c r="H682" t="s">
        <v>244</v>
      </c>
      <c r="J682">
        <v>8</v>
      </c>
      <c r="K682">
        <f t="shared" si="46"/>
        <v>8</v>
      </c>
      <c r="R682" t="s">
        <v>1348</v>
      </c>
    </row>
    <row r="683" spans="1:18" x14ac:dyDescent="0.25">
      <c r="A683" t="s">
        <v>341</v>
      </c>
      <c r="B683" s="4">
        <v>40656</v>
      </c>
      <c r="C683" s="9">
        <f t="shared" si="43"/>
        <v>4</v>
      </c>
      <c r="D683">
        <f t="shared" si="44"/>
        <v>2011</v>
      </c>
      <c r="E683">
        <f t="shared" si="45"/>
        <v>1</v>
      </c>
      <c r="F683" t="s">
        <v>428</v>
      </c>
      <c r="G683" t="s">
        <v>101</v>
      </c>
      <c r="H683" t="s">
        <v>273</v>
      </c>
      <c r="J683">
        <v>14</v>
      </c>
      <c r="K683">
        <f t="shared" si="46"/>
        <v>14</v>
      </c>
      <c r="R683" t="s">
        <v>1348</v>
      </c>
    </row>
    <row r="684" spans="1:18" x14ac:dyDescent="0.25">
      <c r="A684" t="s">
        <v>341</v>
      </c>
      <c r="B684" s="4">
        <v>40657</v>
      </c>
      <c r="C684" s="9">
        <f t="shared" si="43"/>
        <v>4</v>
      </c>
      <c r="D684">
        <f t="shared" si="44"/>
        <v>2011</v>
      </c>
      <c r="E684">
        <f t="shared" si="45"/>
        <v>1</v>
      </c>
      <c r="F684" t="s">
        <v>428</v>
      </c>
      <c r="G684" t="s">
        <v>101</v>
      </c>
      <c r="H684" t="s">
        <v>273</v>
      </c>
      <c r="I684">
        <v>1</v>
      </c>
      <c r="J684">
        <v>37</v>
      </c>
      <c r="K684">
        <f t="shared" si="46"/>
        <v>97</v>
      </c>
      <c r="R684" t="s">
        <v>1348</v>
      </c>
    </row>
    <row r="685" spans="1:18" x14ac:dyDescent="0.25">
      <c r="A685" t="s">
        <v>341</v>
      </c>
      <c r="B685" s="4">
        <v>40670</v>
      </c>
      <c r="C685" s="9">
        <f t="shared" si="43"/>
        <v>5</v>
      </c>
      <c r="D685">
        <f t="shared" si="44"/>
        <v>2011</v>
      </c>
      <c r="E685">
        <f t="shared" si="45"/>
        <v>1</v>
      </c>
      <c r="F685" t="s">
        <v>428</v>
      </c>
      <c r="G685" t="s">
        <v>432</v>
      </c>
      <c r="H685" t="s">
        <v>433</v>
      </c>
      <c r="J685">
        <v>41</v>
      </c>
      <c r="K685">
        <f t="shared" si="46"/>
        <v>41</v>
      </c>
      <c r="M685" t="s">
        <v>434</v>
      </c>
      <c r="R685" t="s">
        <v>1348</v>
      </c>
    </row>
    <row r="686" spans="1:18" x14ac:dyDescent="0.25">
      <c r="A686" t="s">
        <v>341</v>
      </c>
      <c r="B686" s="4">
        <v>40691</v>
      </c>
      <c r="C686" s="9">
        <f t="shared" si="43"/>
        <v>5</v>
      </c>
      <c r="D686">
        <f t="shared" si="44"/>
        <v>2011</v>
      </c>
      <c r="E686">
        <f t="shared" si="45"/>
        <v>1</v>
      </c>
      <c r="F686" t="s">
        <v>428</v>
      </c>
      <c r="G686" t="s">
        <v>373</v>
      </c>
      <c r="H686" t="s">
        <v>273</v>
      </c>
      <c r="J686">
        <v>43</v>
      </c>
      <c r="K686">
        <f t="shared" si="46"/>
        <v>43</v>
      </c>
      <c r="R686" t="s">
        <v>1348</v>
      </c>
    </row>
    <row r="687" spans="1:18" x14ac:dyDescent="0.25">
      <c r="A687" t="s">
        <v>341</v>
      </c>
      <c r="B687" s="4">
        <v>40692</v>
      </c>
      <c r="C687" s="9">
        <f t="shared" si="43"/>
        <v>5</v>
      </c>
      <c r="D687">
        <f t="shared" si="44"/>
        <v>2011</v>
      </c>
      <c r="E687">
        <f t="shared" si="45"/>
        <v>1</v>
      </c>
      <c r="F687" t="s">
        <v>428</v>
      </c>
      <c r="G687" t="s">
        <v>393</v>
      </c>
      <c r="H687" t="s">
        <v>294</v>
      </c>
      <c r="I687">
        <v>1</v>
      </c>
      <c r="J687">
        <v>26</v>
      </c>
      <c r="K687">
        <f t="shared" si="46"/>
        <v>86</v>
      </c>
      <c r="L687" t="s">
        <v>295</v>
      </c>
      <c r="R687" t="s">
        <v>1349</v>
      </c>
    </row>
    <row r="688" spans="1:18" x14ac:dyDescent="0.25">
      <c r="A688" t="s">
        <v>341</v>
      </c>
      <c r="B688" s="4">
        <v>40693</v>
      </c>
      <c r="C688" s="9">
        <f t="shared" si="43"/>
        <v>5</v>
      </c>
      <c r="D688">
        <f t="shared" si="44"/>
        <v>2011</v>
      </c>
      <c r="E688">
        <f t="shared" si="45"/>
        <v>1</v>
      </c>
      <c r="F688" t="s">
        <v>428</v>
      </c>
      <c r="G688" t="s">
        <v>292</v>
      </c>
      <c r="H688" t="s">
        <v>292</v>
      </c>
      <c r="J688">
        <v>30</v>
      </c>
      <c r="K688">
        <f t="shared" si="46"/>
        <v>30</v>
      </c>
      <c r="L688" t="s">
        <v>295</v>
      </c>
      <c r="R688" t="s">
        <v>1349</v>
      </c>
    </row>
    <row r="689" spans="1:19" x14ac:dyDescent="0.25">
      <c r="A689" t="s">
        <v>341</v>
      </c>
      <c r="B689" s="4">
        <v>40693</v>
      </c>
      <c r="C689" s="9">
        <f t="shared" si="43"/>
        <v>5</v>
      </c>
      <c r="D689">
        <f t="shared" si="44"/>
        <v>2011</v>
      </c>
      <c r="E689">
        <f t="shared" si="45"/>
        <v>0</v>
      </c>
      <c r="F689" t="s">
        <v>428</v>
      </c>
      <c r="G689" t="s">
        <v>292</v>
      </c>
      <c r="H689" t="s">
        <v>292</v>
      </c>
      <c r="I689">
        <v>1</v>
      </c>
      <c r="J689">
        <v>9</v>
      </c>
      <c r="K689">
        <f t="shared" si="46"/>
        <v>69</v>
      </c>
      <c r="L689" t="s">
        <v>295</v>
      </c>
      <c r="R689" t="s">
        <v>1349</v>
      </c>
    </row>
    <row r="690" spans="1:19" x14ac:dyDescent="0.25">
      <c r="A690" t="s">
        <v>341</v>
      </c>
      <c r="B690" s="4">
        <v>40693</v>
      </c>
      <c r="C690" s="9">
        <f t="shared" si="43"/>
        <v>5</v>
      </c>
      <c r="D690">
        <f t="shared" si="44"/>
        <v>2011</v>
      </c>
      <c r="E690">
        <f t="shared" si="45"/>
        <v>0</v>
      </c>
      <c r="F690" t="s">
        <v>428</v>
      </c>
      <c r="G690" t="s">
        <v>291</v>
      </c>
      <c r="H690" t="s">
        <v>291</v>
      </c>
      <c r="I690">
        <v>1</v>
      </c>
      <c r="J690">
        <v>37</v>
      </c>
      <c r="K690">
        <f t="shared" si="46"/>
        <v>97</v>
      </c>
      <c r="L690" t="s">
        <v>295</v>
      </c>
      <c r="R690" t="s">
        <v>1349</v>
      </c>
    </row>
    <row r="691" spans="1:19" x14ac:dyDescent="0.25">
      <c r="A691" t="s">
        <v>344</v>
      </c>
      <c r="B691" s="4">
        <v>40694</v>
      </c>
      <c r="C691" s="9">
        <f t="shared" si="43"/>
        <v>5</v>
      </c>
      <c r="D691">
        <f t="shared" si="44"/>
        <v>2011</v>
      </c>
      <c r="E691">
        <f t="shared" si="45"/>
        <v>1</v>
      </c>
      <c r="F691" t="s">
        <v>299</v>
      </c>
      <c r="G691" t="s">
        <v>393</v>
      </c>
      <c r="H691" t="s">
        <v>294</v>
      </c>
      <c r="J691">
        <v>20</v>
      </c>
      <c r="K691">
        <f t="shared" si="46"/>
        <v>20</v>
      </c>
      <c r="L691" t="s">
        <v>295</v>
      </c>
      <c r="R691" t="s">
        <v>1349</v>
      </c>
    </row>
    <row r="692" spans="1:19" x14ac:dyDescent="0.25">
      <c r="A692" t="s">
        <v>341</v>
      </c>
      <c r="B692" s="4">
        <v>40706</v>
      </c>
      <c r="C692" s="9">
        <f t="shared" si="43"/>
        <v>6</v>
      </c>
      <c r="D692">
        <f t="shared" si="44"/>
        <v>2011</v>
      </c>
      <c r="E692">
        <f t="shared" si="45"/>
        <v>1</v>
      </c>
      <c r="F692" t="s">
        <v>428</v>
      </c>
      <c r="G692" t="s">
        <v>101</v>
      </c>
      <c r="H692" t="s">
        <v>153</v>
      </c>
      <c r="I692">
        <v>1</v>
      </c>
      <c r="J692">
        <v>21</v>
      </c>
      <c r="K692">
        <f t="shared" si="46"/>
        <v>81</v>
      </c>
      <c r="R692" t="s">
        <v>1348</v>
      </c>
    </row>
    <row r="693" spans="1:19" x14ac:dyDescent="0.25">
      <c r="A693" t="s">
        <v>341</v>
      </c>
      <c r="B693" s="4">
        <v>40720</v>
      </c>
      <c r="C693" s="9">
        <f t="shared" si="43"/>
        <v>6</v>
      </c>
      <c r="D693">
        <f t="shared" si="44"/>
        <v>2011</v>
      </c>
      <c r="E693">
        <f t="shared" si="45"/>
        <v>1</v>
      </c>
      <c r="F693" t="s">
        <v>428</v>
      </c>
      <c r="G693" t="s">
        <v>406</v>
      </c>
      <c r="H693" t="s">
        <v>273</v>
      </c>
      <c r="I693">
        <v>1</v>
      </c>
      <c r="J693">
        <v>20</v>
      </c>
      <c r="K693">
        <f t="shared" si="46"/>
        <v>80</v>
      </c>
      <c r="R693" t="s">
        <v>1348</v>
      </c>
    </row>
    <row r="694" spans="1:19" x14ac:dyDescent="0.25">
      <c r="A694" t="s">
        <v>341</v>
      </c>
      <c r="B694" s="4">
        <v>40721</v>
      </c>
      <c r="C694" s="9">
        <f t="shared" si="43"/>
        <v>6</v>
      </c>
      <c r="D694">
        <f t="shared" si="44"/>
        <v>2011</v>
      </c>
      <c r="E694">
        <f t="shared" si="45"/>
        <v>1</v>
      </c>
      <c r="F694" t="s">
        <v>428</v>
      </c>
      <c r="G694" t="s">
        <v>435</v>
      </c>
      <c r="H694" t="s">
        <v>436</v>
      </c>
      <c r="I694">
        <v>1</v>
      </c>
      <c r="J694">
        <v>22</v>
      </c>
      <c r="K694">
        <f t="shared" si="46"/>
        <v>82</v>
      </c>
      <c r="L694" t="s">
        <v>364</v>
      </c>
      <c r="R694" t="s">
        <v>1348</v>
      </c>
    </row>
    <row r="695" spans="1:19" x14ac:dyDescent="0.25">
      <c r="A695" t="s">
        <v>341</v>
      </c>
      <c r="B695" s="4">
        <v>40721</v>
      </c>
      <c r="C695" s="9">
        <f t="shared" si="43"/>
        <v>6</v>
      </c>
      <c r="D695">
        <f t="shared" si="44"/>
        <v>2011</v>
      </c>
      <c r="E695">
        <f t="shared" si="45"/>
        <v>0</v>
      </c>
      <c r="F695" t="s">
        <v>428</v>
      </c>
      <c r="G695" t="s">
        <v>362</v>
      </c>
      <c r="H695" t="s">
        <v>363</v>
      </c>
      <c r="I695">
        <v>1</v>
      </c>
      <c r="J695">
        <v>4</v>
      </c>
      <c r="K695">
        <f t="shared" si="46"/>
        <v>64</v>
      </c>
      <c r="L695" t="s">
        <v>364</v>
      </c>
      <c r="M695" t="s">
        <v>439</v>
      </c>
      <c r="R695" t="s">
        <v>1348</v>
      </c>
    </row>
    <row r="696" spans="1:19" x14ac:dyDescent="0.25">
      <c r="A696" t="s">
        <v>344</v>
      </c>
      <c r="B696" s="4">
        <v>40722</v>
      </c>
      <c r="C696" s="9">
        <f t="shared" si="43"/>
        <v>6</v>
      </c>
      <c r="D696">
        <f t="shared" si="44"/>
        <v>2011</v>
      </c>
      <c r="E696">
        <f t="shared" si="45"/>
        <v>1</v>
      </c>
      <c r="F696" t="s">
        <v>299</v>
      </c>
      <c r="G696" t="s">
        <v>437</v>
      </c>
      <c r="H696" t="s">
        <v>438</v>
      </c>
      <c r="J696">
        <v>46</v>
      </c>
      <c r="K696">
        <f t="shared" si="46"/>
        <v>46</v>
      </c>
      <c r="L696" t="s">
        <v>364</v>
      </c>
      <c r="R696" t="s">
        <v>1348</v>
      </c>
    </row>
    <row r="697" spans="1:19" x14ac:dyDescent="0.25">
      <c r="A697" t="s">
        <v>341</v>
      </c>
      <c r="B697" s="4">
        <v>40722</v>
      </c>
      <c r="C697" s="9">
        <f t="shared" si="43"/>
        <v>6</v>
      </c>
      <c r="D697">
        <f t="shared" si="44"/>
        <v>2011</v>
      </c>
      <c r="E697">
        <f t="shared" si="45"/>
        <v>0</v>
      </c>
      <c r="F697" t="s">
        <v>428</v>
      </c>
      <c r="G697" t="s">
        <v>437</v>
      </c>
      <c r="H697" t="s">
        <v>400</v>
      </c>
      <c r="I697">
        <v>1</v>
      </c>
      <c r="J697">
        <v>5</v>
      </c>
      <c r="K697">
        <f t="shared" si="46"/>
        <v>65</v>
      </c>
      <c r="L697" t="s">
        <v>364</v>
      </c>
      <c r="R697" t="s">
        <v>1348</v>
      </c>
    </row>
    <row r="698" spans="1:19" x14ac:dyDescent="0.25">
      <c r="A698" t="s">
        <v>341</v>
      </c>
      <c r="B698" s="4">
        <v>40725</v>
      </c>
      <c r="C698" s="9">
        <f t="shared" si="43"/>
        <v>7</v>
      </c>
      <c r="D698">
        <f t="shared" si="44"/>
        <v>2011</v>
      </c>
      <c r="E698">
        <f t="shared" si="45"/>
        <v>1</v>
      </c>
      <c r="F698" t="s">
        <v>428</v>
      </c>
      <c r="G698" t="s">
        <v>371</v>
      </c>
      <c r="H698" t="s">
        <v>372</v>
      </c>
      <c r="J698">
        <v>14</v>
      </c>
      <c r="K698">
        <f t="shared" si="46"/>
        <v>14</v>
      </c>
      <c r="L698" t="s">
        <v>364</v>
      </c>
      <c r="R698" t="s">
        <v>1348</v>
      </c>
    </row>
    <row r="699" spans="1:19" x14ac:dyDescent="0.25">
      <c r="A699" t="s">
        <v>341</v>
      </c>
      <c r="B699" s="4">
        <v>40726</v>
      </c>
      <c r="C699" s="9">
        <f t="shared" si="43"/>
        <v>7</v>
      </c>
      <c r="D699">
        <f t="shared" si="44"/>
        <v>2011</v>
      </c>
      <c r="E699">
        <f t="shared" si="45"/>
        <v>1</v>
      </c>
      <c r="F699" t="s">
        <v>428</v>
      </c>
      <c r="G699" t="s">
        <v>101</v>
      </c>
      <c r="H699" t="s">
        <v>273</v>
      </c>
      <c r="J699">
        <v>56</v>
      </c>
      <c r="K699">
        <f t="shared" si="46"/>
        <v>56</v>
      </c>
      <c r="R699" t="s">
        <v>1348</v>
      </c>
    </row>
    <row r="700" spans="1:19" x14ac:dyDescent="0.25">
      <c r="A700" t="s">
        <v>341</v>
      </c>
      <c r="B700" s="4">
        <v>40727</v>
      </c>
      <c r="C700" s="9">
        <f t="shared" si="43"/>
        <v>7</v>
      </c>
      <c r="D700">
        <f t="shared" si="44"/>
        <v>2011</v>
      </c>
      <c r="E700">
        <f t="shared" si="45"/>
        <v>1</v>
      </c>
      <c r="F700" t="s">
        <v>428</v>
      </c>
      <c r="G700" t="s">
        <v>101</v>
      </c>
      <c r="H700" t="s">
        <v>273</v>
      </c>
      <c r="I700">
        <v>2</v>
      </c>
      <c r="J700">
        <v>35</v>
      </c>
      <c r="K700">
        <f t="shared" si="46"/>
        <v>155</v>
      </c>
      <c r="R700" t="s">
        <v>1348</v>
      </c>
    </row>
    <row r="701" spans="1:19" x14ac:dyDescent="0.25">
      <c r="A701" t="s">
        <v>341</v>
      </c>
      <c r="B701" s="4">
        <v>40733</v>
      </c>
      <c r="C701" s="9">
        <f t="shared" si="43"/>
        <v>7</v>
      </c>
      <c r="D701">
        <f t="shared" si="44"/>
        <v>2011</v>
      </c>
      <c r="E701">
        <v>1</v>
      </c>
      <c r="F701" t="s">
        <v>428</v>
      </c>
      <c r="G701" t="s">
        <v>247</v>
      </c>
      <c r="H701" t="s">
        <v>440</v>
      </c>
      <c r="J701">
        <v>15</v>
      </c>
      <c r="K701">
        <f t="shared" si="46"/>
        <v>15</v>
      </c>
      <c r="L701" t="s">
        <v>410</v>
      </c>
      <c r="R701" t="s">
        <v>1348</v>
      </c>
      <c r="S701" t="s">
        <v>1367</v>
      </c>
    </row>
    <row r="702" spans="1:19" x14ac:dyDescent="0.25">
      <c r="A702" t="s">
        <v>341</v>
      </c>
      <c r="B702" s="4">
        <v>40733</v>
      </c>
      <c r="C702" s="9">
        <f t="shared" si="43"/>
        <v>7</v>
      </c>
      <c r="D702">
        <f t="shared" si="44"/>
        <v>2011</v>
      </c>
      <c r="E702">
        <f t="shared" si="45"/>
        <v>0</v>
      </c>
      <c r="F702" t="s">
        <v>428</v>
      </c>
      <c r="G702" t="s">
        <v>247</v>
      </c>
      <c r="H702" t="s">
        <v>440</v>
      </c>
      <c r="J702">
        <v>15</v>
      </c>
      <c r="K702">
        <f t="shared" si="46"/>
        <v>15</v>
      </c>
      <c r="L702" t="s">
        <v>410</v>
      </c>
      <c r="R702" t="s">
        <v>1348</v>
      </c>
      <c r="S702" t="s">
        <v>1367</v>
      </c>
    </row>
    <row r="703" spans="1:19" x14ac:dyDescent="0.25">
      <c r="A703" t="s">
        <v>341</v>
      </c>
      <c r="B703" s="4">
        <v>40733</v>
      </c>
      <c r="C703" s="9">
        <f t="shared" si="43"/>
        <v>7</v>
      </c>
      <c r="D703">
        <f t="shared" si="44"/>
        <v>2011</v>
      </c>
      <c r="E703">
        <f t="shared" si="45"/>
        <v>0</v>
      </c>
      <c r="F703" t="s">
        <v>428</v>
      </c>
      <c r="G703" t="s">
        <v>247</v>
      </c>
      <c r="H703" t="s">
        <v>440</v>
      </c>
      <c r="J703">
        <v>10</v>
      </c>
      <c r="K703">
        <f t="shared" si="46"/>
        <v>10</v>
      </c>
      <c r="L703" t="s">
        <v>410</v>
      </c>
      <c r="O703">
        <v>-20</v>
      </c>
      <c r="R703" t="s">
        <v>1348</v>
      </c>
      <c r="S703" t="s">
        <v>1367</v>
      </c>
    </row>
    <row r="704" spans="1:19" x14ac:dyDescent="0.25">
      <c r="A704" t="s">
        <v>341</v>
      </c>
      <c r="B704" s="4">
        <v>40734</v>
      </c>
      <c r="C704" s="9">
        <f t="shared" si="43"/>
        <v>7</v>
      </c>
      <c r="D704">
        <f t="shared" si="44"/>
        <v>2011</v>
      </c>
      <c r="E704">
        <v>1</v>
      </c>
      <c r="F704" t="s">
        <v>428</v>
      </c>
      <c r="G704" t="s">
        <v>247</v>
      </c>
      <c r="H704" t="s">
        <v>250</v>
      </c>
      <c r="J704">
        <v>8</v>
      </c>
      <c r="K704">
        <f t="shared" si="46"/>
        <v>8</v>
      </c>
      <c r="L704" t="s">
        <v>410</v>
      </c>
      <c r="M704" t="s">
        <v>441</v>
      </c>
      <c r="R704" t="s">
        <v>1348</v>
      </c>
      <c r="S704" t="s">
        <v>1367</v>
      </c>
    </row>
    <row r="705" spans="1:18" x14ac:dyDescent="0.25">
      <c r="A705" t="s">
        <v>341</v>
      </c>
      <c r="B705" s="4">
        <v>40746</v>
      </c>
      <c r="C705" s="9">
        <f t="shared" si="43"/>
        <v>7</v>
      </c>
      <c r="D705">
        <f t="shared" si="44"/>
        <v>2011</v>
      </c>
      <c r="E705">
        <f t="shared" si="45"/>
        <v>1</v>
      </c>
      <c r="F705" t="s">
        <v>428</v>
      </c>
      <c r="G705" t="s">
        <v>101</v>
      </c>
      <c r="H705" t="s">
        <v>273</v>
      </c>
      <c r="J705">
        <v>39</v>
      </c>
      <c r="K705">
        <f t="shared" si="46"/>
        <v>39</v>
      </c>
      <c r="R705" t="s">
        <v>1348</v>
      </c>
    </row>
    <row r="706" spans="1:18" x14ac:dyDescent="0.25">
      <c r="A706" t="s">
        <v>341</v>
      </c>
      <c r="B706" s="4">
        <v>40749</v>
      </c>
      <c r="C706" s="9">
        <f t="shared" si="43"/>
        <v>7</v>
      </c>
      <c r="D706">
        <f t="shared" si="44"/>
        <v>2011</v>
      </c>
      <c r="E706">
        <f t="shared" si="45"/>
        <v>1</v>
      </c>
      <c r="F706" t="s">
        <v>428</v>
      </c>
      <c r="G706" t="s">
        <v>101</v>
      </c>
      <c r="H706" t="s">
        <v>273</v>
      </c>
      <c r="J706">
        <v>55</v>
      </c>
      <c r="K706">
        <f t="shared" si="46"/>
        <v>55</v>
      </c>
      <c r="R706" t="s">
        <v>1348</v>
      </c>
    </row>
    <row r="707" spans="1:18" x14ac:dyDescent="0.25">
      <c r="A707" t="s">
        <v>341</v>
      </c>
      <c r="B707" s="4">
        <v>40753</v>
      </c>
      <c r="C707" s="9">
        <f t="shared" ref="C707:C770" si="47">MONTH(B707)</f>
        <v>7</v>
      </c>
      <c r="D707">
        <f t="shared" si="44"/>
        <v>2011</v>
      </c>
      <c r="E707">
        <f t="shared" si="45"/>
        <v>1</v>
      </c>
      <c r="F707" t="s">
        <v>428</v>
      </c>
      <c r="G707" t="s">
        <v>101</v>
      </c>
      <c r="H707" t="s">
        <v>244</v>
      </c>
      <c r="J707">
        <v>35</v>
      </c>
      <c r="K707">
        <f t="shared" si="46"/>
        <v>35</v>
      </c>
      <c r="R707" t="s">
        <v>1348</v>
      </c>
    </row>
    <row r="708" spans="1:18" x14ac:dyDescent="0.25">
      <c r="A708" t="s">
        <v>341</v>
      </c>
      <c r="B708" s="4">
        <v>40753</v>
      </c>
      <c r="C708" s="9">
        <f t="shared" si="47"/>
        <v>7</v>
      </c>
      <c r="D708">
        <f t="shared" si="44"/>
        <v>2011</v>
      </c>
      <c r="E708">
        <f t="shared" si="45"/>
        <v>0</v>
      </c>
      <c r="F708" t="s">
        <v>428</v>
      </c>
      <c r="G708" t="s">
        <v>101</v>
      </c>
      <c r="H708" t="s">
        <v>273</v>
      </c>
      <c r="I708">
        <v>1</v>
      </c>
      <c r="J708">
        <v>28</v>
      </c>
      <c r="K708">
        <f t="shared" si="46"/>
        <v>88</v>
      </c>
      <c r="M708" t="s">
        <v>443</v>
      </c>
      <c r="R708" t="s">
        <v>1348</v>
      </c>
    </row>
    <row r="709" spans="1:18" x14ac:dyDescent="0.25">
      <c r="A709" t="s">
        <v>341</v>
      </c>
      <c r="B709" s="4">
        <v>40754</v>
      </c>
      <c r="C709" s="9">
        <f t="shared" si="47"/>
        <v>7</v>
      </c>
      <c r="D709">
        <f t="shared" si="44"/>
        <v>2011</v>
      </c>
      <c r="E709">
        <f t="shared" si="45"/>
        <v>1</v>
      </c>
      <c r="F709" t="s">
        <v>428</v>
      </c>
      <c r="G709" t="s">
        <v>101</v>
      </c>
      <c r="H709" t="s">
        <v>153</v>
      </c>
      <c r="I709">
        <v>1</v>
      </c>
      <c r="J709">
        <v>17</v>
      </c>
      <c r="K709">
        <f t="shared" si="46"/>
        <v>77</v>
      </c>
      <c r="R709" t="s">
        <v>1348</v>
      </c>
    </row>
    <row r="710" spans="1:18" x14ac:dyDescent="0.25">
      <c r="A710" t="s">
        <v>341</v>
      </c>
      <c r="B710" s="4">
        <v>40754</v>
      </c>
      <c r="C710" s="9">
        <f t="shared" si="47"/>
        <v>7</v>
      </c>
      <c r="D710">
        <f t="shared" si="44"/>
        <v>2011</v>
      </c>
      <c r="E710">
        <f t="shared" si="45"/>
        <v>0</v>
      </c>
      <c r="F710" t="s">
        <v>428</v>
      </c>
      <c r="G710" t="s">
        <v>101</v>
      </c>
      <c r="H710" t="s">
        <v>273</v>
      </c>
      <c r="J710">
        <v>15</v>
      </c>
      <c r="K710">
        <f t="shared" si="46"/>
        <v>15</v>
      </c>
      <c r="R710" t="s">
        <v>1348</v>
      </c>
    </row>
    <row r="711" spans="1:18" x14ac:dyDescent="0.25">
      <c r="A711" t="s">
        <v>341</v>
      </c>
      <c r="B711" s="4">
        <v>40755</v>
      </c>
      <c r="C711" s="9">
        <f t="shared" si="47"/>
        <v>7</v>
      </c>
      <c r="D711">
        <f t="shared" si="44"/>
        <v>2011</v>
      </c>
      <c r="E711">
        <f t="shared" si="45"/>
        <v>1</v>
      </c>
      <c r="F711" t="s">
        <v>428</v>
      </c>
      <c r="G711" t="s">
        <v>101</v>
      </c>
      <c r="H711" t="s">
        <v>153</v>
      </c>
      <c r="I711">
        <v>1</v>
      </c>
      <c r="J711">
        <v>27</v>
      </c>
      <c r="K711">
        <f t="shared" si="46"/>
        <v>87</v>
      </c>
      <c r="R711" t="s">
        <v>1348</v>
      </c>
    </row>
    <row r="712" spans="1:18" x14ac:dyDescent="0.25">
      <c r="A712" t="s">
        <v>341</v>
      </c>
      <c r="B712" s="4">
        <v>40756</v>
      </c>
      <c r="C712" s="9">
        <f t="shared" si="47"/>
        <v>8</v>
      </c>
      <c r="D712">
        <f t="shared" si="44"/>
        <v>2011</v>
      </c>
      <c r="E712">
        <f t="shared" si="45"/>
        <v>1</v>
      </c>
      <c r="F712" t="s">
        <v>428</v>
      </c>
      <c r="G712" t="s">
        <v>406</v>
      </c>
      <c r="H712" t="s">
        <v>273</v>
      </c>
      <c r="I712">
        <v>2</v>
      </c>
      <c r="J712">
        <v>3</v>
      </c>
      <c r="K712">
        <f t="shared" si="46"/>
        <v>123</v>
      </c>
      <c r="M712" t="s">
        <v>442</v>
      </c>
      <c r="R712" t="s">
        <v>1348</v>
      </c>
    </row>
    <row r="713" spans="1:18" x14ac:dyDescent="0.25">
      <c r="A713" t="s">
        <v>341</v>
      </c>
      <c r="B713" s="4">
        <v>40757</v>
      </c>
      <c r="C713" s="9">
        <f t="shared" si="47"/>
        <v>8</v>
      </c>
      <c r="D713">
        <f t="shared" si="44"/>
        <v>2011</v>
      </c>
      <c r="E713">
        <f t="shared" si="45"/>
        <v>1</v>
      </c>
      <c r="F713" t="s">
        <v>428</v>
      </c>
      <c r="G713" t="s">
        <v>406</v>
      </c>
      <c r="H713" t="s">
        <v>273</v>
      </c>
      <c r="I713">
        <v>2</v>
      </c>
      <c r="J713">
        <v>30</v>
      </c>
      <c r="K713">
        <f t="shared" si="46"/>
        <v>150</v>
      </c>
      <c r="M713" t="s">
        <v>444</v>
      </c>
      <c r="R713" t="s">
        <v>1348</v>
      </c>
    </row>
    <row r="714" spans="1:18" x14ac:dyDescent="0.25">
      <c r="A714" t="s">
        <v>341</v>
      </c>
      <c r="B714" s="4">
        <v>40759</v>
      </c>
      <c r="C714" s="9">
        <f t="shared" si="47"/>
        <v>8</v>
      </c>
      <c r="D714">
        <f t="shared" si="44"/>
        <v>2011</v>
      </c>
      <c r="E714">
        <f t="shared" si="45"/>
        <v>1</v>
      </c>
      <c r="F714" t="s">
        <v>428</v>
      </c>
      <c r="G714" t="s">
        <v>101</v>
      </c>
      <c r="H714" t="s">
        <v>273</v>
      </c>
      <c r="I714">
        <v>1</v>
      </c>
      <c r="J714">
        <v>27</v>
      </c>
      <c r="K714">
        <f t="shared" si="46"/>
        <v>87</v>
      </c>
      <c r="R714" t="s">
        <v>1348</v>
      </c>
    </row>
    <row r="715" spans="1:18" x14ac:dyDescent="0.25">
      <c r="A715" t="s">
        <v>341</v>
      </c>
      <c r="B715" s="4">
        <v>40760</v>
      </c>
      <c r="C715" s="9">
        <f t="shared" si="47"/>
        <v>8</v>
      </c>
      <c r="D715">
        <f t="shared" si="44"/>
        <v>2011</v>
      </c>
      <c r="E715">
        <f t="shared" si="45"/>
        <v>1</v>
      </c>
      <c r="F715" t="s">
        <v>428</v>
      </c>
      <c r="G715" t="s">
        <v>406</v>
      </c>
      <c r="H715" t="s">
        <v>273</v>
      </c>
      <c r="J715">
        <v>37</v>
      </c>
      <c r="K715">
        <f t="shared" si="46"/>
        <v>37</v>
      </c>
      <c r="R715" t="s">
        <v>1348</v>
      </c>
    </row>
    <row r="716" spans="1:18" x14ac:dyDescent="0.25">
      <c r="A716" t="s">
        <v>341</v>
      </c>
      <c r="B716" s="4">
        <v>40761</v>
      </c>
      <c r="C716" s="9">
        <f t="shared" si="47"/>
        <v>8</v>
      </c>
      <c r="D716">
        <f t="shared" si="44"/>
        <v>2011</v>
      </c>
      <c r="E716">
        <f t="shared" si="45"/>
        <v>1</v>
      </c>
      <c r="F716" t="s">
        <v>428</v>
      </c>
      <c r="G716" t="s">
        <v>406</v>
      </c>
      <c r="H716" t="s">
        <v>244</v>
      </c>
      <c r="J716">
        <v>13</v>
      </c>
      <c r="K716">
        <f t="shared" si="46"/>
        <v>13</v>
      </c>
      <c r="R716" t="s">
        <v>1348</v>
      </c>
    </row>
    <row r="717" spans="1:18" x14ac:dyDescent="0.25">
      <c r="A717" t="s">
        <v>341</v>
      </c>
      <c r="B717" s="4">
        <v>40767</v>
      </c>
      <c r="C717" s="9">
        <f t="shared" si="47"/>
        <v>8</v>
      </c>
      <c r="D717">
        <f t="shared" si="44"/>
        <v>2011</v>
      </c>
      <c r="E717">
        <f t="shared" si="45"/>
        <v>1</v>
      </c>
      <c r="F717" t="s">
        <v>428</v>
      </c>
      <c r="G717" t="s">
        <v>101</v>
      </c>
      <c r="H717" t="s">
        <v>273</v>
      </c>
      <c r="I717">
        <v>1</v>
      </c>
      <c r="J717">
        <v>2</v>
      </c>
      <c r="K717">
        <f t="shared" si="46"/>
        <v>62</v>
      </c>
      <c r="R717" t="s">
        <v>1348</v>
      </c>
    </row>
    <row r="718" spans="1:18" x14ac:dyDescent="0.25">
      <c r="A718" t="s">
        <v>341</v>
      </c>
      <c r="B718" s="4">
        <v>40768</v>
      </c>
      <c r="C718" s="9">
        <f t="shared" si="47"/>
        <v>8</v>
      </c>
      <c r="D718">
        <f t="shared" si="44"/>
        <v>2011</v>
      </c>
      <c r="E718">
        <f t="shared" si="45"/>
        <v>1</v>
      </c>
      <c r="F718" t="s">
        <v>428</v>
      </c>
      <c r="G718" t="s">
        <v>406</v>
      </c>
      <c r="H718" t="s">
        <v>153</v>
      </c>
      <c r="I718">
        <v>2</v>
      </c>
      <c r="J718">
        <v>7</v>
      </c>
      <c r="K718">
        <f t="shared" si="46"/>
        <v>127</v>
      </c>
      <c r="R718" t="s">
        <v>1348</v>
      </c>
    </row>
    <row r="719" spans="1:18" x14ac:dyDescent="0.25">
      <c r="A719" t="s">
        <v>341</v>
      </c>
      <c r="B719" s="4">
        <v>40777</v>
      </c>
      <c r="C719" s="9">
        <f t="shared" si="47"/>
        <v>8</v>
      </c>
      <c r="D719">
        <f t="shared" si="44"/>
        <v>2011</v>
      </c>
      <c r="E719">
        <f t="shared" si="45"/>
        <v>1</v>
      </c>
      <c r="F719" t="s">
        <v>428</v>
      </c>
      <c r="G719" t="s">
        <v>406</v>
      </c>
      <c r="H719" t="s">
        <v>273</v>
      </c>
      <c r="I719">
        <v>2</v>
      </c>
      <c r="J719">
        <v>33</v>
      </c>
      <c r="K719">
        <f t="shared" si="46"/>
        <v>153</v>
      </c>
      <c r="P719">
        <v>3894</v>
      </c>
      <c r="R719" t="s">
        <v>1348</v>
      </c>
    </row>
    <row r="720" spans="1:18" x14ac:dyDescent="0.25">
      <c r="A720" t="s">
        <v>341</v>
      </c>
      <c r="B720" s="4">
        <v>40831</v>
      </c>
      <c r="C720" s="9">
        <f t="shared" si="47"/>
        <v>10</v>
      </c>
      <c r="D720">
        <f t="shared" si="44"/>
        <v>2011</v>
      </c>
      <c r="E720">
        <f t="shared" si="45"/>
        <v>1</v>
      </c>
      <c r="F720" t="s">
        <v>428</v>
      </c>
      <c r="G720" t="s">
        <v>101</v>
      </c>
      <c r="H720" t="s">
        <v>273</v>
      </c>
      <c r="J720">
        <v>19</v>
      </c>
      <c r="K720">
        <f t="shared" si="46"/>
        <v>19</v>
      </c>
      <c r="M720" t="s">
        <v>445</v>
      </c>
      <c r="R720" t="s">
        <v>1348</v>
      </c>
    </row>
    <row r="721" spans="1:18" x14ac:dyDescent="0.25">
      <c r="A721" t="s">
        <v>341</v>
      </c>
      <c r="B721" s="4">
        <v>40831</v>
      </c>
      <c r="C721" s="9">
        <f t="shared" si="47"/>
        <v>10</v>
      </c>
      <c r="D721">
        <f t="shared" ref="D721:D785" si="48">YEAR(B721)</f>
        <v>2011</v>
      </c>
      <c r="E721">
        <f t="shared" ref="E721:E785" si="49">IF(OR(A721 = "GS",A721 = "BP"),IF( OR(A720="GS",A720="BP"),IF(B720=B721,0,1),1),0)</f>
        <v>0</v>
      </c>
      <c r="F721" t="s">
        <v>428</v>
      </c>
      <c r="G721" t="s">
        <v>101</v>
      </c>
      <c r="H721" t="s">
        <v>273</v>
      </c>
      <c r="J721">
        <v>27</v>
      </c>
      <c r="K721">
        <f t="shared" ref="K721:K785" si="50">I721*60+J721</f>
        <v>27</v>
      </c>
      <c r="M721" t="s">
        <v>445</v>
      </c>
      <c r="R721" t="s">
        <v>1348</v>
      </c>
    </row>
    <row r="722" spans="1:18" x14ac:dyDescent="0.25">
      <c r="A722" t="s">
        <v>341</v>
      </c>
      <c r="B722" s="4">
        <v>40832</v>
      </c>
      <c r="C722" s="9">
        <f t="shared" si="47"/>
        <v>10</v>
      </c>
      <c r="D722">
        <f t="shared" si="48"/>
        <v>2011</v>
      </c>
      <c r="E722">
        <f t="shared" si="49"/>
        <v>1</v>
      </c>
      <c r="F722" t="s">
        <v>428</v>
      </c>
      <c r="G722" t="s">
        <v>101</v>
      </c>
      <c r="H722" t="s">
        <v>273</v>
      </c>
      <c r="J722">
        <v>18</v>
      </c>
      <c r="K722">
        <f t="shared" si="50"/>
        <v>18</v>
      </c>
      <c r="M722" t="s">
        <v>445</v>
      </c>
      <c r="R722" t="s">
        <v>1348</v>
      </c>
    </row>
    <row r="723" spans="1:18" x14ac:dyDescent="0.25">
      <c r="A723" t="s">
        <v>341</v>
      </c>
      <c r="B723" s="4">
        <v>40832</v>
      </c>
      <c r="C723" s="9">
        <f t="shared" si="47"/>
        <v>10</v>
      </c>
      <c r="D723">
        <f t="shared" si="48"/>
        <v>2011</v>
      </c>
      <c r="E723">
        <f t="shared" si="49"/>
        <v>0</v>
      </c>
      <c r="F723" t="s">
        <v>428</v>
      </c>
      <c r="G723" t="s">
        <v>101</v>
      </c>
      <c r="H723" t="s">
        <v>273</v>
      </c>
      <c r="J723">
        <v>18</v>
      </c>
      <c r="K723">
        <f t="shared" si="50"/>
        <v>18</v>
      </c>
      <c r="M723" t="s">
        <v>445</v>
      </c>
      <c r="R723" t="s">
        <v>1348</v>
      </c>
    </row>
    <row r="724" spans="1:18" x14ac:dyDescent="0.25">
      <c r="A724" t="s">
        <v>341</v>
      </c>
      <c r="B724" s="4">
        <v>40838</v>
      </c>
      <c r="C724" s="9">
        <f t="shared" si="47"/>
        <v>10</v>
      </c>
      <c r="D724">
        <f t="shared" si="48"/>
        <v>2011</v>
      </c>
      <c r="E724">
        <f t="shared" si="49"/>
        <v>1</v>
      </c>
      <c r="F724" t="s">
        <v>428</v>
      </c>
      <c r="G724" t="s">
        <v>101</v>
      </c>
      <c r="H724" t="s">
        <v>273</v>
      </c>
      <c r="J724">
        <v>22</v>
      </c>
      <c r="K724">
        <f t="shared" si="50"/>
        <v>22</v>
      </c>
      <c r="R724" t="s">
        <v>1348</v>
      </c>
    </row>
    <row r="725" spans="1:18" x14ac:dyDescent="0.25">
      <c r="A725" t="s">
        <v>341</v>
      </c>
      <c r="B725" s="4">
        <v>40839</v>
      </c>
      <c r="C725" s="9">
        <f t="shared" si="47"/>
        <v>10</v>
      </c>
      <c r="D725">
        <f t="shared" si="48"/>
        <v>2011</v>
      </c>
      <c r="E725">
        <f t="shared" si="49"/>
        <v>1</v>
      </c>
      <c r="F725" t="s">
        <v>428</v>
      </c>
      <c r="G725" t="s">
        <v>101</v>
      </c>
      <c r="H725" t="s">
        <v>273</v>
      </c>
      <c r="J725">
        <v>27</v>
      </c>
      <c r="K725">
        <f t="shared" si="50"/>
        <v>27</v>
      </c>
      <c r="R725" t="s">
        <v>1348</v>
      </c>
    </row>
    <row r="726" spans="1:18" x14ac:dyDescent="0.25">
      <c r="A726" t="s">
        <v>341</v>
      </c>
      <c r="B726" s="4">
        <v>40845</v>
      </c>
      <c r="C726" s="9">
        <f t="shared" si="47"/>
        <v>10</v>
      </c>
      <c r="D726">
        <f t="shared" si="48"/>
        <v>2011</v>
      </c>
      <c r="E726">
        <f t="shared" si="49"/>
        <v>1</v>
      </c>
      <c r="F726" t="s">
        <v>428</v>
      </c>
      <c r="G726" t="s">
        <v>101</v>
      </c>
      <c r="H726" t="s">
        <v>273</v>
      </c>
      <c r="J726">
        <v>21</v>
      </c>
      <c r="K726">
        <f t="shared" si="50"/>
        <v>21</v>
      </c>
      <c r="R726" t="s">
        <v>1348</v>
      </c>
    </row>
    <row r="727" spans="1:18" x14ac:dyDescent="0.25">
      <c r="A727" t="s">
        <v>341</v>
      </c>
      <c r="B727" s="4">
        <v>40845</v>
      </c>
      <c r="C727" s="9">
        <f t="shared" si="47"/>
        <v>10</v>
      </c>
      <c r="D727">
        <f t="shared" si="48"/>
        <v>2011</v>
      </c>
      <c r="E727">
        <f t="shared" si="49"/>
        <v>0</v>
      </c>
      <c r="F727" t="s">
        <v>428</v>
      </c>
      <c r="G727" t="s">
        <v>101</v>
      </c>
      <c r="H727" t="s">
        <v>273</v>
      </c>
      <c r="J727">
        <v>18</v>
      </c>
      <c r="K727">
        <f t="shared" si="50"/>
        <v>18</v>
      </c>
      <c r="R727" t="s">
        <v>1348</v>
      </c>
    </row>
    <row r="728" spans="1:18" x14ac:dyDescent="0.25">
      <c r="A728" t="s">
        <v>341</v>
      </c>
      <c r="B728" s="4">
        <v>40846</v>
      </c>
      <c r="C728" s="9">
        <f t="shared" si="47"/>
        <v>10</v>
      </c>
      <c r="D728">
        <f t="shared" si="48"/>
        <v>2011</v>
      </c>
      <c r="E728">
        <f t="shared" si="49"/>
        <v>1</v>
      </c>
      <c r="F728" t="s">
        <v>428</v>
      </c>
      <c r="G728" t="s">
        <v>101</v>
      </c>
      <c r="H728" t="s">
        <v>273</v>
      </c>
      <c r="J728">
        <v>21</v>
      </c>
      <c r="K728">
        <f t="shared" si="50"/>
        <v>21</v>
      </c>
      <c r="R728" t="s">
        <v>1348</v>
      </c>
    </row>
    <row r="729" spans="1:18" x14ac:dyDescent="0.25">
      <c r="A729" t="s">
        <v>341</v>
      </c>
      <c r="B729" s="4">
        <v>40904</v>
      </c>
      <c r="C729" s="9">
        <f t="shared" si="47"/>
        <v>12</v>
      </c>
      <c r="D729">
        <f t="shared" si="48"/>
        <v>2011</v>
      </c>
      <c r="E729">
        <f t="shared" si="49"/>
        <v>1</v>
      </c>
      <c r="F729" t="s">
        <v>428</v>
      </c>
      <c r="G729" t="s">
        <v>101</v>
      </c>
      <c r="H729" t="s">
        <v>273</v>
      </c>
      <c r="J729">
        <v>18</v>
      </c>
      <c r="K729">
        <f t="shared" si="50"/>
        <v>18</v>
      </c>
      <c r="R729" t="s">
        <v>1348</v>
      </c>
    </row>
    <row r="730" spans="1:18" x14ac:dyDescent="0.25">
      <c r="A730" t="s">
        <v>341</v>
      </c>
      <c r="B730" s="4">
        <v>40905</v>
      </c>
      <c r="C730" s="9">
        <f t="shared" si="47"/>
        <v>12</v>
      </c>
      <c r="D730">
        <f t="shared" si="48"/>
        <v>2011</v>
      </c>
      <c r="E730">
        <f t="shared" si="49"/>
        <v>1</v>
      </c>
      <c r="F730" t="s">
        <v>428</v>
      </c>
      <c r="G730" t="s">
        <v>101</v>
      </c>
      <c r="H730" t="s">
        <v>273</v>
      </c>
      <c r="J730">
        <v>26</v>
      </c>
      <c r="K730">
        <f t="shared" si="50"/>
        <v>26</v>
      </c>
      <c r="R730" t="s">
        <v>1348</v>
      </c>
    </row>
    <row r="731" spans="1:18" x14ac:dyDescent="0.25">
      <c r="A731" t="s">
        <v>341</v>
      </c>
      <c r="B731" s="4">
        <v>40963</v>
      </c>
      <c r="C731" s="9">
        <f t="shared" si="47"/>
        <v>2</v>
      </c>
      <c r="D731">
        <f t="shared" si="48"/>
        <v>2012</v>
      </c>
      <c r="E731">
        <f t="shared" si="49"/>
        <v>1</v>
      </c>
      <c r="F731" t="s">
        <v>428</v>
      </c>
      <c r="G731" t="s">
        <v>446</v>
      </c>
      <c r="H731" t="s">
        <v>447</v>
      </c>
      <c r="J731">
        <v>17</v>
      </c>
      <c r="K731">
        <f t="shared" si="50"/>
        <v>17</v>
      </c>
      <c r="M731" t="s">
        <v>451</v>
      </c>
      <c r="R731" t="s">
        <v>1348</v>
      </c>
    </row>
    <row r="732" spans="1:18" x14ac:dyDescent="0.25">
      <c r="A732" t="s">
        <v>341</v>
      </c>
      <c r="B732" s="4">
        <v>40963</v>
      </c>
      <c r="C732" s="9">
        <f t="shared" si="47"/>
        <v>2</v>
      </c>
      <c r="D732">
        <f t="shared" si="48"/>
        <v>2012</v>
      </c>
      <c r="E732">
        <f t="shared" si="49"/>
        <v>0</v>
      </c>
      <c r="F732" t="s">
        <v>428</v>
      </c>
      <c r="G732" t="s">
        <v>446</v>
      </c>
      <c r="H732" t="s">
        <v>447</v>
      </c>
      <c r="J732">
        <v>26</v>
      </c>
      <c r="K732">
        <f t="shared" si="50"/>
        <v>26</v>
      </c>
      <c r="R732" t="s">
        <v>1348</v>
      </c>
    </row>
    <row r="733" spans="1:18" x14ac:dyDescent="0.25">
      <c r="A733" t="s">
        <v>341</v>
      </c>
      <c r="B733" s="4">
        <v>40964</v>
      </c>
      <c r="C733" s="9">
        <f t="shared" si="47"/>
        <v>2</v>
      </c>
      <c r="D733">
        <f t="shared" si="48"/>
        <v>2012</v>
      </c>
      <c r="E733">
        <f t="shared" si="49"/>
        <v>1</v>
      </c>
      <c r="F733" t="s">
        <v>428</v>
      </c>
      <c r="G733" t="s">
        <v>446</v>
      </c>
      <c r="H733" t="s">
        <v>448</v>
      </c>
      <c r="J733">
        <v>13</v>
      </c>
      <c r="K733">
        <f t="shared" si="50"/>
        <v>13</v>
      </c>
      <c r="R733" t="s">
        <v>1348</v>
      </c>
    </row>
    <row r="734" spans="1:18" x14ac:dyDescent="0.25">
      <c r="A734" t="s">
        <v>341</v>
      </c>
      <c r="B734" s="4">
        <v>40964</v>
      </c>
      <c r="C734" s="9">
        <f t="shared" si="47"/>
        <v>2</v>
      </c>
      <c r="D734">
        <f t="shared" si="48"/>
        <v>2012</v>
      </c>
      <c r="E734">
        <f t="shared" si="49"/>
        <v>0</v>
      </c>
      <c r="F734" t="s">
        <v>428</v>
      </c>
      <c r="G734" t="s">
        <v>449</v>
      </c>
      <c r="H734" t="s">
        <v>450</v>
      </c>
      <c r="J734">
        <v>15</v>
      </c>
      <c r="K734">
        <f t="shared" si="50"/>
        <v>15</v>
      </c>
      <c r="R734" t="s">
        <v>1348</v>
      </c>
    </row>
    <row r="735" spans="1:18" x14ac:dyDescent="0.25">
      <c r="A735" t="s">
        <v>341</v>
      </c>
      <c r="B735" s="4">
        <v>40965</v>
      </c>
      <c r="C735" s="9">
        <f t="shared" si="47"/>
        <v>2</v>
      </c>
      <c r="D735">
        <f t="shared" si="48"/>
        <v>2012</v>
      </c>
      <c r="E735">
        <f t="shared" si="49"/>
        <v>1</v>
      </c>
      <c r="F735" t="s">
        <v>428</v>
      </c>
      <c r="G735" t="s">
        <v>446</v>
      </c>
      <c r="H735" t="s">
        <v>447</v>
      </c>
      <c r="J735">
        <v>15</v>
      </c>
      <c r="K735">
        <f t="shared" si="50"/>
        <v>15</v>
      </c>
      <c r="M735" t="s">
        <v>452</v>
      </c>
      <c r="R735" t="s">
        <v>1348</v>
      </c>
    </row>
    <row r="736" spans="1:18" x14ac:dyDescent="0.25">
      <c r="A736" t="s">
        <v>341</v>
      </c>
      <c r="B736" s="4">
        <v>40965</v>
      </c>
      <c r="C736" s="9">
        <f t="shared" si="47"/>
        <v>2</v>
      </c>
      <c r="D736">
        <f t="shared" si="48"/>
        <v>2012</v>
      </c>
      <c r="E736">
        <f t="shared" si="49"/>
        <v>0</v>
      </c>
      <c r="F736" t="s">
        <v>428</v>
      </c>
      <c r="G736" t="s">
        <v>446</v>
      </c>
      <c r="H736" t="s">
        <v>447</v>
      </c>
      <c r="I736">
        <v>1</v>
      </c>
      <c r="J736">
        <v>0</v>
      </c>
      <c r="K736">
        <f t="shared" si="50"/>
        <v>60</v>
      </c>
      <c r="R736" t="s">
        <v>1348</v>
      </c>
    </row>
    <row r="737" spans="1:18" x14ac:dyDescent="0.25">
      <c r="A737" t="s">
        <v>341</v>
      </c>
      <c r="B737" s="4">
        <v>40967</v>
      </c>
      <c r="C737" s="9">
        <f t="shared" si="47"/>
        <v>2</v>
      </c>
      <c r="D737">
        <f t="shared" si="48"/>
        <v>2012</v>
      </c>
      <c r="E737">
        <f t="shared" si="49"/>
        <v>1</v>
      </c>
      <c r="F737" t="s">
        <v>428</v>
      </c>
      <c r="G737" t="s">
        <v>101</v>
      </c>
      <c r="H737" t="s">
        <v>377</v>
      </c>
      <c r="J737">
        <v>11</v>
      </c>
      <c r="K737">
        <f t="shared" si="50"/>
        <v>11</v>
      </c>
      <c r="R737" t="s">
        <v>1348</v>
      </c>
    </row>
    <row r="738" spans="1:18" x14ac:dyDescent="0.25">
      <c r="A738" t="s">
        <v>341</v>
      </c>
      <c r="B738" s="4">
        <v>40967</v>
      </c>
      <c r="C738" s="9">
        <f t="shared" si="47"/>
        <v>2</v>
      </c>
      <c r="D738">
        <f t="shared" si="48"/>
        <v>2012</v>
      </c>
      <c r="E738">
        <f t="shared" si="49"/>
        <v>0</v>
      </c>
      <c r="F738" t="s">
        <v>428</v>
      </c>
      <c r="G738" t="s">
        <v>101</v>
      </c>
      <c r="H738" t="s">
        <v>244</v>
      </c>
      <c r="J738">
        <v>59</v>
      </c>
      <c r="K738">
        <f t="shared" si="50"/>
        <v>59</v>
      </c>
      <c r="R738" t="s">
        <v>1348</v>
      </c>
    </row>
    <row r="739" spans="1:18" x14ac:dyDescent="0.25">
      <c r="A739" t="s">
        <v>341</v>
      </c>
      <c r="B739" s="4">
        <v>40968</v>
      </c>
      <c r="C739" s="9">
        <f t="shared" si="47"/>
        <v>2</v>
      </c>
      <c r="D739">
        <f t="shared" si="48"/>
        <v>2012</v>
      </c>
      <c r="E739">
        <f t="shared" si="49"/>
        <v>1</v>
      </c>
      <c r="F739" t="s">
        <v>428</v>
      </c>
      <c r="G739" t="s">
        <v>101</v>
      </c>
      <c r="H739" t="s">
        <v>101</v>
      </c>
      <c r="J739">
        <v>17</v>
      </c>
      <c r="K739">
        <f t="shared" si="50"/>
        <v>17</v>
      </c>
      <c r="R739" t="s">
        <v>1348</v>
      </c>
    </row>
    <row r="740" spans="1:18" x14ac:dyDescent="0.25">
      <c r="A740" t="s">
        <v>341</v>
      </c>
      <c r="B740" s="4">
        <v>40968</v>
      </c>
      <c r="C740" s="9">
        <f t="shared" si="47"/>
        <v>2</v>
      </c>
      <c r="D740">
        <f t="shared" si="48"/>
        <v>2012</v>
      </c>
      <c r="E740">
        <f t="shared" si="49"/>
        <v>0</v>
      </c>
      <c r="F740" t="s">
        <v>428</v>
      </c>
      <c r="G740" t="s">
        <v>101</v>
      </c>
      <c r="H740" t="s">
        <v>244</v>
      </c>
      <c r="J740">
        <v>48</v>
      </c>
      <c r="K740">
        <f t="shared" si="50"/>
        <v>48</v>
      </c>
      <c r="R740" t="s">
        <v>1348</v>
      </c>
    </row>
    <row r="741" spans="1:18" x14ac:dyDescent="0.25">
      <c r="A741" t="s">
        <v>341</v>
      </c>
      <c r="B741" s="4">
        <v>40969</v>
      </c>
      <c r="C741" s="9">
        <f t="shared" si="47"/>
        <v>3</v>
      </c>
      <c r="D741">
        <f t="shared" si="48"/>
        <v>2012</v>
      </c>
      <c r="E741">
        <f t="shared" si="49"/>
        <v>1</v>
      </c>
      <c r="F741" t="s">
        <v>428</v>
      </c>
      <c r="G741" t="s">
        <v>101</v>
      </c>
      <c r="H741" t="s">
        <v>273</v>
      </c>
      <c r="I741">
        <v>1</v>
      </c>
      <c r="J741">
        <v>42</v>
      </c>
      <c r="K741">
        <f t="shared" si="50"/>
        <v>102</v>
      </c>
      <c r="M741" t="s">
        <v>453</v>
      </c>
      <c r="R741" t="s">
        <v>1348</v>
      </c>
    </row>
    <row r="742" spans="1:18" x14ac:dyDescent="0.25">
      <c r="A742" t="s">
        <v>341</v>
      </c>
      <c r="B742" s="4">
        <v>40970</v>
      </c>
      <c r="C742" s="9">
        <f t="shared" si="47"/>
        <v>3</v>
      </c>
      <c r="D742">
        <f t="shared" si="48"/>
        <v>2012</v>
      </c>
      <c r="E742">
        <f t="shared" si="49"/>
        <v>1</v>
      </c>
      <c r="F742" t="s">
        <v>428</v>
      </c>
      <c r="G742" t="s">
        <v>101</v>
      </c>
      <c r="H742" t="s">
        <v>153</v>
      </c>
      <c r="I742">
        <v>1</v>
      </c>
      <c r="J742">
        <v>12</v>
      </c>
      <c r="K742">
        <f t="shared" si="50"/>
        <v>72</v>
      </c>
      <c r="R742" t="s">
        <v>1348</v>
      </c>
    </row>
    <row r="743" spans="1:18" x14ac:dyDescent="0.25">
      <c r="A743" t="s">
        <v>341</v>
      </c>
      <c r="B743" s="4">
        <v>40971</v>
      </c>
      <c r="C743" s="9">
        <f t="shared" si="47"/>
        <v>3</v>
      </c>
      <c r="D743">
        <f t="shared" si="48"/>
        <v>2012</v>
      </c>
      <c r="E743">
        <f t="shared" si="49"/>
        <v>1</v>
      </c>
      <c r="F743" t="s">
        <v>428</v>
      </c>
      <c r="G743" t="s">
        <v>101</v>
      </c>
      <c r="H743" t="s">
        <v>153</v>
      </c>
      <c r="I743">
        <v>1</v>
      </c>
      <c r="J743">
        <v>11</v>
      </c>
      <c r="K743">
        <f t="shared" si="50"/>
        <v>71</v>
      </c>
      <c r="R743" t="s">
        <v>1348</v>
      </c>
    </row>
    <row r="744" spans="1:18" x14ac:dyDescent="0.25">
      <c r="A744" t="s">
        <v>341</v>
      </c>
      <c r="B744" s="4">
        <v>40981</v>
      </c>
      <c r="C744" s="9">
        <f t="shared" si="47"/>
        <v>3</v>
      </c>
      <c r="D744">
        <f t="shared" si="48"/>
        <v>2012</v>
      </c>
      <c r="E744">
        <f t="shared" si="49"/>
        <v>1</v>
      </c>
      <c r="F744" t="s">
        <v>428</v>
      </c>
      <c r="G744" t="s">
        <v>101</v>
      </c>
      <c r="H744" t="s">
        <v>244</v>
      </c>
      <c r="J744">
        <v>42</v>
      </c>
      <c r="K744">
        <f t="shared" si="50"/>
        <v>42</v>
      </c>
      <c r="R744" t="s">
        <v>1348</v>
      </c>
    </row>
    <row r="745" spans="1:18" x14ac:dyDescent="0.25">
      <c r="A745" t="s">
        <v>341</v>
      </c>
      <c r="B745" s="4">
        <v>40982</v>
      </c>
      <c r="C745" s="9">
        <f t="shared" si="47"/>
        <v>3</v>
      </c>
      <c r="D745">
        <f t="shared" si="48"/>
        <v>2012</v>
      </c>
      <c r="E745">
        <f t="shared" si="49"/>
        <v>1</v>
      </c>
      <c r="F745" t="s">
        <v>428</v>
      </c>
      <c r="G745" t="s">
        <v>101</v>
      </c>
      <c r="H745" t="s">
        <v>244</v>
      </c>
      <c r="I745">
        <v>2</v>
      </c>
      <c r="J745">
        <v>14</v>
      </c>
      <c r="K745">
        <f t="shared" si="50"/>
        <v>134</v>
      </c>
      <c r="M745" t="s">
        <v>454</v>
      </c>
      <c r="R745" t="s">
        <v>1348</v>
      </c>
    </row>
    <row r="746" spans="1:18" x14ac:dyDescent="0.25">
      <c r="A746" t="s">
        <v>341</v>
      </c>
      <c r="B746" s="4">
        <v>40983</v>
      </c>
      <c r="C746" s="9">
        <f t="shared" si="47"/>
        <v>3</v>
      </c>
      <c r="D746">
        <f t="shared" si="48"/>
        <v>2012</v>
      </c>
      <c r="E746">
        <f t="shared" si="49"/>
        <v>1</v>
      </c>
      <c r="F746" t="s">
        <v>428</v>
      </c>
      <c r="G746" t="s">
        <v>101</v>
      </c>
      <c r="H746" t="s">
        <v>153</v>
      </c>
      <c r="I746">
        <v>1</v>
      </c>
      <c r="J746">
        <v>28</v>
      </c>
      <c r="K746">
        <f t="shared" si="50"/>
        <v>88</v>
      </c>
      <c r="R746" t="s">
        <v>1348</v>
      </c>
    </row>
    <row r="747" spans="1:18" x14ac:dyDescent="0.25">
      <c r="A747" t="s">
        <v>341</v>
      </c>
      <c r="B747" s="4">
        <v>40984</v>
      </c>
      <c r="C747" s="9">
        <f t="shared" si="47"/>
        <v>3</v>
      </c>
      <c r="D747">
        <f t="shared" si="48"/>
        <v>2012</v>
      </c>
      <c r="E747">
        <f t="shared" si="49"/>
        <v>1</v>
      </c>
      <c r="F747" t="s">
        <v>428</v>
      </c>
      <c r="G747" t="s">
        <v>101</v>
      </c>
      <c r="H747" t="s">
        <v>244</v>
      </c>
      <c r="I747">
        <v>3</v>
      </c>
      <c r="J747">
        <v>18</v>
      </c>
      <c r="K747">
        <f t="shared" si="50"/>
        <v>198</v>
      </c>
      <c r="M747" t="s">
        <v>456</v>
      </c>
      <c r="R747" t="s">
        <v>1348</v>
      </c>
    </row>
    <row r="748" spans="1:18" x14ac:dyDescent="0.25">
      <c r="A748" t="s">
        <v>341</v>
      </c>
      <c r="B748" s="4">
        <v>40991</v>
      </c>
      <c r="C748" s="9">
        <f t="shared" si="47"/>
        <v>3</v>
      </c>
      <c r="D748">
        <f t="shared" si="48"/>
        <v>2012</v>
      </c>
      <c r="E748">
        <f t="shared" si="49"/>
        <v>1</v>
      </c>
      <c r="F748" t="s">
        <v>428</v>
      </c>
      <c r="G748" t="s">
        <v>101</v>
      </c>
      <c r="H748" t="s">
        <v>320</v>
      </c>
      <c r="J748">
        <v>52</v>
      </c>
      <c r="K748">
        <f t="shared" si="50"/>
        <v>52</v>
      </c>
      <c r="M748" t="s">
        <v>457</v>
      </c>
      <c r="R748" t="s">
        <v>1348</v>
      </c>
    </row>
    <row r="749" spans="1:18" x14ac:dyDescent="0.25">
      <c r="A749" t="s">
        <v>341</v>
      </c>
      <c r="B749" s="4">
        <v>40992</v>
      </c>
      <c r="C749" s="9">
        <f t="shared" si="47"/>
        <v>3</v>
      </c>
      <c r="D749">
        <f t="shared" si="48"/>
        <v>2012</v>
      </c>
      <c r="E749">
        <f t="shared" si="49"/>
        <v>1</v>
      </c>
      <c r="F749" t="s">
        <v>428</v>
      </c>
      <c r="G749" t="s">
        <v>101</v>
      </c>
      <c r="H749" t="s">
        <v>153</v>
      </c>
      <c r="J749">
        <v>58</v>
      </c>
      <c r="K749">
        <f t="shared" si="50"/>
        <v>58</v>
      </c>
      <c r="M749" t="s">
        <v>458</v>
      </c>
      <c r="R749" t="s">
        <v>1348</v>
      </c>
    </row>
    <row r="750" spans="1:18" x14ac:dyDescent="0.25">
      <c r="A750" t="s">
        <v>341</v>
      </c>
      <c r="B750" s="4">
        <v>41040</v>
      </c>
      <c r="C750" s="9">
        <f t="shared" si="47"/>
        <v>5</v>
      </c>
      <c r="D750">
        <f t="shared" si="48"/>
        <v>2012</v>
      </c>
      <c r="E750">
        <f t="shared" si="49"/>
        <v>1</v>
      </c>
      <c r="F750" t="s">
        <v>428</v>
      </c>
      <c r="G750" t="s">
        <v>101</v>
      </c>
      <c r="H750" t="s">
        <v>273</v>
      </c>
      <c r="I750">
        <v>2</v>
      </c>
      <c r="J750">
        <v>7</v>
      </c>
      <c r="K750">
        <f t="shared" si="50"/>
        <v>127</v>
      </c>
      <c r="R750" t="s">
        <v>1348</v>
      </c>
    </row>
    <row r="751" spans="1:18" x14ac:dyDescent="0.25">
      <c r="A751" t="s">
        <v>341</v>
      </c>
      <c r="B751" s="4">
        <v>41043</v>
      </c>
      <c r="C751" s="9">
        <f t="shared" si="47"/>
        <v>5</v>
      </c>
      <c r="D751">
        <f t="shared" si="48"/>
        <v>2012</v>
      </c>
      <c r="E751">
        <f t="shared" si="49"/>
        <v>1</v>
      </c>
      <c r="F751" t="s">
        <v>428</v>
      </c>
      <c r="G751" t="s">
        <v>459</v>
      </c>
      <c r="H751" t="s">
        <v>460</v>
      </c>
      <c r="I751">
        <v>1</v>
      </c>
      <c r="J751">
        <v>7</v>
      </c>
      <c r="K751">
        <f t="shared" si="50"/>
        <v>67</v>
      </c>
      <c r="L751" t="s">
        <v>295</v>
      </c>
      <c r="R751" t="s">
        <v>1349</v>
      </c>
    </row>
    <row r="752" spans="1:18" x14ac:dyDescent="0.25">
      <c r="A752" t="s">
        <v>341</v>
      </c>
      <c r="B752" s="4">
        <v>41043</v>
      </c>
      <c r="C752" s="9">
        <f t="shared" si="47"/>
        <v>5</v>
      </c>
      <c r="D752">
        <f t="shared" si="48"/>
        <v>2012</v>
      </c>
      <c r="E752">
        <f t="shared" si="49"/>
        <v>0</v>
      </c>
      <c r="F752" t="s">
        <v>428</v>
      </c>
      <c r="G752" t="s">
        <v>461</v>
      </c>
      <c r="H752" t="s">
        <v>462</v>
      </c>
      <c r="I752">
        <v>1</v>
      </c>
      <c r="J752">
        <v>6</v>
      </c>
      <c r="K752">
        <f t="shared" si="50"/>
        <v>66</v>
      </c>
      <c r="L752" t="s">
        <v>295</v>
      </c>
      <c r="R752" t="s">
        <v>1349</v>
      </c>
    </row>
    <row r="753" spans="1:19" x14ac:dyDescent="0.25">
      <c r="A753" t="s">
        <v>341</v>
      </c>
      <c r="B753" s="4">
        <v>41044</v>
      </c>
      <c r="C753" s="9">
        <f t="shared" si="47"/>
        <v>5</v>
      </c>
      <c r="D753">
        <f t="shared" si="48"/>
        <v>2012</v>
      </c>
      <c r="E753">
        <f t="shared" si="49"/>
        <v>1</v>
      </c>
      <c r="F753" t="s">
        <v>428</v>
      </c>
      <c r="G753" t="s">
        <v>459</v>
      </c>
      <c r="H753" t="s">
        <v>460</v>
      </c>
      <c r="J753">
        <v>56</v>
      </c>
      <c r="K753">
        <f t="shared" si="50"/>
        <v>56</v>
      </c>
      <c r="L753" t="s">
        <v>295</v>
      </c>
      <c r="R753" t="s">
        <v>1349</v>
      </c>
    </row>
    <row r="754" spans="1:19" x14ac:dyDescent="0.25">
      <c r="A754" t="s">
        <v>341</v>
      </c>
      <c r="B754" s="4">
        <v>41045</v>
      </c>
      <c r="C754" s="9">
        <f t="shared" si="47"/>
        <v>5</v>
      </c>
      <c r="D754">
        <f t="shared" si="48"/>
        <v>2012</v>
      </c>
      <c r="E754">
        <f t="shared" si="49"/>
        <v>1</v>
      </c>
      <c r="F754" t="s">
        <v>428</v>
      </c>
      <c r="G754" t="s">
        <v>393</v>
      </c>
      <c r="H754" t="s">
        <v>294</v>
      </c>
      <c r="J754">
        <v>43</v>
      </c>
      <c r="K754">
        <f t="shared" si="50"/>
        <v>43</v>
      </c>
      <c r="L754" t="s">
        <v>295</v>
      </c>
      <c r="R754" t="s">
        <v>1349</v>
      </c>
    </row>
    <row r="755" spans="1:19" x14ac:dyDescent="0.25">
      <c r="A755" t="s">
        <v>341</v>
      </c>
      <c r="B755" s="4">
        <v>41046</v>
      </c>
      <c r="C755" s="9">
        <f t="shared" si="47"/>
        <v>5</v>
      </c>
      <c r="D755">
        <f t="shared" si="48"/>
        <v>2012</v>
      </c>
      <c r="E755">
        <f t="shared" si="49"/>
        <v>1</v>
      </c>
      <c r="F755" t="s">
        <v>428</v>
      </c>
      <c r="G755" t="s">
        <v>292</v>
      </c>
      <c r="H755" t="s">
        <v>463</v>
      </c>
      <c r="J755">
        <v>43</v>
      </c>
      <c r="K755">
        <f t="shared" si="50"/>
        <v>43</v>
      </c>
      <c r="L755" t="s">
        <v>295</v>
      </c>
      <c r="R755" t="s">
        <v>1349</v>
      </c>
    </row>
    <row r="756" spans="1:19" x14ac:dyDescent="0.25">
      <c r="A756" t="s">
        <v>341</v>
      </c>
      <c r="B756" s="4">
        <v>41046</v>
      </c>
      <c r="C756" s="9">
        <f t="shared" si="47"/>
        <v>5</v>
      </c>
      <c r="D756">
        <f t="shared" si="48"/>
        <v>2012</v>
      </c>
      <c r="E756">
        <f t="shared" si="49"/>
        <v>0</v>
      </c>
      <c r="F756" t="s">
        <v>428</v>
      </c>
      <c r="G756" t="s">
        <v>291</v>
      </c>
      <c r="H756" t="s">
        <v>291</v>
      </c>
      <c r="J756">
        <v>46</v>
      </c>
      <c r="K756">
        <f t="shared" si="50"/>
        <v>46</v>
      </c>
      <c r="L756" t="s">
        <v>295</v>
      </c>
      <c r="R756" t="s">
        <v>1349</v>
      </c>
    </row>
    <row r="757" spans="1:19" x14ac:dyDescent="0.25">
      <c r="A757" t="s">
        <v>341</v>
      </c>
      <c r="B757" s="4">
        <v>41047</v>
      </c>
      <c r="C757" s="9">
        <f t="shared" si="47"/>
        <v>5</v>
      </c>
      <c r="D757">
        <f t="shared" si="48"/>
        <v>2012</v>
      </c>
      <c r="E757">
        <f t="shared" si="49"/>
        <v>1</v>
      </c>
      <c r="F757" t="s">
        <v>428</v>
      </c>
      <c r="G757" t="s">
        <v>393</v>
      </c>
      <c r="H757" t="s">
        <v>294</v>
      </c>
      <c r="J757">
        <v>51</v>
      </c>
      <c r="K757">
        <f t="shared" si="50"/>
        <v>51</v>
      </c>
      <c r="L757" t="s">
        <v>295</v>
      </c>
      <c r="R757" t="s">
        <v>1349</v>
      </c>
    </row>
    <row r="758" spans="1:19" x14ac:dyDescent="0.25">
      <c r="A758" t="s">
        <v>341</v>
      </c>
      <c r="B758" s="4">
        <v>41047</v>
      </c>
      <c r="C758" s="9">
        <f t="shared" si="47"/>
        <v>5</v>
      </c>
      <c r="D758">
        <f t="shared" si="48"/>
        <v>2012</v>
      </c>
      <c r="E758">
        <f t="shared" si="49"/>
        <v>0</v>
      </c>
      <c r="F758" t="s">
        <v>428</v>
      </c>
      <c r="G758" t="s">
        <v>291</v>
      </c>
      <c r="H758" t="s">
        <v>291</v>
      </c>
      <c r="J758">
        <v>15</v>
      </c>
      <c r="K758">
        <f t="shared" si="50"/>
        <v>15</v>
      </c>
      <c r="L758" t="s">
        <v>295</v>
      </c>
      <c r="R758" t="s">
        <v>1349</v>
      </c>
    </row>
    <row r="759" spans="1:19" x14ac:dyDescent="0.25">
      <c r="A759" t="s">
        <v>341</v>
      </c>
      <c r="B759" s="4">
        <v>41055</v>
      </c>
      <c r="C759" s="9">
        <f t="shared" si="47"/>
        <v>5</v>
      </c>
      <c r="D759">
        <f t="shared" si="48"/>
        <v>2012</v>
      </c>
      <c r="E759">
        <f t="shared" si="49"/>
        <v>1</v>
      </c>
      <c r="F759" t="s">
        <v>428</v>
      </c>
      <c r="G759" t="s">
        <v>373</v>
      </c>
      <c r="H759" t="s">
        <v>153</v>
      </c>
      <c r="I759">
        <v>1</v>
      </c>
      <c r="J759">
        <v>6</v>
      </c>
      <c r="K759">
        <f t="shared" si="50"/>
        <v>66</v>
      </c>
      <c r="R759" t="s">
        <v>1348</v>
      </c>
    </row>
    <row r="760" spans="1:19" x14ac:dyDescent="0.25">
      <c r="A760" t="s">
        <v>341</v>
      </c>
      <c r="B760" s="4">
        <v>41056</v>
      </c>
      <c r="C760" s="9">
        <f t="shared" si="47"/>
        <v>5</v>
      </c>
      <c r="D760">
        <f t="shared" si="48"/>
        <v>2012</v>
      </c>
      <c r="E760">
        <f t="shared" si="49"/>
        <v>1</v>
      </c>
      <c r="F760" t="s">
        <v>428</v>
      </c>
      <c r="G760" t="s">
        <v>373</v>
      </c>
      <c r="H760" t="s">
        <v>153</v>
      </c>
      <c r="J760">
        <v>58</v>
      </c>
      <c r="K760">
        <f t="shared" si="50"/>
        <v>58</v>
      </c>
      <c r="M760" t="s">
        <v>464</v>
      </c>
      <c r="R760" t="s">
        <v>1348</v>
      </c>
    </row>
    <row r="761" spans="1:19" x14ac:dyDescent="0.25">
      <c r="A761" t="s">
        <v>341</v>
      </c>
      <c r="B761" s="4">
        <v>41057</v>
      </c>
      <c r="C761" s="9">
        <f t="shared" si="47"/>
        <v>5</v>
      </c>
      <c r="D761">
        <f t="shared" si="48"/>
        <v>2012</v>
      </c>
      <c r="E761">
        <f t="shared" si="49"/>
        <v>1</v>
      </c>
      <c r="F761" t="s">
        <v>428</v>
      </c>
      <c r="G761" t="s">
        <v>373</v>
      </c>
      <c r="H761" t="s">
        <v>153</v>
      </c>
      <c r="I761">
        <v>1</v>
      </c>
      <c r="J761">
        <v>0</v>
      </c>
      <c r="K761">
        <f t="shared" si="50"/>
        <v>60</v>
      </c>
      <c r="M761" t="s">
        <v>465</v>
      </c>
      <c r="R761" t="s">
        <v>1348</v>
      </c>
    </row>
    <row r="762" spans="1:19" x14ac:dyDescent="0.25">
      <c r="A762" t="s">
        <v>341</v>
      </c>
      <c r="B762" s="4">
        <v>41067</v>
      </c>
      <c r="C762" s="9">
        <f t="shared" si="47"/>
        <v>6</v>
      </c>
      <c r="D762">
        <f t="shared" si="48"/>
        <v>2012</v>
      </c>
      <c r="E762">
        <v>1</v>
      </c>
      <c r="F762" t="s">
        <v>297</v>
      </c>
      <c r="G762" t="s">
        <v>466</v>
      </c>
      <c r="H762" t="s">
        <v>467</v>
      </c>
      <c r="J762">
        <v>0</v>
      </c>
      <c r="K762">
        <f t="shared" si="50"/>
        <v>0</v>
      </c>
      <c r="L762" t="s">
        <v>469</v>
      </c>
      <c r="M762" t="s">
        <v>468</v>
      </c>
      <c r="R762" t="s">
        <v>1351</v>
      </c>
      <c r="S762" t="s">
        <v>1367</v>
      </c>
    </row>
    <row r="763" spans="1:19" x14ac:dyDescent="0.25">
      <c r="A763" t="s">
        <v>341</v>
      </c>
      <c r="B763" s="4">
        <v>41074</v>
      </c>
      <c r="C763" s="9">
        <f t="shared" si="47"/>
        <v>6</v>
      </c>
      <c r="D763">
        <f t="shared" si="48"/>
        <v>2012</v>
      </c>
      <c r="E763">
        <f t="shared" si="49"/>
        <v>1</v>
      </c>
      <c r="F763" t="s">
        <v>428</v>
      </c>
      <c r="G763" t="s">
        <v>101</v>
      </c>
      <c r="H763" t="s">
        <v>153</v>
      </c>
      <c r="J763">
        <v>45</v>
      </c>
      <c r="K763">
        <f t="shared" si="50"/>
        <v>45</v>
      </c>
      <c r="R763" t="s">
        <v>1348</v>
      </c>
    </row>
    <row r="764" spans="1:19" x14ac:dyDescent="0.25">
      <c r="A764" t="s">
        <v>341</v>
      </c>
      <c r="B764" s="4">
        <v>41075</v>
      </c>
      <c r="C764" s="9">
        <f t="shared" si="47"/>
        <v>6</v>
      </c>
      <c r="D764">
        <f t="shared" si="48"/>
        <v>2012</v>
      </c>
      <c r="E764">
        <f t="shared" si="49"/>
        <v>1</v>
      </c>
      <c r="F764" t="s">
        <v>428</v>
      </c>
      <c r="G764" t="s">
        <v>101</v>
      </c>
      <c r="H764" t="s">
        <v>273</v>
      </c>
      <c r="J764">
        <v>25</v>
      </c>
      <c r="K764">
        <f t="shared" si="50"/>
        <v>25</v>
      </c>
      <c r="R764" t="s">
        <v>1348</v>
      </c>
    </row>
    <row r="765" spans="1:19" x14ac:dyDescent="0.25">
      <c r="A765" t="s">
        <v>341</v>
      </c>
      <c r="B765" s="4">
        <v>41076</v>
      </c>
      <c r="C765" s="9">
        <f t="shared" si="47"/>
        <v>6</v>
      </c>
      <c r="D765">
        <f t="shared" si="48"/>
        <v>2012</v>
      </c>
      <c r="E765">
        <f t="shared" si="49"/>
        <v>1</v>
      </c>
      <c r="F765" t="s">
        <v>428</v>
      </c>
      <c r="G765" t="s">
        <v>101</v>
      </c>
      <c r="H765" t="s">
        <v>244</v>
      </c>
      <c r="J765">
        <v>13</v>
      </c>
      <c r="K765">
        <f t="shared" si="50"/>
        <v>13</v>
      </c>
      <c r="R765" t="s">
        <v>1348</v>
      </c>
    </row>
    <row r="766" spans="1:19" x14ac:dyDescent="0.25">
      <c r="A766" t="s">
        <v>341</v>
      </c>
      <c r="B766" s="4">
        <v>41077</v>
      </c>
      <c r="C766" s="9">
        <f t="shared" si="47"/>
        <v>6</v>
      </c>
      <c r="D766">
        <f t="shared" si="48"/>
        <v>2012</v>
      </c>
      <c r="E766">
        <f t="shared" si="49"/>
        <v>1</v>
      </c>
      <c r="F766" t="s">
        <v>428</v>
      </c>
      <c r="G766" t="s">
        <v>101</v>
      </c>
      <c r="H766" t="s">
        <v>470</v>
      </c>
      <c r="I766">
        <v>1</v>
      </c>
      <c r="J766">
        <v>55</v>
      </c>
      <c r="K766">
        <f t="shared" si="50"/>
        <v>115</v>
      </c>
      <c r="R766" t="s">
        <v>1348</v>
      </c>
    </row>
    <row r="767" spans="1:19" x14ac:dyDescent="0.25">
      <c r="A767" t="s">
        <v>341</v>
      </c>
      <c r="B767" s="4">
        <v>41083</v>
      </c>
      <c r="C767" s="9">
        <f t="shared" si="47"/>
        <v>6</v>
      </c>
      <c r="D767">
        <f t="shared" si="48"/>
        <v>2012</v>
      </c>
      <c r="E767">
        <f t="shared" si="49"/>
        <v>1</v>
      </c>
      <c r="F767" t="s">
        <v>428</v>
      </c>
      <c r="G767" t="s">
        <v>101</v>
      </c>
      <c r="H767" t="s">
        <v>471</v>
      </c>
      <c r="J767">
        <v>41</v>
      </c>
      <c r="K767">
        <f t="shared" si="50"/>
        <v>41</v>
      </c>
      <c r="R767" t="s">
        <v>1348</v>
      </c>
    </row>
    <row r="768" spans="1:19" x14ac:dyDescent="0.25">
      <c r="A768" t="s">
        <v>341</v>
      </c>
      <c r="B768" s="4">
        <v>41084</v>
      </c>
      <c r="C768" s="9">
        <f t="shared" si="47"/>
        <v>6</v>
      </c>
      <c r="D768">
        <f t="shared" si="48"/>
        <v>2012</v>
      </c>
      <c r="E768">
        <f t="shared" si="49"/>
        <v>1</v>
      </c>
      <c r="F768" t="s">
        <v>428</v>
      </c>
      <c r="G768" t="s">
        <v>101</v>
      </c>
      <c r="H768" t="s">
        <v>244</v>
      </c>
      <c r="J768">
        <v>36</v>
      </c>
      <c r="K768">
        <f t="shared" si="50"/>
        <v>36</v>
      </c>
      <c r="R768" t="s">
        <v>1348</v>
      </c>
    </row>
    <row r="769" spans="1:18" x14ac:dyDescent="0.25">
      <c r="A769" t="s">
        <v>341</v>
      </c>
      <c r="B769" s="4">
        <v>41097</v>
      </c>
      <c r="C769" s="9">
        <f t="shared" si="47"/>
        <v>7</v>
      </c>
      <c r="D769">
        <f t="shared" si="48"/>
        <v>2012</v>
      </c>
      <c r="E769">
        <f t="shared" si="49"/>
        <v>1</v>
      </c>
      <c r="F769" t="s">
        <v>428</v>
      </c>
      <c r="G769" t="s">
        <v>406</v>
      </c>
      <c r="H769" t="s">
        <v>273</v>
      </c>
      <c r="I769">
        <v>1</v>
      </c>
      <c r="J769">
        <v>7</v>
      </c>
      <c r="K769">
        <f t="shared" si="50"/>
        <v>67</v>
      </c>
      <c r="R769" t="s">
        <v>1348</v>
      </c>
    </row>
    <row r="770" spans="1:18" x14ac:dyDescent="0.25">
      <c r="A770" t="s">
        <v>341</v>
      </c>
      <c r="B770" s="4">
        <v>41121</v>
      </c>
      <c r="C770" s="9">
        <f t="shared" si="47"/>
        <v>7</v>
      </c>
      <c r="D770">
        <f t="shared" si="48"/>
        <v>2012</v>
      </c>
      <c r="E770">
        <f t="shared" si="49"/>
        <v>1</v>
      </c>
      <c r="F770" t="s">
        <v>428</v>
      </c>
      <c r="G770" t="s">
        <v>406</v>
      </c>
      <c r="H770" t="s">
        <v>273</v>
      </c>
      <c r="I770">
        <v>1</v>
      </c>
      <c r="J770">
        <v>14</v>
      </c>
      <c r="K770">
        <f t="shared" si="50"/>
        <v>74</v>
      </c>
      <c r="R770" t="s">
        <v>1348</v>
      </c>
    </row>
    <row r="771" spans="1:18" x14ac:dyDescent="0.25">
      <c r="A771" t="s">
        <v>341</v>
      </c>
      <c r="B771" s="4">
        <v>41122</v>
      </c>
      <c r="C771" s="9">
        <f t="shared" ref="C771:C834" si="51">MONTH(B771)</f>
        <v>8</v>
      </c>
      <c r="D771">
        <f t="shared" si="48"/>
        <v>2012</v>
      </c>
      <c r="E771">
        <f t="shared" si="49"/>
        <v>1</v>
      </c>
      <c r="F771" t="s">
        <v>428</v>
      </c>
      <c r="G771" t="s">
        <v>101</v>
      </c>
      <c r="H771" t="s">
        <v>273</v>
      </c>
      <c r="J771">
        <v>36</v>
      </c>
      <c r="K771">
        <f t="shared" si="50"/>
        <v>36</v>
      </c>
      <c r="R771" t="s">
        <v>1348</v>
      </c>
    </row>
    <row r="772" spans="1:18" x14ac:dyDescent="0.25">
      <c r="A772" t="s">
        <v>344</v>
      </c>
      <c r="B772" s="4">
        <v>41125</v>
      </c>
      <c r="C772" s="9">
        <f t="shared" si="51"/>
        <v>8</v>
      </c>
      <c r="D772">
        <f t="shared" si="48"/>
        <v>2012</v>
      </c>
      <c r="E772">
        <f t="shared" si="49"/>
        <v>1</v>
      </c>
      <c r="F772" t="s">
        <v>299</v>
      </c>
      <c r="G772" t="s">
        <v>517</v>
      </c>
      <c r="H772" t="s">
        <v>273</v>
      </c>
      <c r="J772">
        <v>27</v>
      </c>
      <c r="K772">
        <f t="shared" si="50"/>
        <v>27</v>
      </c>
      <c r="R772" t="s">
        <v>1348</v>
      </c>
    </row>
    <row r="773" spans="1:18" x14ac:dyDescent="0.25">
      <c r="A773" t="s">
        <v>341</v>
      </c>
      <c r="B773" s="4">
        <v>41131</v>
      </c>
      <c r="C773" s="9">
        <f t="shared" si="51"/>
        <v>8</v>
      </c>
      <c r="D773">
        <f t="shared" si="48"/>
        <v>2012</v>
      </c>
      <c r="E773">
        <f t="shared" si="49"/>
        <v>1</v>
      </c>
      <c r="F773" t="s">
        <v>428</v>
      </c>
      <c r="G773" t="s">
        <v>101</v>
      </c>
      <c r="H773" t="s">
        <v>153</v>
      </c>
      <c r="I773">
        <v>1</v>
      </c>
      <c r="J773">
        <v>45</v>
      </c>
      <c r="K773">
        <f t="shared" si="50"/>
        <v>105</v>
      </c>
      <c r="R773" t="s">
        <v>1348</v>
      </c>
    </row>
    <row r="774" spans="1:18" x14ac:dyDescent="0.25">
      <c r="A774" t="s">
        <v>341</v>
      </c>
      <c r="B774" s="4">
        <v>41131</v>
      </c>
      <c r="C774" s="9">
        <f t="shared" si="51"/>
        <v>8</v>
      </c>
      <c r="D774">
        <f t="shared" si="48"/>
        <v>2012</v>
      </c>
      <c r="E774">
        <f t="shared" si="49"/>
        <v>0</v>
      </c>
      <c r="F774" t="s">
        <v>428</v>
      </c>
      <c r="G774" t="s">
        <v>373</v>
      </c>
      <c r="H774" t="s">
        <v>273</v>
      </c>
      <c r="J774">
        <v>10</v>
      </c>
      <c r="K774">
        <f t="shared" si="50"/>
        <v>10</v>
      </c>
      <c r="R774" t="s">
        <v>1348</v>
      </c>
    </row>
    <row r="775" spans="1:18" x14ac:dyDescent="0.25">
      <c r="A775" t="s">
        <v>341</v>
      </c>
      <c r="B775" s="4">
        <v>41132</v>
      </c>
      <c r="C775" s="9">
        <f t="shared" si="51"/>
        <v>8</v>
      </c>
      <c r="D775">
        <f t="shared" si="48"/>
        <v>2012</v>
      </c>
      <c r="E775">
        <f t="shared" si="49"/>
        <v>1</v>
      </c>
      <c r="F775" t="s">
        <v>428</v>
      </c>
      <c r="G775" t="s">
        <v>101</v>
      </c>
      <c r="H775" t="s">
        <v>153</v>
      </c>
      <c r="I775">
        <v>1</v>
      </c>
      <c r="J775">
        <v>20</v>
      </c>
      <c r="K775">
        <f t="shared" si="50"/>
        <v>80</v>
      </c>
      <c r="R775" t="s">
        <v>1348</v>
      </c>
    </row>
    <row r="776" spans="1:18" x14ac:dyDescent="0.25">
      <c r="A776" t="s">
        <v>341</v>
      </c>
      <c r="B776" s="4">
        <v>41133</v>
      </c>
      <c r="C776" s="9">
        <f t="shared" si="51"/>
        <v>8</v>
      </c>
      <c r="D776">
        <f t="shared" si="48"/>
        <v>2012</v>
      </c>
      <c r="E776">
        <f t="shared" si="49"/>
        <v>1</v>
      </c>
      <c r="F776" t="s">
        <v>428</v>
      </c>
      <c r="G776" t="s">
        <v>101</v>
      </c>
      <c r="H776" t="s">
        <v>273</v>
      </c>
      <c r="J776">
        <v>50</v>
      </c>
      <c r="K776">
        <f t="shared" si="50"/>
        <v>50</v>
      </c>
      <c r="R776" t="s">
        <v>1348</v>
      </c>
    </row>
    <row r="777" spans="1:18" x14ac:dyDescent="0.25">
      <c r="A777" t="s">
        <v>341</v>
      </c>
      <c r="B777" s="4">
        <v>41139</v>
      </c>
      <c r="C777" s="9">
        <f t="shared" si="51"/>
        <v>8</v>
      </c>
      <c r="D777">
        <f t="shared" si="48"/>
        <v>2012</v>
      </c>
      <c r="E777">
        <f t="shared" si="49"/>
        <v>1</v>
      </c>
      <c r="F777" t="s">
        <v>428</v>
      </c>
      <c r="G777" t="s">
        <v>409</v>
      </c>
      <c r="H777" t="s">
        <v>125</v>
      </c>
      <c r="I777">
        <v>2</v>
      </c>
      <c r="J777">
        <v>21</v>
      </c>
      <c r="K777">
        <f t="shared" si="50"/>
        <v>141</v>
      </c>
      <c r="M777" t="s">
        <v>472</v>
      </c>
      <c r="R777" t="s">
        <v>1348</v>
      </c>
    </row>
    <row r="778" spans="1:18" x14ac:dyDescent="0.25">
      <c r="A778" t="s">
        <v>341</v>
      </c>
      <c r="B778" s="4">
        <v>41140</v>
      </c>
      <c r="C778" s="9">
        <f t="shared" si="51"/>
        <v>8</v>
      </c>
      <c r="D778">
        <f t="shared" si="48"/>
        <v>2012</v>
      </c>
      <c r="E778">
        <f t="shared" si="49"/>
        <v>1</v>
      </c>
      <c r="F778" t="s">
        <v>428</v>
      </c>
      <c r="G778" t="s">
        <v>409</v>
      </c>
      <c r="H778" t="s">
        <v>153</v>
      </c>
      <c r="I778">
        <v>1</v>
      </c>
      <c r="J778">
        <v>51</v>
      </c>
      <c r="K778">
        <f t="shared" si="50"/>
        <v>111</v>
      </c>
      <c r="R778" t="s">
        <v>1348</v>
      </c>
    </row>
    <row r="779" spans="1:18" x14ac:dyDescent="0.25">
      <c r="A779" t="s">
        <v>341</v>
      </c>
      <c r="B779" s="4">
        <v>41148</v>
      </c>
      <c r="C779" s="9">
        <f t="shared" si="51"/>
        <v>8</v>
      </c>
      <c r="D779">
        <f t="shared" si="48"/>
        <v>2012</v>
      </c>
      <c r="E779">
        <f t="shared" si="49"/>
        <v>1</v>
      </c>
      <c r="F779" t="s">
        <v>428</v>
      </c>
      <c r="G779" t="s">
        <v>7</v>
      </c>
      <c r="H779" t="s">
        <v>55</v>
      </c>
      <c r="I779">
        <v>1</v>
      </c>
      <c r="J779">
        <v>19</v>
      </c>
      <c r="K779">
        <f t="shared" si="50"/>
        <v>79</v>
      </c>
      <c r="R779" t="s">
        <v>1348</v>
      </c>
    </row>
    <row r="780" spans="1:18" x14ac:dyDescent="0.25">
      <c r="A780" t="s">
        <v>341</v>
      </c>
      <c r="B780" s="4">
        <v>41149</v>
      </c>
      <c r="C780" s="9">
        <f t="shared" si="51"/>
        <v>8</v>
      </c>
      <c r="D780">
        <f t="shared" si="48"/>
        <v>2012</v>
      </c>
      <c r="E780">
        <f t="shared" si="49"/>
        <v>1</v>
      </c>
      <c r="F780" t="s">
        <v>428</v>
      </c>
      <c r="G780" t="s">
        <v>7</v>
      </c>
      <c r="H780" t="s">
        <v>55</v>
      </c>
      <c r="J780">
        <v>18</v>
      </c>
      <c r="K780">
        <f t="shared" si="50"/>
        <v>18</v>
      </c>
      <c r="M780" t="s">
        <v>473</v>
      </c>
      <c r="N780">
        <v>9.6</v>
      </c>
      <c r="O780">
        <v>10.199999999999999</v>
      </c>
      <c r="R780" t="s">
        <v>1348</v>
      </c>
    </row>
    <row r="781" spans="1:18" x14ac:dyDescent="0.25">
      <c r="A781" t="s">
        <v>341</v>
      </c>
      <c r="B781" s="4">
        <v>41150</v>
      </c>
      <c r="C781" s="9">
        <f t="shared" si="51"/>
        <v>8</v>
      </c>
      <c r="D781">
        <f t="shared" si="48"/>
        <v>2012</v>
      </c>
      <c r="E781">
        <f t="shared" si="49"/>
        <v>1</v>
      </c>
      <c r="F781" t="s">
        <v>428</v>
      </c>
      <c r="G781" t="s">
        <v>101</v>
      </c>
      <c r="H781" t="s">
        <v>244</v>
      </c>
      <c r="J781">
        <v>36</v>
      </c>
      <c r="K781">
        <f t="shared" si="50"/>
        <v>36</v>
      </c>
      <c r="R781" t="s">
        <v>1348</v>
      </c>
    </row>
    <row r="782" spans="1:18" x14ac:dyDescent="0.25">
      <c r="A782" t="s">
        <v>341</v>
      </c>
      <c r="B782" s="4">
        <v>41155</v>
      </c>
      <c r="C782" s="9">
        <f t="shared" si="51"/>
        <v>9</v>
      </c>
      <c r="D782">
        <f t="shared" si="48"/>
        <v>2012</v>
      </c>
      <c r="E782">
        <f>IF(OR(A782 = "GS",A782 = "BP"),IF( OR(A780="GS",A780="BP"),IF(B780=B782,0,1),1),0)</f>
        <v>1</v>
      </c>
      <c r="F782" t="s">
        <v>428</v>
      </c>
      <c r="G782" t="s">
        <v>101</v>
      </c>
      <c r="H782" t="s">
        <v>273</v>
      </c>
      <c r="J782">
        <v>19</v>
      </c>
      <c r="K782">
        <f t="shared" si="50"/>
        <v>19</v>
      </c>
      <c r="R782" t="s">
        <v>1348</v>
      </c>
    </row>
    <row r="783" spans="1:18" x14ac:dyDescent="0.25">
      <c r="A783" t="s">
        <v>341</v>
      </c>
      <c r="B783" s="4">
        <v>41156</v>
      </c>
      <c r="C783" s="9">
        <f t="shared" si="51"/>
        <v>9</v>
      </c>
      <c r="D783">
        <f t="shared" si="48"/>
        <v>2012</v>
      </c>
      <c r="E783">
        <f t="shared" si="49"/>
        <v>1</v>
      </c>
      <c r="F783" t="s">
        <v>428</v>
      </c>
      <c r="G783" t="s">
        <v>101</v>
      </c>
      <c r="H783" t="s">
        <v>273</v>
      </c>
      <c r="I783">
        <v>1</v>
      </c>
      <c r="J783">
        <v>0</v>
      </c>
      <c r="K783">
        <f t="shared" si="50"/>
        <v>60</v>
      </c>
      <c r="R783" t="s">
        <v>1348</v>
      </c>
    </row>
    <row r="784" spans="1:18" x14ac:dyDescent="0.25">
      <c r="A784" t="s">
        <v>341</v>
      </c>
      <c r="B784" s="4">
        <v>41157</v>
      </c>
      <c r="C784" s="9">
        <f t="shared" si="51"/>
        <v>9</v>
      </c>
      <c r="D784">
        <f t="shared" si="48"/>
        <v>2012</v>
      </c>
      <c r="E784">
        <f t="shared" si="49"/>
        <v>1</v>
      </c>
      <c r="F784" t="s">
        <v>428</v>
      </c>
      <c r="G784" t="s">
        <v>101</v>
      </c>
      <c r="H784" t="s">
        <v>273</v>
      </c>
      <c r="J784">
        <v>20</v>
      </c>
      <c r="K784">
        <f t="shared" si="50"/>
        <v>20</v>
      </c>
      <c r="R784" t="s">
        <v>1348</v>
      </c>
    </row>
    <row r="785" spans="1:18" x14ac:dyDescent="0.25">
      <c r="A785" t="s">
        <v>341</v>
      </c>
      <c r="B785" s="4">
        <v>41157</v>
      </c>
      <c r="C785" s="9">
        <f t="shared" si="51"/>
        <v>9</v>
      </c>
      <c r="D785">
        <f t="shared" si="48"/>
        <v>2012</v>
      </c>
      <c r="E785">
        <f t="shared" si="49"/>
        <v>0</v>
      </c>
      <c r="F785" t="s">
        <v>474</v>
      </c>
      <c r="G785" t="s">
        <v>101</v>
      </c>
      <c r="H785" t="s">
        <v>273</v>
      </c>
      <c r="J785">
        <v>11</v>
      </c>
      <c r="K785">
        <f t="shared" si="50"/>
        <v>11</v>
      </c>
      <c r="R785" t="s">
        <v>1348</v>
      </c>
    </row>
    <row r="786" spans="1:18" x14ac:dyDescent="0.25">
      <c r="A786" t="s">
        <v>341</v>
      </c>
      <c r="B786" s="4">
        <v>41158</v>
      </c>
      <c r="C786" s="9">
        <f t="shared" si="51"/>
        <v>9</v>
      </c>
      <c r="D786">
        <f t="shared" ref="D786:D849" si="52">YEAR(B786)</f>
        <v>2012</v>
      </c>
      <c r="E786">
        <f t="shared" ref="E786:E849" si="53">IF(OR(A786 = "GS",A786 = "BP"),IF( OR(A785="GS",A785="BP"),IF(B785=B786,0,1),1),0)</f>
        <v>1</v>
      </c>
      <c r="F786" t="s">
        <v>428</v>
      </c>
      <c r="G786" t="s">
        <v>101</v>
      </c>
      <c r="H786" t="s">
        <v>244</v>
      </c>
      <c r="J786">
        <v>35</v>
      </c>
      <c r="K786">
        <f t="shared" ref="K786:K849" si="54">I786*60+J786</f>
        <v>35</v>
      </c>
      <c r="R786" t="s">
        <v>1348</v>
      </c>
    </row>
    <row r="787" spans="1:18" x14ac:dyDescent="0.25">
      <c r="A787" t="s">
        <v>341</v>
      </c>
      <c r="B787" s="4">
        <v>41159</v>
      </c>
      <c r="C787" s="9">
        <f t="shared" si="51"/>
        <v>9</v>
      </c>
      <c r="D787">
        <f t="shared" si="52"/>
        <v>2012</v>
      </c>
      <c r="E787">
        <f t="shared" si="53"/>
        <v>1</v>
      </c>
      <c r="F787" t="s">
        <v>428</v>
      </c>
      <c r="G787" t="s">
        <v>406</v>
      </c>
      <c r="H787" t="s">
        <v>273</v>
      </c>
      <c r="I787">
        <v>1</v>
      </c>
      <c r="J787">
        <v>0</v>
      </c>
      <c r="K787">
        <f t="shared" si="54"/>
        <v>60</v>
      </c>
      <c r="R787" t="s">
        <v>1348</v>
      </c>
    </row>
    <row r="788" spans="1:18" x14ac:dyDescent="0.25">
      <c r="A788" t="s">
        <v>341</v>
      </c>
      <c r="B788" s="4">
        <v>41160</v>
      </c>
      <c r="C788" s="9">
        <f t="shared" si="51"/>
        <v>9</v>
      </c>
      <c r="D788">
        <f t="shared" si="52"/>
        <v>2012</v>
      </c>
      <c r="E788">
        <f t="shared" si="53"/>
        <v>1</v>
      </c>
      <c r="F788" t="s">
        <v>428</v>
      </c>
      <c r="G788" t="s">
        <v>406</v>
      </c>
      <c r="H788" t="s">
        <v>273</v>
      </c>
      <c r="I788">
        <v>4</v>
      </c>
      <c r="J788">
        <v>8</v>
      </c>
      <c r="K788">
        <f t="shared" si="54"/>
        <v>248</v>
      </c>
      <c r="M788" t="s">
        <v>382</v>
      </c>
      <c r="R788" t="s">
        <v>1348</v>
      </c>
    </row>
    <row r="789" spans="1:18" x14ac:dyDescent="0.25">
      <c r="A789" t="s">
        <v>341</v>
      </c>
      <c r="B789" s="4">
        <v>41161</v>
      </c>
      <c r="C789" s="9">
        <f t="shared" si="51"/>
        <v>9</v>
      </c>
      <c r="D789">
        <f t="shared" si="52"/>
        <v>2012</v>
      </c>
      <c r="E789">
        <f t="shared" si="53"/>
        <v>1</v>
      </c>
      <c r="F789" t="s">
        <v>428</v>
      </c>
      <c r="G789" t="s">
        <v>240</v>
      </c>
      <c r="H789" t="s">
        <v>238</v>
      </c>
      <c r="I789">
        <v>1</v>
      </c>
      <c r="J789">
        <v>17</v>
      </c>
      <c r="K789">
        <f t="shared" si="54"/>
        <v>77</v>
      </c>
      <c r="L789" t="s">
        <v>239</v>
      </c>
      <c r="R789" t="s">
        <v>1349</v>
      </c>
    </row>
    <row r="790" spans="1:18" x14ac:dyDescent="0.25">
      <c r="A790" t="s">
        <v>341</v>
      </c>
      <c r="B790" s="4">
        <v>41162</v>
      </c>
      <c r="C790" s="9">
        <f t="shared" si="51"/>
        <v>9</v>
      </c>
      <c r="D790">
        <f t="shared" si="52"/>
        <v>2012</v>
      </c>
      <c r="E790">
        <f t="shared" si="53"/>
        <v>1</v>
      </c>
      <c r="F790" t="s">
        <v>428</v>
      </c>
      <c r="G790" t="s">
        <v>237</v>
      </c>
      <c r="H790" t="s">
        <v>238</v>
      </c>
      <c r="I790">
        <v>1</v>
      </c>
      <c r="J790">
        <v>36</v>
      </c>
      <c r="K790">
        <f t="shared" si="54"/>
        <v>96</v>
      </c>
      <c r="L790" t="s">
        <v>239</v>
      </c>
      <c r="R790" t="s">
        <v>1349</v>
      </c>
    </row>
    <row r="791" spans="1:18" x14ac:dyDescent="0.25">
      <c r="A791" t="s">
        <v>341</v>
      </c>
      <c r="B791" s="4">
        <v>41162</v>
      </c>
      <c r="C791" s="9">
        <f t="shared" si="51"/>
        <v>9</v>
      </c>
      <c r="D791">
        <f t="shared" si="52"/>
        <v>2012</v>
      </c>
      <c r="E791">
        <f t="shared" si="53"/>
        <v>0</v>
      </c>
      <c r="F791" t="s">
        <v>428</v>
      </c>
      <c r="G791" t="s">
        <v>249</v>
      </c>
      <c r="H791" t="s">
        <v>253</v>
      </c>
      <c r="J791">
        <v>20</v>
      </c>
      <c r="K791">
        <f t="shared" si="54"/>
        <v>20</v>
      </c>
      <c r="L791" t="s">
        <v>239</v>
      </c>
      <c r="R791" t="s">
        <v>1349</v>
      </c>
    </row>
    <row r="792" spans="1:18" x14ac:dyDescent="0.25">
      <c r="A792" t="s">
        <v>341</v>
      </c>
      <c r="B792" s="4">
        <v>41163</v>
      </c>
      <c r="C792" s="9">
        <f t="shared" si="51"/>
        <v>9</v>
      </c>
      <c r="D792">
        <f t="shared" si="52"/>
        <v>2012</v>
      </c>
      <c r="E792">
        <f t="shared" si="53"/>
        <v>1</v>
      </c>
      <c r="F792" t="s">
        <v>428</v>
      </c>
      <c r="G792" t="s">
        <v>237</v>
      </c>
      <c r="H792" t="s">
        <v>241</v>
      </c>
      <c r="J792">
        <v>11</v>
      </c>
      <c r="K792">
        <f t="shared" si="54"/>
        <v>11</v>
      </c>
      <c r="L792" t="s">
        <v>239</v>
      </c>
      <c r="R792" t="s">
        <v>1349</v>
      </c>
    </row>
    <row r="793" spans="1:18" x14ac:dyDescent="0.25">
      <c r="A793" t="s">
        <v>341</v>
      </c>
      <c r="B793" s="4">
        <v>41163</v>
      </c>
      <c r="C793" s="9">
        <f t="shared" si="51"/>
        <v>9</v>
      </c>
      <c r="D793">
        <f t="shared" si="52"/>
        <v>2012</v>
      </c>
      <c r="E793">
        <f t="shared" si="53"/>
        <v>0</v>
      </c>
      <c r="F793" t="s">
        <v>428</v>
      </c>
      <c r="G793" t="s">
        <v>237</v>
      </c>
      <c r="H793" t="s">
        <v>238</v>
      </c>
      <c r="J793">
        <v>58</v>
      </c>
      <c r="K793">
        <f t="shared" si="54"/>
        <v>58</v>
      </c>
      <c r="L793" t="s">
        <v>239</v>
      </c>
      <c r="R793" t="s">
        <v>1349</v>
      </c>
    </row>
    <row r="794" spans="1:18" x14ac:dyDescent="0.25">
      <c r="A794" t="s">
        <v>341</v>
      </c>
      <c r="B794" s="4">
        <v>41165</v>
      </c>
      <c r="C794" s="9">
        <f t="shared" si="51"/>
        <v>9</v>
      </c>
      <c r="D794">
        <f t="shared" si="52"/>
        <v>2012</v>
      </c>
      <c r="E794">
        <f t="shared" si="53"/>
        <v>1</v>
      </c>
      <c r="F794" t="s">
        <v>428</v>
      </c>
      <c r="G794" t="s">
        <v>475</v>
      </c>
      <c r="H794" t="s">
        <v>476</v>
      </c>
      <c r="J794">
        <v>18</v>
      </c>
      <c r="K794">
        <f t="shared" si="54"/>
        <v>18</v>
      </c>
      <c r="L794" t="s">
        <v>239</v>
      </c>
      <c r="R794" t="s">
        <v>1349</v>
      </c>
    </row>
    <row r="795" spans="1:18" x14ac:dyDescent="0.25">
      <c r="A795" t="s">
        <v>341</v>
      </c>
      <c r="B795" s="4">
        <v>41165</v>
      </c>
      <c r="C795" s="9">
        <f t="shared" si="51"/>
        <v>9</v>
      </c>
      <c r="D795">
        <f t="shared" si="52"/>
        <v>2012</v>
      </c>
      <c r="E795">
        <f t="shared" si="53"/>
        <v>0</v>
      </c>
      <c r="F795" t="s">
        <v>428</v>
      </c>
      <c r="G795" t="s">
        <v>475</v>
      </c>
      <c r="H795" t="s">
        <v>476</v>
      </c>
      <c r="J795">
        <v>33</v>
      </c>
      <c r="K795">
        <f t="shared" si="54"/>
        <v>33</v>
      </c>
      <c r="L795" t="s">
        <v>239</v>
      </c>
      <c r="R795" t="s">
        <v>1349</v>
      </c>
    </row>
    <row r="796" spans="1:18" x14ac:dyDescent="0.25">
      <c r="A796" t="s">
        <v>341</v>
      </c>
      <c r="B796" s="4">
        <v>41166</v>
      </c>
      <c r="C796" s="9">
        <f t="shared" si="51"/>
        <v>9</v>
      </c>
      <c r="D796">
        <f t="shared" si="52"/>
        <v>2012</v>
      </c>
      <c r="E796">
        <f t="shared" si="53"/>
        <v>1</v>
      </c>
      <c r="F796" t="s">
        <v>428</v>
      </c>
      <c r="G796" t="s">
        <v>475</v>
      </c>
      <c r="H796" t="s">
        <v>476</v>
      </c>
      <c r="I796">
        <v>1</v>
      </c>
      <c r="J796">
        <v>14</v>
      </c>
      <c r="K796">
        <f t="shared" si="54"/>
        <v>74</v>
      </c>
      <c r="L796" t="s">
        <v>239</v>
      </c>
      <c r="R796" t="s">
        <v>1349</v>
      </c>
    </row>
    <row r="797" spans="1:18" x14ac:dyDescent="0.25">
      <c r="A797" t="s">
        <v>341</v>
      </c>
      <c r="B797" s="4">
        <v>41166</v>
      </c>
      <c r="C797" s="9">
        <f t="shared" si="51"/>
        <v>9</v>
      </c>
      <c r="D797">
        <f t="shared" si="52"/>
        <v>2012</v>
      </c>
      <c r="E797">
        <f t="shared" si="53"/>
        <v>0</v>
      </c>
      <c r="F797" t="s">
        <v>428</v>
      </c>
      <c r="G797" t="s">
        <v>475</v>
      </c>
      <c r="H797" t="s">
        <v>476</v>
      </c>
      <c r="J797">
        <v>36</v>
      </c>
      <c r="K797">
        <f t="shared" si="54"/>
        <v>36</v>
      </c>
      <c r="L797" t="s">
        <v>239</v>
      </c>
      <c r="R797" t="s">
        <v>1349</v>
      </c>
    </row>
    <row r="798" spans="1:18" x14ac:dyDescent="0.25">
      <c r="A798" t="s">
        <v>341</v>
      </c>
      <c r="B798" s="4">
        <v>41166</v>
      </c>
      <c r="C798" s="9">
        <f t="shared" si="51"/>
        <v>9</v>
      </c>
      <c r="D798">
        <f t="shared" si="52"/>
        <v>2012</v>
      </c>
      <c r="E798">
        <f t="shared" si="53"/>
        <v>0</v>
      </c>
      <c r="F798" t="s">
        <v>428</v>
      </c>
      <c r="G798" t="s">
        <v>475</v>
      </c>
      <c r="H798" t="s">
        <v>476</v>
      </c>
      <c r="I798">
        <v>1</v>
      </c>
      <c r="J798">
        <v>34</v>
      </c>
      <c r="K798">
        <f t="shared" si="54"/>
        <v>94</v>
      </c>
      <c r="L798" t="s">
        <v>239</v>
      </c>
      <c r="R798" t="s">
        <v>1349</v>
      </c>
    </row>
    <row r="799" spans="1:18" x14ac:dyDescent="0.25">
      <c r="A799" t="s">
        <v>341</v>
      </c>
      <c r="B799" s="4">
        <v>41168</v>
      </c>
      <c r="C799" s="9">
        <f t="shared" si="51"/>
        <v>9</v>
      </c>
      <c r="D799">
        <f t="shared" si="52"/>
        <v>2012</v>
      </c>
      <c r="E799">
        <f t="shared" si="53"/>
        <v>1</v>
      </c>
      <c r="F799" t="s">
        <v>428</v>
      </c>
      <c r="G799" t="s">
        <v>406</v>
      </c>
      <c r="H799" t="s">
        <v>273</v>
      </c>
      <c r="J799">
        <v>34</v>
      </c>
      <c r="K799">
        <f t="shared" si="54"/>
        <v>34</v>
      </c>
      <c r="R799" t="s">
        <v>1348</v>
      </c>
    </row>
    <row r="800" spans="1:18" x14ac:dyDescent="0.25">
      <c r="A800" t="s">
        <v>341</v>
      </c>
      <c r="B800" s="4">
        <v>41175</v>
      </c>
      <c r="C800" s="9">
        <f t="shared" si="51"/>
        <v>9</v>
      </c>
      <c r="D800">
        <f t="shared" si="52"/>
        <v>2012</v>
      </c>
      <c r="E800">
        <f t="shared" si="53"/>
        <v>1</v>
      </c>
      <c r="F800" t="s">
        <v>428</v>
      </c>
      <c r="G800" t="s">
        <v>477</v>
      </c>
      <c r="H800" t="s">
        <v>479</v>
      </c>
      <c r="J800">
        <v>11</v>
      </c>
      <c r="K800">
        <f t="shared" si="54"/>
        <v>11</v>
      </c>
      <c r="M800" t="s">
        <v>478</v>
      </c>
      <c r="R800" t="s">
        <v>1352</v>
      </c>
    </row>
    <row r="801" spans="1:18" x14ac:dyDescent="0.25">
      <c r="A801" t="s">
        <v>341</v>
      </c>
      <c r="B801" s="4">
        <v>41180</v>
      </c>
      <c r="C801" s="9">
        <f t="shared" si="51"/>
        <v>9</v>
      </c>
      <c r="D801">
        <f t="shared" si="52"/>
        <v>2012</v>
      </c>
      <c r="E801">
        <f t="shared" si="53"/>
        <v>1</v>
      </c>
      <c r="F801" t="s">
        <v>428</v>
      </c>
      <c r="G801" t="s">
        <v>101</v>
      </c>
      <c r="H801" t="s">
        <v>273</v>
      </c>
      <c r="J801">
        <v>38</v>
      </c>
      <c r="K801">
        <f t="shared" si="54"/>
        <v>38</v>
      </c>
      <c r="R801" t="s">
        <v>1348</v>
      </c>
    </row>
    <row r="802" spans="1:18" x14ac:dyDescent="0.25">
      <c r="A802" t="s">
        <v>341</v>
      </c>
      <c r="B802" s="4">
        <v>41188</v>
      </c>
      <c r="C802" s="9">
        <f t="shared" si="51"/>
        <v>10</v>
      </c>
      <c r="D802">
        <f t="shared" si="52"/>
        <v>2012</v>
      </c>
      <c r="E802">
        <f t="shared" si="53"/>
        <v>1</v>
      </c>
      <c r="F802" t="s">
        <v>428</v>
      </c>
      <c r="G802" t="s">
        <v>373</v>
      </c>
      <c r="H802" t="s">
        <v>273</v>
      </c>
      <c r="J802">
        <v>10</v>
      </c>
      <c r="K802">
        <f t="shared" si="54"/>
        <v>10</v>
      </c>
      <c r="M802" t="s">
        <v>480</v>
      </c>
      <c r="R802" t="s">
        <v>1348</v>
      </c>
    </row>
    <row r="803" spans="1:18" x14ac:dyDescent="0.25">
      <c r="A803" t="s">
        <v>341</v>
      </c>
      <c r="B803" s="4">
        <v>41314</v>
      </c>
      <c r="C803" s="9">
        <f t="shared" si="51"/>
        <v>2</v>
      </c>
      <c r="D803">
        <f t="shared" si="52"/>
        <v>2013</v>
      </c>
      <c r="E803">
        <f t="shared" si="53"/>
        <v>1</v>
      </c>
      <c r="F803" t="s">
        <v>428</v>
      </c>
      <c r="G803" t="s">
        <v>446</v>
      </c>
      <c r="H803" t="s">
        <v>447</v>
      </c>
      <c r="J803">
        <v>31</v>
      </c>
      <c r="K803">
        <f t="shared" si="54"/>
        <v>31</v>
      </c>
      <c r="M803" t="s">
        <v>481</v>
      </c>
      <c r="R803" t="s">
        <v>1348</v>
      </c>
    </row>
    <row r="804" spans="1:18" x14ac:dyDescent="0.25">
      <c r="A804" t="s">
        <v>341</v>
      </c>
      <c r="B804" s="4">
        <v>41315</v>
      </c>
      <c r="C804" s="9">
        <f t="shared" si="51"/>
        <v>2</v>
      </c>
      <c r="D804">
        <f t="shared" si="52"/>
        <v>2013</v>
      </c>
      <c r="E804">
        <f t="shared" si="53"/>
        <v>1</v>
      </c>
      <c r="F804" t="s">
        <v>474</v>
      </c>
      <c r="G804" t="s">
        <v>484</v>
      </c>
      <c r="H804" t="s">
        <v>483</v>
      </c>
      <c r="J804">
        <v>20</v>
      </c>
      <c r="K804">
        <f t="shared" si="54"/>
        <v>20</v>
      </c>
      <c r="M804" t="s">
        <v>481</v>
      </c>
      <c r="R804" t="s">
        <v>1348</v>
      </c>
    </row>
    <row r="805" spans="1:18" x14ac:dyDescent="0.25">
      <c r="A805" t="s">
        <v>341</v>
      </c>
      <c r="B805" s="4">
        <v>41315</v>
      </c>
      <c r="C805" s="9">
        <f t="shared" si="51"/>
        <v>2</v>
      </c>
      <c r="D805">
        <f t="shared" si="52"/>
        <v>2013</v>
      </c>
      <c r="E805">
        <f t="shared" si="53"/>
        <v>0</v>
      </c>
      <c r="F805" t="s">
        <v>474</v>
      </c>
      <c r="G805" t="s">
        <v>484</v>
      </c>
      <c r="H805" t="s">
        <v>482</v>
      </c>
      <c r="J805">
        <v>20</v>
      </c>
      <c r="K805">
        <f t="shared" si="54"/>
        <v>20</v>
      </c>
      <c r="M805" t="s">
        <v>481</v>
      </c>
      <c r="R805" t="s">
        <v>1348</v>
      </c>
    </row>
    <row r="806" spans="1:18" x14ac:dyDescent="0.25">
      <c r="A806" t="s">
        <v>341</v>
      </c>
      <c r="B806" s="4">
        <v>41331</v>
      </c>
      <c r="C806" s="9">
        <f t="shared" si="51"/>
        <v>2</v>
      </c>
      <c r="D806">
        <f t="shared" si="52"/>
        <v>2013</v>
      </c>
      <c r="E806">
        <f t="shared" si="53"/>
        <v>1</v>
      </c>
      <c r="F806" t="s">
        <v>474</v>
      </c>
      <c r="G806" t="s">
        <v>485</v>
      </c>
      <c r="H806" t="s">
        <v>485</v>
      </c>
      <c r="J806">
        <v>10</v>
      </c>
      <c r="K806">
        <f t="shared" si="54"/>
        <v>10</v>
      </c>
      <c r="R806" t="s">
        <v>1348</v>
      </c>
    </row>
    <row r="807" spans="1:18" x14ac:dyDescent="0.25">
      <c r="A807" t="s">
        <v>341</v>
      </c>
      <c r="B807" s="4">
        <v>41331</v>
      </c>
      <c r="C807" s="9">
        <f t="shared" si="51"/>
        <v>2</v>
      </c>
      <c r="D807">
        <f t="shared" si="52"/>
        <v>2013</v>
      </c>
      <c r="E807">
        <f t="shared" si="53"/>
        <v>0</v>
      </c>
      <c r="F807" t="s">
        <v>474</v>
      </c>
      <c r="G807" t="s">
        <v>485</v>
      </c>
      <c r="H807" t="s">
        <v>485</v>
      </c>
      <c r="J807">
        <v>10</v>
      </c>
      <c r="K807">
        <f t="shared" si="54"/>
        <v>10</v>
      </c>
      <c r="R807" t="s">
        <v>1348</v>
      </c>
    </row>
    <row r="808" spans="1:18" x14ac:dyDescent="0.25">
      <c r="A808" t="s">
        <v>341</v>
      </c>
      <c r="B808" s="4">
        <v>41331</v>
      </c>
      <c r="C808" s="9">
        <f t="shared" si="51"/>
        <v>2</v>
      </c>
      <c r="D808">
        <f t="shared" si="52"/>
        <v>2013</v>
      </c>
      <c r="E808">
        <f t="shared" si="53"/>
        <v>0</v>
      </c>
      <c r="F808" t="s">
        <v>474</v>
      </c>
      <c r="G808" t="s">
        <v>485</v>
      </c>
      <c r="H808" t="s">
        <v>485</v>
      </c>
      <c r="J808">
        <v>10</v>
      </c>
      <c r="K808">
        <f t="shared" si="54"/>
        <v>10</v>
      </c>
      <c r="R808" t="s">
        <v>1348</v>
      </c>
    </row>
    <row r="809" spans="1:18" x14ac:dyDescent="0.25">
      <c r="A809" t="s">
        <v>341</v>
      </c>
      <c r="B809" s="4">
        <v>41331</v>
      </c>
      <c r="C809" s="9">
        <f t="shared" si="51"/>
        <v>2</v>
      </c>
      <c r="D809">
        <f t="shared" si="52"/>
        <v>2013</v>
      </c>
      <c r="E809">
        <f t="shared" si="53"/>
        <v>0</v>
      </c>
      <c r="F809" t="s">
        <v>474</v>
      </c>
      <c r="G809" t="s">
        <v>485</v>
      </c>
      <c r="H809" t="s">
        <v>486</v>
      </c>
      <c r="J809">
        <v>30</v>
      </c>
      <c r="K809">
        <f t="shared" si="54"/>
        <v>30</v>
      </c>
      <c r="R809" t="s">
        <v>1348</v>
      </c>
    </row>
    <row r="810" spans="1:18" x14ac:dyDescent="0.25">
      <c r="A810" t="s">
        <v>341</v>
      </c>
      <c r="B810" s="4">
        <v>41332</v>
      </c>
      <c r="C810" s="9">
        <f t="shared" si="51"/>
        <v>2</v>
      </c>
      <c r="D810">
        <f t="shared" si="52"/>
        <v>2013</v>
      </c>
      <c r="E810">
        <f t="shared" si="53"/>
        <v>1</v>
      </c>
      <c r="F810" t="s">
        <v>474</v>
      </c>
      <c r="G810" t="s">
        <v>101</v>
      </c>
      <c r="H810" t="s">
        <v>273</v>
      </c>
      <c r="J810">
        <v>8</v>
      </c>
      <c r="K810">
        <f t="shared" si="54"/>
        <v>8</v>
      </c>
      <c r="M810" t="s">
        <v>487</v>
      </c>
      <c r="R810" t="s">
        <v>1348</v>
      </c>
    </row>
    <row r="811" spans="1:18" x14ac:dyDescent="0.25">
      <c r="A811" t="s">
        <v>341</v>
      </c>
      <c r="B811" s="4">
        <v>41332</v>
      </c>
      <c r="C811" s="9">
        <f t="shared" si="51"/>
        <v>2</v>
      </c>
      <c r="D811">
        <f t="shared" si="52"/>
        <v>2013</v>
      </c>
      <c r="E811">
        <f t="shared" si="53"/>
        <v>0</v>
      </c>
      <c r="F811" t="s">
        <v>474</v>
      </c>
      <c r="G811" t="s">
        <v>101</v>
      </c>
      <c r="H811" t="s">
        <v>273</v>
      </c>
      <c r="J811">
        <v>8</v>
      </c>
      <c r="K811">
        <f t="shared" si="54"/>
        <v>8</v>
      </c>
      <c r="R811" t="s">
        <v>1348</v>
      </c>
    </row>
    <row r="812" spans="1:18" x14ac:dyDescent="0.25">
      <c r="A812" t="s">
        <v>341</v>
      </c>
      <c r="B812" s="4">
        <v>41333</v>
      </c>
      <c r="C812" s="9">
        <f t="shared" si="51"/>
        <v>2</v>
      </c>
      <c r="D812">
        <f t="shared" si="52"/>
        <v>2013</v>
      </c>
      <c r="E812">
        <f t="shared" si="53"/>
        <v>1</v>
      </c>
      <c r="F812" t="s">
        <v>428</v>
      </c>
      <c r="G812" t="s">
        <v>101</v>
      </c>
      <c r="H812" t="s">
        <v>244</v>
      </c>
      <c r="J812">
        <v>25</v>
      </c>
      <c r="K812">
        <f t="shared" si="54"/>
        <v>25</v>
      </c>
      <c r="M812" t="s">
        <v>488</v>
      </c>
      <c r="R812" t="s">
        <v>1348</v>
      </c>
    </row>
    <row r="813" spans="1:18" x14ac:dyDescent="0.25">
      <c r="A813" t="s">
        <v>341</v>
      </c>
      <c r="B813" s="4">
        <v>41334</v>
      </c>
      <c r="C813" s="9">
        <f t="shared" si="51"/>
        <v>3</v>
      </c>
      <c r="D813">
        <f t="shared" si="52"/>
        <v>2013</v>
      </c>
      <c r="E813">
        <f t="shared" si="53"/>
        <v>1</v>
      </c>
      <c r="F813" t="s">
        <v>428</v>
      </c>
      <c r="G813" t="s">
        <v>101</v>
      </c>
      <c r="H813" t="s">
        <v>273</v>
      </c>
      <c r="I813">
        <v>1</v>
      </c>
      <c r="J813">
        <v>24</v>
      </c>
      <c r="K813">
        <f t="shared" si="54"/>
        <v>84</v>
      </c>
      <c r="M813" t="s">
        <v>350</v>
      </c>
      <c r="R813" t="s">
        <v>1348</v>
      </c>
    </row>
    <row r="814" spans="1:18" x14ac:dyDescent="0.25">
      <c r="A814" t="s">
        <v>344</v>
      </c>
      <c r="B814" s="4">
        <v>41335</v>
      </c>
      <c r="C814" s="9">
        <f t="shared" si="51"/>
        <v>3</v>
      </c>
      <c r="D814">
        <f t="shared" si="52"/>
        <v>2013</v>
      </c>
      <c r="E814">
        <f t="shared" si="53"/>
        <v>1</v>
      </c>
      <c r="F814" t="s">
        <v>299</v>
      </c>
      <c r="G814" t="s">
        <v>101</v>
      </c>
      <c r="H814" t="s">
        <v>244</v>
      </c>
      <c r="J814">
        <v>17</v>
      </c>
      <c r="K814">
        <f t="shared" si="54"/>
        <v>17</v>
      </c>
      <c r="R814" t="s">
        <v>1348</v>
      </c>
    </row>
    <row r="815" spans="1:18" x14ac:dyDescent="0.25">
      <c r="A815" t="s">
        <v>341</v>
      </c>
      <c r="B815" s="4">
        <v>41344</v>
      </c>
      <c r="C815" s="9">
        <f t="shared" si="51"/>
        <v>3</v>
      </c>
      <c r="D815">
        <f t="shared" si="52"/>
        <v>2013</v>
      </c>
      <c r="E815">
        <f t="shared" si="53"/>
        <v>1</v>
      </c>
      <c r="F815" t="s">
        <v>428</v>
      </c>
      <c r="G815" t="s">
        <v>1107</v>
      </c>
      <c r="H815" t="s">
        <v>1107</v>
      </c>
      <c r="J815">
        <v>24</v>
      </c>
      <c r="K815">
        <f t="shared" si="54"/>
        <v>24</v>
      </c>
      <c r="L815" t="s">
        <v>656</v>
      </c>
      <c r="M815" t="s">
        <v>490</v>
      </c>
      <c r="R815" t="s">
        <v>1354</v>
      </c>
    </row>
    <row r="816" spans="1:18" x14ac:dyDescent="0.25">
      <c r="A816" t="s">
        <v>341</v>
      </c>
      <c r="B816" s="4">
        <v>41347</v>
      </c>
      <c r="C816" s="9">
        <f t="shared" si="51"/>
        <v>3</v>
      </c>
      <c r="D816">
        <f t="shared" si="52"/>
        <v>2013</v>
      </c>
      <c r="E816">
        <f t="shared" si="53"/>
        <v>1</v>
      </c>
      <c r="F816" t="s">
        <v>428</v>
      </c>
      <c r="G816" t="s">
        <v>492</v>
      </c>
      <c r="H816" t="s">
        <v>492</v>
      </c>
      <c r="J816">
        <v>23</v>
      </c>
      <c r="K816">
        <f t="shared" si="54"/>
        <v>23</v>
      </c>
      <c r="L816" t="s">
        <v>656</v>
      </c>
      <c r="R816" t="s">
        <v>1354</v>
      </c>
    </row>
    <row r="817" spans="1:18" x14ac:dyDescent="0.25">
      <c r="A817" t="s">
        <v>341</v>
      </c>
      <c r="B817" s="4">
        <v>41347</v>
      </c>
      <c r="C817" s="9">
        <f t="shared" si="51"/>
        <v>3</v>
      </c>
      <c r="D817">
        <f t="shared" si="52"/>
        <v>2013</v>
      </c>
      <c r="E817">
        <f t="shared" si="53"/>
        <v>0</v>
      </c>
      <c r="F817" t="s">
        <v>428</v>
      </c>
      <c r="G817" t="s">
        <v>489</v>
      </c>
      <c r="H817" t="s">
        <v>489</v>
      </c>
      <c r="J817">
        <v>7</v>
      </c>
      <c r="K817">
        <f t="shared" si="54"/>
        <v>7</v>
      </c>
      <c r="L817" t="s">
        <v>656</v>
      </c>
      <c r="R817" t="s">
        <v>1354</v>
      </c>
    </row>
    <row r="818" spans="1:18" x14ac:dyDescent="0.25">
      <c r="A818" t="s">
        <v>341</v>
      </c>
      <c r="B818" s="4">
        <v>41347</v>
      </c>
      <c r="C818" s="9">
        <f t="shared" si="51"/>
        <v>3</v>
      </c>
      <c r="D818">
        <f t="shared" si="52"/>
        <v>2013</v>
      </c>
      <c r="E818">
        <f t="shared" si="53"/>
        <v>0</v>
      </c>
      <c r="F818" t="s">
        <v>428</v>
      </c>
      <c r="G818" t="s">
        <v>489</v>
      </c>
      <c r="H818" t="s">
        <v>489</v>
      </c>
      <c r="J818">
        <v>35</v>
      </c>
      <c r="K818">
        <f t="shared" si="54"/>
        <v>35</v>
      </c>
      <c r="L818" t="s">
        <v>656</v>
      </c>
      <c r="R818" t="s">
        <v>1354</v>
      </c>
    </row>
    <row r="819" spans="1:18" x14ac:dyDescent="0.25">
      <c r="A819" t="s">
        <v>341</v>
      </c>
      <c r="B819" s="4">
        <v>41348</v>
      </c>
      <c r="C819" s="9">
        <f t="shared" si="51"/>
        <v>3</v>
      </c>
      <c r="D819">
        <f t="shared" si="52"/>
        <v>2013</v>
      </c>
      <c r="E819">
        <f t="shared" si="53"/>
        <v>1</v>
      </c>
      <c r="F819" t="s">
        <v>428</v>
      </c>
      <c r="G819" t="s">
        <v>1151</v>
      </c>
      <c r="H819" t="s">
        <v>1150</v>
      </c>
      <c r="I819">
        <v>2</v>
      </c>
      <c r="J819">
        <v>2</v>
      </c>
      <c r="K819">
        <f t="shared" si="54"/>
        <v>122</v>
      </c>
      <c r="L819" t="s">
        <v>656</v>
      </c>
      <c r="R819" t="s">
        <v>1354</v>
      </c>
    </row>
    <row r="820" spans="1:18" x14ac:dyDescent="0.25">
      <c r="A820" t="s">
        <v>341</v>
      </c>
      <c r="B820" s="4">
        <v>41348</v>
      </c>
      <c r="C820" s="9">
        <f t="shared" si="51"/>
        <v>3</v>
      </c>
      <c r="D820">
        <f t="shared" si="52"/>
        <v>2013</v>
      </c>
      <c r="E820">
        <f t="shared" si="53"/>
        <v>0</v>
      </c>
      <c r="F820" t="s">
        <v>428</v>
      </c>
      <c r="G820" t="s">
        <v>1145</v>
      </c>
      <c r="H820" t="s">
        <v>1147</v>
      </c>
      <c r="J820">
        <v>33</v>
      </c>
      <c r="K820">
        <f t="shared" si="54"/>
        <v>33</v>
      </c>
      <c r="L820" t="s">
        <v>656</v>
      </c>
      <c r="R820" t="s">
        <v>1354</v>
      </c>
    </row>
    <row r="821" spans="1:18" x14ac:dyDescent="0.25">
      <c r="A821" t="s">
        <v>341</v>
      </c>
      <c r="B821" s="4">
        <v>41365</v>
      </c>
      <c r="C821" s="9">
        <f t="shared" si="51"/>
        <v>4</v>
      </c>
      <c r="D821">
        <f t="shared" si="52"/>
        <v>2013</v>
      </c>
      <c r="E821">
        <f t="shared" si="53"/>
        <v>1</v>
      </c>
      <c r="F821" t="s">
        <v>428</v>
      </c>
      <c r="G821" t="s">
        <v>101</v>
      </c>
      <c r="H821" t="s">
        <v>153</v>
      </c>
      <c r="I821">
        <v>1</v>
      </c>
      <c r="J821">
        <v>7</v>
      </c>
      <c r="K821">
        <f t="shared" si="54"/>
        <v>67</v>
      </c>
      <c r="M821" t="s">
        <v>491</v>
      </c>
      <c r="R821" t="s">
        <v>1348</v>
      </c>
    </row>
    <row r="822" spans="1:18" x14ac:dyDescent="0.25">
      <c r="A822" t="s">
        <v>341</v>
      </c>
      <c r="B822" s="4">
        <v>41377</v>
      </c>
      <c r="C822" s="9">
        <f t="shared" si="51"/>
        <v>4</v>
      </c>
      <c r="D822">
        <f t="shared" si="52"/>
        <v>2013</v>
      </c>
      <c r="E822">
        <f t="shared" si="53"/>
        <v>1</v>
      </c>
      <c r="F822" t="s">
        <v>428</v>
      </c>
      <c r="G822" t="s">
        <v>101</v>
      </c>
      <c r="H822" t="s">
        <v>273</v>
      </c>
      <c r="J822">
        <v>20</v>
      </c>
      <c r="K822">
        <f t="shared" si="54"/>
        <v>20</v>
      </c>
      <c r="R822" t="s">
        <v>1348</v>
      </c>
    </row>
    <row r="823" spans="1:18" x14ac:dyDescent="0.25">
      <c r="A823" t="s">
        <v>341</v>
      </c>
      <c r="B823" s="4">
        <v>41378</v>
      </c>
      <c r="C823" s="9">
        <f t="shared" si="51"/>
        <v>4</v>
      </c>
      <c r="D823">
        <f t="shared" si="52"/>
        <v>2013</v>
      </c>
      <c r="E823">
        <f t="shared" si="53"/>
        <v>1</v>
      </c>
      <c r="F823" t="s">
        <v>428</v>
      </c>
      <c r="G823" t="s">
        <v>101</v>
      </c>
      <c r="H823" t="s">
        <v>273</v>
      </c>
      <c r="I823">
        <v>1</v>
      </c>
      <c r="J823">
        <v>36</v>
      </c>
      <c r="K823">
        <f t="shared" si="54"/>
        <v>96</v>
      </c>
      <c r="M823" t="s">
        <v>350</v>
      </c>
      <c r="R823" t="s">
        <v>1348</v>
      </c>
    </row>
    <row r="824" spans="1:18" x14ac:dyDescent="0.25">
      <c r="A824" t="s">
        <v>341</v>
      </c>
      <c r="B824" s="4">
        <v>41402</v>
      </c>
      <c r="C824" s="9">
        <f t="shared" si="51"/>
        <v>5</v>
      </c>
      <c r="D824">
        <f t="shared" si="52"/>
        <v>2013</v>
      </c>
      <c r="E824">
        <f t="shared" si="53"/>
        <v>1</v>
      </c>
      <c r="F824" t="s">
        <v>428</v>
      </c>
      <c r="G824" t="s">
        <v>493</v>
      </c>
      <c r="H824" t="s">
        <v>493</v>
      </c>
      <c r="J824">
        <v>13</v>
      </c>
      <c r="K824">
        <f t="shared" si="54"/>
        <v>13</v>
      </c>
      <c r="L824" t="s">
        <v>663</v>
      </c>
      <c r="R824" t="s">
        <v>1349</v>
      </c>
    </row>
    <row r="825" spans="1:18" x14ac:dyDescent="0.25">
      <c r="A825" t="s">
        <v>341</v>
      </c>
      <c r="B825" s="4">
        <v>41403</v>
      </c>
      <c r="C825" s="9">
        <f t="shared" si="51"/>
        <v>5</v>
      </c>
      <c r="D825">
        <f t="shared" si="52"/>
        <v>2013</v>
      </c>
      <c r="E825">
        <f t="shared" si="53"/>
        <v>1</v>
      </c>
      <c r="F825" t="s">
        <v>428</v>
      </c>
      <c r="G825" t="s">
        <v>502</v>
      </c>
      <c r="H825" t="s">
        <v>476</v>
      </c>
      <c r="I825">
        <v>1</v>
      </c>
      <c r="J825">
        <v>49</v>
      </c>
      <c r="K825">
        <f t="shared" si="54"/>
        <v>109</v>
      </c>
      <c r="L825" t="s">
        <v>663</v>
      </c>
      <c r="R825" t="s">
        <v>1349</v>
      </c>
    </row>
    <row r="826" spans="1:18" x14ac:dyDescent="0.25">
      <c r="A826" t="s">
        <v>341</v>
      </c>
      <c r="B826" s="4">
        <v>41403</v>
      </c>
      <c r="C826" s="9">
        <f t="shared" si="51"/>
        <v>5</v>
      </c>
      <c r="D826">
        <f t="shared" si="52"/>
        <v>2013</v>
      </c>
      <c r="E826">
        <f t="shared" si="53"/>
        <v>0</v>
      </c>
      <c r="F826" t="s">
        <v>428</v>
      </c>
      <c r="G826" t="s">
        <v>502</v>
      </c>
      <c r="H826" t="s">
        <v>476</v>
      </c>
      <c r="J826">
        <v>10</v>
      </c>
      <c r="K826">
        <f t="shared" si="54"/>
        <v>10</v>
      </c>
      <c r="L826" t="s">
        <v>663</v>
      </c>
      <c r="R826" t="s">
        <v>1349</v>
      </c>
    </row>
    <row r="827" spans="1:18" x14ac:dyDescent="0.25">
      <c r="A827" t="s">
        <v>341</v>
      </c>
      <c r="B827" s="4">
        <v>41404</v>
      </c>
      <c r="C827" s="9">
        <f t="shared" si="51"/>
        <v>5</v>
      </c>
      <c r="D827">
        <f t="shared" si="52"/>
        <v>2013</v>
      </c>
      <c r="E827">
        <f t="shared" si="53"/>
        <v>1</v>
      </c>
      <c r="F827" t="s">
        <v>428</v>
      </c>
      <c r="G827" t="s">
        <v>494</v>
      </c>
      <c r="H827" t="s">
        <v>476</v>
      </c>
      <c r="J827">
        <v>21</v>
      </c>
      <c r="K827">
        <f t="shared" si="54"/>
        <v>21</v>
      </c>
      <c r="L827" t="s">
        <v>663</v>
      </c>
      <c r="R827" t="s">
        <v>1349</v>
      </c>
    </row>
    <row r="828" spans="1:18" x14ac:dyDescent="0.25">
      <c r="A828" t="s">
        <v>341</v>
      </c>
      <c r="B828" s="4">
        <v>41406</v>
      </c>
      <c r="C828" s="9">
        <f t="shared" si="51"/>
        <v>5</v>
      </c>
      <c r="D828">
        <f t="shared" si="52"/>
        <v>2013</v>
      </c>
      <c r="E828">
        <f t="shared" si="53"/>
        <v>1</v>
      </c>
      <c r="F828" t="s">
        <v>428</v>
      </c>
      <c r="G828" t="s">
        <v>494</v>
      </c>
      <c r="H828" t="s">
        <v>476</v>
      </c>
      <c r="I828">
        <v>1</v>
      </c>
      <c r="J828">
        <v>38</v>
      </c>
      <c r="K828">
        <f t="shared" si="54"/>
        <v>98</v>
      </c>
      <c r="L828" t="s">
        <v>663</v>
      </c>
      <c r="R828" t="s">
        <v>1349</v>
      </c>
    </row>
    <row r="829" spans="1:18" x14ac:dyDescent="0.25">
      <c r="A829" t="s">
        <v>341</v>
      </c>
      <c r="B829" s="4">
        <v>41421</v>
      </c>
      <c r="C829" s="9">
        <f t="shared" si="51"/>
        <v>5</v>
      </c>
      <c r="D829">
        <f t="shared" si="52"/>
        <v>2013</v>
      </c>
      <c r="E829">
        <f t="shared" si="53"/>
        <v>1</v>
      </c>
      <c r="F829" t="s">
        <v>428</v>
      </c>
      <c r="G829" t="s">
        <v>459</v>
      </c>
      <c r="H829" t="s">
        <v>495</v>
      </c>
      <c r="J829">
        <v>9</v>
      </c>
      <c r="K829">
        <f t="shared" si="54"/>
        <v>9</v>
      </c>
      <c r="L829" t="s">
        <v>295</v>
      </c>
      <c r="R829" t="s">
        <v>1349</v>
      </c>
    </row>
    <row r="830" spans="1:18" x14ac:dyDescent="0.25">
      <c r="A830" t="s">
        <v>341</v>
      </c>
      <c r="B830" s="4">
        <v>41421</v>
      </c>
      <c r="C830" s="9">
        <f t="shared" si="51"/>
        <v>5</v>
      </c>
      <c r="D830">
        <f t="shared" si="52"/>
        <v>2013</v>
      </c>
      <c r="E830">
        <f t="shared" si="53"/>
        <v>0</v>
      </c>
      <c r="F830" t="s">
        <v>428</v>
      </c>
      <c r="G830" t="s">
        <v>496</v>
      </c>
      <c r="H830" t="s">
        <v>462</v>
      </c>
      <c r="J830">
        <v>47</v>
      </c>
      <c r="K830">
        <f t="shared" si="54"/>
        <v>47</v>
      </c>
      <c r="L830" t="s">
        <v>295</v>
      </c>
      <c r="R830" t="s">
        <v>1349</v>
      </c>
    </row>
    <row r="831" spans="1:18" x14ac:dyDescent="0.25">
      <c r="A831" t="s">
        <v>341</v>
      </c>
      <c r="B831" s="4">
        <v>41421</v>
      </c>
      <c r="C831" s="9">
        <f t="shared" si="51"/>
        <v>5</v>
      </c>
      <c r="D831">
        <f t="shared" si="52"/>
        <v>2013</v>
      </c>
      <c r="E831">
        <f t="shared" si="53"/>
        <v>0</v>
      </c>
      <c r="F831" t="s">
        <v>428</v>
      </c>
      <c r="G831" t="s">
        <v>497</v>
      </c>
      <c r="H831" t="s">
        <v>495</v>
      </c>
      <c r="J831">
        <v>39</v>
      </c>
      <c r="K831">
        <f t="shared" si="54"/>
        <v>39</v>
      </c>
      <c r="L831" t="s">
        <v>295</v>
      </c>
      <c r="R831" t="s">
        <v>1349</v>
      </c>
    </row>
    <row r="832" spans="1:18" x14ac:dyDescent="0.25">
      <c r="A832" t="s">
        <v>341</v>
      </c>
      <c r="B832" s="4">
        <v>41422</v>
      </c>
      <c r="C832" s="9">
        <f t="shared" si="51"/>
        <v>5</v>
      </c>
      <c r="D832">
        <f t="shared" si="52"/>
        <v>2013</v>
      </c>
      <c r="E832">
        <f t="shared" si="53"/>
        <v>1</v>
      </c>
      <c r="F832" t="s">
        <v>428</v>
      </c>
      <c r="G832" t="s">
        <v>493</v>
      </c>
      <c r="H832" t="s">
        <v>498</v>
      </c>
      <c r="J832">
        <v>12</v>
      </c>
      <c r="K832">
        <f t="shared" si="54"/>
        <v>12</v>
      </c>
      <c r="L832" t="s">
        <v>295</v>
      </c>
      <c r="R832" t="s">
        <v>1349</v>
      </c>
    </row>
    <row r="833" spans="1:18" x14ac:dyDescent="0.25">
      <c r="A833" t="s">
        <v>341</v>
      </c>
      <c r="B833" s="4">
        <v>41422</v>
      </c>
      <c r="C833" s="9">
        <f t="shared" si="51"/>
        <v>5</v>
      </c>
      <c r="D833">
        <f t="shared" si="52"/>
        <v>2013</v>
      </c>
      <c r="E833">
        <f t="shared" si="53"/>
        <v>0</v>
      </c>
      <c r="F833" t="s">
        <v>428</v>
      </c>
      <c r="G833" t="s">
        <v>393</v>
      </c>
      <c r="H833" t="s">
        <v>294</v>
      </c>
      <c r="J833">
        <v>12</v>
      </c>
      <c r="K833">
        <f t="shared" si="54"/>
        <v>12</v>
      </c>
      <c r="L833" t="s">
        <v>295</v>
      </c>
      <c r="R833" t="s">
        <v>1349</v>
      </c>
    </row>
    <row r="834" spans="1:18" x14ac:dyDescent="0.25">
      <c r="A834" t="s">
        <v>341</v>
      </c>
      <c r="B834" s="4">
        <v>41433</v>
      </c>
      <c r="C834" s="9">
        <f t="shared" si="51"/>
        <v>6</v>
      </c>
      <c r="D834">
        <f t="shared" si="52"/>
        <v>2013</v>
      </c>
      <c r="E834">
        <f t="shared" si="53"/>
        <v>1</v>
      </c>
      <c r="F834" t="s">
        <v>428</v>
      </c>
      <c r="G834" t="s">
        <v>101</v>
      </c>
      <c r="H834" t="s">
        <v>153</v>
      </c>
      <c r="I834">
        <v>1</v>
      </c>
      <c r="J834">
        <v>14</v>
      </c>
      <c r="K834">
        <f t="shared" si="54"/>
        <v>74</v>
      </c>
      <c r="R834" t="s">
        <v>1348</v>
      </c>
    </row>
    <row r="835" spans="1:18" x14ac:dyDescent="0.25">
      <c r="A835" t="s">
        <v>341</v>
      </c>
      <c r="B835" s="4">
        <v>41438</v>
      </c>
      <c r="C835" s="9">
        <f t="shared" ref="C835:C898" si="55">MONTH(B835)</f>
        <v>6</v>
      </c>
      <c r="D835">
        <f t="shared" si="52"/>
        <v>2013</v>
      </c>
      <c r="E835">
        <f t="shared" si="53"/>
        <v>1</v>
      </c>
      <c r="F835" t="s">
        <v>428</v>
      </c>
      <c r="G835" t="s">
        <v>101</v>
      </c>
      <c r="H835" t="s">
        <v>153</v>
      </c>
      <c r="I835">
        <v>1</v>
      </c>
      <c r="J835">
        <v>5</v>
      </c>
      <c r="K835">
        <f t="shared" si="54"/>
        <v>65</v>
      </c>
      <c r="R835" t="s">
        <v>1348</v>
      </c>
    </row>
    <row r="836" spans="1:18" x14ac:dyDescent="0.25">
      <c r="A836" t="s">
        <v>341</v>
      </c>
      <c r="B836" s="4">
        <v>41439</v>
      </c>
      <c r="C836" s="9">
        <f t="shared" si="55"/>
        <v>6</v>
      </c>
      <c r="D836">
        <f t="shared" si="52"/>
        <v>2013</v>
      </c>
      <c r="E836">
        <f t="shared" si="53"/>
        <v>1</v>
      </c>
      <c r="F836" t="s">
        <v>428</v>
      </c>
      <c r="G836" t="s">
        <v>517</v>
      </c>
      <c r="H836" t="s">
        <v>273</v>
      </c>
      <c r="J836">
        <v>30</v>
      </c>
      <c r="K836">
        <f t="shared" si="54"/>
        <v>30</v>
      </c>
      <c r="R836" t="s">
        <v>1348</v>
      </c>
    </row>
    <row r="837" spans="1:18" x14ac:dyDescent="0.25">
      <c r="A837" t="s">
        <v>341</v>
      </c>
      <c r="B837" s="4">
        <v>41440</v>
      </c>
      <c r="C837" s="9">
        <f t="shared" si="55"/>
        <v>6</v>
      </c>
      <c r="D837">
        <f t="shared" si="52"/>
        <v>2013</v>
      </c>
      <c r="E837">
        <f t="shared" si="53"/>
        <v>1</v>
      </c>
      <c r="F837" t="s">
        <v>428</v>
      </c>
      <c r="G837" t="s">
        <v>373</v>
      </c>
      <c r="H837" t="s">
        <v>273</v>
      </c>
      <c r="J837">
        <v>15</v>
      </c>
      <c r="K837">
        <f t="shared" si="54"/>
        <v>15</v>
      </c>
      <c r="R837" t="s">
        <v>1348</v>
      </c>
    </row>
    <row r="838" spans="1:18" x14ac:dyDescent="0.25">
      <c r="A838" t="s">
        <v>341</v>
      </c>
      <c r="B838" s="4">
        <v>41440</v>
      </c>
      <c r="C838" s="9">
        <f t="shared" si="55"/>
        <v>6</v>
      </c>
      <c r="D838">
        <f t="shared" si="52"/>
        <v>2013</v>
      </c>
      <c r="E838">
        <f t="shared" si="53"/>
        <v>0</v>
      </c>
      <c r="F838" t="s">
        <v>474</v>
      </c>
      <c r="G838" t="s">
        <v>373</v>
      </c>
      <c r="H838" t="s">
        <v>273</v>
      </c>
      <c r="J838">
        <v>10</v>
      </c>
      <c r="K838">
        <f t="shared" si="54"/>
        <v>10</v>
      </c>
      <c r="R838" t="s">
        <v>1348</v>
      </c>
    </row>
    <row r="839" spans="1:18" x14ac:dyDescent="0.25">
      <c r="A839" t="s">
        <v>341</v>
      </c>
      <c r="B839" s="4">
        <v>41441</v>
      </c>
      <c r="C839" s="9">
        <f t="shared" si="55"/>
        <v>6</v>
      </c>
      <c r="D839">
        <f t="shared" si="52"/>
        <v>2013</v>
      </c>
      <c r="E839">
        <f t="shared" si="53"/>
        <v>1</v>
      </c>
      <c r="F839" t="s">
        <v>428</v>
      </c>
      <c r="G839" t="s">
        <v>101</v>
      </c>
      <c r="H839" t="s">
        <v>273</v>
      </c>
      <c r="I839">
        <v>1</v>
      </c>
      <c r="J839">
        <v>2</v>
      </c>
      <c r="K839">
        <f t="shared" si="54"/>
        <v>62</v>
      </c>
      <c r="R839" t="s">
        <v>1348</v>
      </c>
    </row>
    <row r="840" spans="1:18" x14ac:dyDescent="0.25">
      <c r="A840" t="s">
        <v>341</v>
      </c>
      <c r="B840" s="4">
        <v>41455</v>
      </c>
      <c r="C840" s="9">
        <f t="shared" si="55"/>
        <v>6</v>
      </c>
      <c r="D840">
        <f t="shared" si="52"/>
        <v>2013</v>
      </c>
      <c r="E840">
        <f t="shared" si="53"/>
        <v>1</v>
      </c>
      <c r="F840" t="s">
        <v>428</v>
      </c>
      <c r="G840" t="s">
        <v>101</v>
      </c>
      <c r="H840" t="s">
        <v>273</v>
      </c>
      <c r="J840">
        <v>37</v>
      </c>
      <c r="K840">
        <f t="shared" si="54"/>
        <v>37</v>
      </c>
      <c r="R840" t="s">
        <v>1348</v>
      </c>
    </row>
    <row r="841" spans="1:18" x14ac:dyDescent="0.25">
      <c r="A841" t="s">
        <v>341</v>
      </c>
      <c r="B841" s="4">
        <v>41460</v>
      </c>
      <c r="C841" s="9">
        <f t="shared" si="55"/>
        <v>7</v>
      </c>
      <c r="D841">
        <f t="shared" si="52"/>
        <v>2013</v>
      </c>
      <c r="E841">
        <f t="shared" si="53"/>
        <v>1</v>
      </c>
      <c r="F841" t="s">
        <v>428</v>
      </c>
      <c r="G841" t="s">
        <v>7</v>
      </c>
      <c r="H841" t="s">
        <v>55</v>
      </c>
      <c r="J841">
        <v>27</v>
      </c>
      <c r="K841">
        <f t="shared" si="54"/>
        <v>27</v>
      </c>
      <c r="R841" t="s">
        <v>1348</v>
      </c>
    </row>
    <row r="842" spans="1:18" x14ac:dyDescent="0.25">
      <c r="A842" t="s">
        <v>341</v>
      </c>
      <c r="B842" s="4">
        <v>41461</v>
      </c>
      <c r="C842" s="9">
        <f t="shared" si="55"/>
        <v>7</v>
      </c>
      <c r="D842">
        <f t="shared" si="52"/>
        <v>2013</v>
      </c>
      <c r="E842">
        <f t="shared" si="53"/>
        <v>1</v>
      </c>
      <c r="F842" t="s">
        <v>428</v>
      </c>
      <c r="G842" t="s">
        <v>404</v>
      </c>
      <c r="H842" t="s">
        <v>97</v>
      </c>
      <c r="J842">
        <v>31</v>
      </c>
      <c r="K842">
        <f t="shared" si="54"/>
        <v>31</v>
      </c>
      <c r="R842" t="s">
        <v>1348</v>
      </c>
    </row>
    <row r="843" spans="1:18" x14ac:dyDescent="0.25">
      <c r="A843" t="s">
        <v>341</v>
      </c>
      <c r="B843" s="4">
        <v>41461</v>
      </c>
      <c r="C843" s="9">
        <f t="shared" si="55"/>
        <v>7</v>
      </c>
      <c r="D843">
        <f t="shared" si="52"/>
        <v>2013</v>
      </c>
      <c r="E843">
        <f t="shared" si="53"/>
        <v>0</v>
      </c>
      <c r="F843" t="s">
        <v>428</v>
      </c>
      <c r="G843" t="s">
        <v>7</v>
      </c>
      <c r="H843" t="s">
        <v>55</v>
      </c>
      <c r="J843">
        <v>44</v>
      </c>
      <c r="K843">
        <f t="shared" si="54"/>
        <v>44</v>
      </c>
      <c r="R843" t="s">
        <v>1348</v>
      </c>
    </row>
    <row r="844" spans="1:18" x14ac:dyDescent="0.25">
      <c r="A844" t="s">
        <v>341</v>
      </c>
      <c r="B844" s="4">
        <v>41462</v>
      </c>
      <c r="C844" s="9">
        <f t="shared" si="55"/>
        <v>7</v>
      </c>
      <c r="D844">
        <f t="shared" si="52"/>
        <v>2013</v>
      </c>
      <c r="E844">
        <f t="shared" si="53"/>
        <v>1</v>
      </c>
      <c r="F844" t="s">
        <v>428</v>
      </c>
      <c r="G844" t="s">
        <v>7</v>
      </c>
      <c r="H844" t="s">
        <v>55</v>
      </c>
      <c r="J844">
        <v>33</v>
      </c>
      <c r="K844">
        <f t="shared" si="54"/>
        <v>33</v>
      </c>
      <c r="R844" t="s">
        <v>1348</v>
      </c>
    </row>
    <row r="845" spans="1:18" x14ac:dyDescent="0.25">
      <c r="A845" t="s">
        <v>341</v>
      </c>
      <c r="B845" s="4">
        <v>41468</v>
      </c>
      <c r="C845" s="9">
        <f t="shared" si="55"/>
        <v>7</v>
      </c>
      <c r="D845">
        <f t="shared" si="52"/>
        <v>2013</v>
      </c>
      <c r="E845">
        <f t="shared" si="53"/>
        <v>1</v>
      </c>
      <c r="F845" t="s">
        <v>428</v>
      </c>
      <c r="G845" t="s">
        <v>406</v>
      </c>
      <c r="H845" t="s">
        <v>153</v>
      </c>
      <c r="I845">
        <v>1</v>
      </c>
      <c r="J845">
        <v>37</v>
      </c>
      <c r="K845">
        <f t="shared" si="54"/>
        <v>97</v>
      </c>
      <c r="R845" t="s">
        <v>1348</v>
      </c>
    </row>
    <row r="846" spans="1:18" x14ac:dyDescent="0.25">
      <c r="A846" t="s">
        <v>341</v>
      </c>
      <c r="B846" s="4">
        <v>41469</v>
      </c>
      <c r="C846" s="9">
        <f t="shared" si="55"/>
        <v>7</v>
      </c>
      <c r="D846">
        <f t="shared" si="52"/>
        <v>2013</v>
      </c>
      <c r="E846">
        <f t="shared" si="53"/>
        <v>1</v>
      </c>
      <c r="F846" t="s">
        <v>428</v>
      </c>
      <c r="G846" t="s">
        <v>406</v>
      </c>
      <c r="H846" t="s">
        <v>273</v>
      </c>
      <c r="I846">
        <v>1</v>
      </c>
      <c r="J846">
        <v>40</v>
      </c>
      <c r="K846">
        <f t="shared" si="54"/>
        <v>100</v>
      </c>
      <c r="R846" t="s">
        <v>1348</v>
      </c>
    </row>
    <row r="847" spans="1:18" x14ac:dyDescent="0.25">
      <c r="A847" t="s">
        <v>341</v>
      </c>
      <c r="B847" s="4">
        <v>41474</v>
      </c>
      <c r="C847" s="9">
        <f t="shared" si="55"/>
        <v>7</v>
      </c>
      <c r="D847">
        <f t="shared" si="52"/>
        <v>2013</v>
      </c>
      <c r="E847">
        <f t="shared" si="53"/>
        <v>1</v>
      </c>
      <c r="F847" t="s">
        <v>428</v>
      </c>
      <c r="G847" t="s">
        <v>101</v>
      </c>
      <c r="H847" t="s">
        <v>273</v>
      </c>
      <c r="J847">
        <v>23</v>
      </c>
      <c r="K847">
        <f t="shared" si="54"/>
        <v>23</v>
      </c>
      <c r="R847" t="s">
        <v>1348</v>
      </c>
    </row>
    <row r="848" spans="1:18" x14ac:dyDescent="0.25">
      <c r="A848" t="s">
        <v>344</v>
      </c>
      <c r="B848" s="4">
        <v>41475</v>
      </c>
      <c r="C848" s="9">
        <f t="shared" si="55"/>
        <v>7</v>
      </c>
      <c r="D848">
        <f t="shared" si="52"/>
        <v>2013</v>
      </c>
      <c r="E848">
        <f t="shared" si="53"/>
        <v>1</v>
      </c>
      <c r="F848" t="s">
        <v>299</v>
      </c>
      <c r="G848" t="s">
        <v>517</v>
      </c>
      <c r="H848" t="s">
        <v>153</v>
      </c>
      <c r="I848">
        <v>1</v>
      </c>
      <c r="J848">
        <v>40</v>
      </c>
      <c r="K848">
        <f t="shared" si="54"/>
        <v>100</v>
      </c>
      <c r="M848" t="s">
        <v>500</v>
      </c>
      <c r="R848" t="s">
        <v>1348</v>
      </c>
    </row>
    <row r="849" spans="1:18" x14ac:dyDescent="0.25">
      <c r="A849" t="s">
        <v>341</v>
      </c>
      <c r="B849" s="4">
        <v>41476</v>
      </c>
      <c r="C849" s="9">
        <f t="shared" si="55"/>
        <v>7</v>
      </c>
      <c r="D849">
        <f t="shared" si="52"/>
        <v>2013</v>
      </c>
      <c r="E849">
        <f t="shared" si="53"/>
        <v>1</v>
      </c>
      <c r="F849" t="s">
        <v>428</v>
      </c>
      <c r="G849" t="s">
        <v>517</v>
      </c>
      <c r="H849" t="s">
        <v>470</v>
      </c>
      <c r="I849">
        <v>1</v>
      </c>
      <c r="J849">
        <v>15</v>
      </c>
      <c r="K849">
        <f t="shared" si="54"/>
        <v>75</v>
      </c>
      <c r="R849" t="s">
        <v>1348</v>
      </c>
    </row>
    <row r="850" spans="1:18" x14ac:dyDescent="0.25">
      <c r="A850" t="s">
        <v>341</v>
      </c>
      <c r="B850" s="4">
        <v>41481</v>
      </c>
      <c r="C850" s="9">
        <f t="shared" si="55"/>
        <v>7</v>
      </c>
      <c r="D850">
        <f t="shared" ref="D850:D913" si="56">YEAR(B850)</f>
        <v>2013</v>
      </c>
      <c r="E850">
        <f t="shared" ref="E850:E913" si="57">IF(OR(A850 = "GS",A850 = "BP"),IF( OR(A849="GS",A849="BP"),IF(B849=B850,0,1),1),0)</f>
        <v>1</v>
      </c>
      <c r="F850" t="s">
        <v>428</v>
      </c>
      <c r="G850" t="s">
        <v>406</v>
      </c>
      <c r="H850" t="s">
        <v>153</v>
      </c>
      <c r="I850">
        <v>1</v>
      </c>
      <c r="J850">
        <v>36</v>
      </c>
      <c r="K850">
        <f t="shared" ref="K850:K913" si="58">I850*60+J850</f>
        <v>96</v>
      </c>
      <c r="R850" t="s">
        <v>1348</v>
      </c>
    </row>
    <row r="851" spans="1:18" x14ac:dyDescent="0.25">
      <c r="A851" t="s">
        <v>341</v>
      </c>
      <c r="B851" s="4">
        <v>41482</v>
      </c>
      <c r="C851" s="9">
        <f t="shared" si="55"/>
        <v>7</v>
      </c>
      <c r="D851">
        <f t="shared" si="56"/>
        <v>2013</v>
      </c>
      <c r="E851">
        <f t="shared" si="57"/>
        <v>1</v>
      </c>
      <c r="F851" t="s">
        <v>428</v>
      </c>
      <c r="G851" t="s">
        <v>406</v>
      </c>
      <c r="H851" t="s">
        <v>320</v>
      </c>
      <c r="I851">
        <v>1</v>
      </c>
      <c r="J851">
        <v>6</v>
      </c>
      <c r="K851">
        <f t="shared" si="58"/>
        <v>66</v>
      </c>
      <c r="M851" t="s">
        <v>325</v>
      </c>
      <c r="R851" t="s">
        <v>1348</v>
      </c>
    </row>
    <row r="852" spans="1:18" x14ac:dyDescent="0.25">
      <c r="A852" t="s">
        <v>341</v>
      </c>
      <c r="B852" s="4">
        <v>41486</v>
      </c>
      <c r="C852" s="9">
        <f t="shared" si="55"/>
        <v>7</v>
      </c>
      <c r="D852">
        <f t="shared" si="56"/>
        <v>2013</v>
      </c>
      <c r="E852">
        <f t="shared" si="57"/>
        <v>1</v>
      </c>
      <c r="F852" t="s">
        <v>428</v>
      </c>
      <c r="G852" t="s">
        <v>101</v>
      </c>
      <c r="H852" t="s">
        <v>153</v>
      </c>
      <c r="I852">
        <v>1</v>
      </c>
      <c r="J852">
        <v>43</v>
      </c>
      <c r="K852">
        <f t="shared" si="58"/>
        <v>103</v>
      </c>
      <c r="R852" t="s">
        <v>1348</v>
      </c>
    </row>
    <row r="853" spans="1:18" x14ac:dyDescent="0.25">
      <c r="A853" t="s">
        <v>341</v>
      </c>
      <c r="B853" s="4">
        <v>41487</v>
      </c>
      <c r="C853" s="9">
        <f t="shared" si="55"/>
        <v>8</v>
      </c>
      <c r="D853">
        <f t="shared" si="56"/>
        <v>2013</v>
      </c>
      <c r="E853">
        <f t="shared" si="57"/>
        <v>1</v>
      </c>
      <c r="F853" t="s">
        <v>428</v>
      </c>
      <c r="G853" t="s">
        <v>406</v>
      </c>
      <c r="H853" t="s">
        <v>273</v>
      </c>
      <c r="I853">
        <v>3</v>
      </c>
      <c r="J853">
        <v>39</v>
      </c>
      <c r="K853">
        <f t="shared" si="58"/>
        <v>219</v>
      </c>
      <c r="M853" t="s">
        <v>499</v>
      </c>
      <c r="R853" t="s">
        <v>1348</v>
      </c>
    </row>
    <row r="854" spans="1:18" x14ac:dyDescent="0.25">
      <c r="A854" t="s">
        <v>341</v>
      </c>
      <c r="B854" s="4">
        <v>41496</v>
      </c>
      <c r="C854" s="9">
        <f t="shared" si="55"/>
        <v>8</v>
      </c>
      <c r="D854">
        <f t="shared" si="56"/>
        <v>2013</v>
      </c>
      <c r="E854">
        <f t="shared" si="57"/>
        <v>1</v>
      </c>
      <c r="F854" t="s">
        <v>428</v>
      </c>
      <c r="G854" t="s">
        <v>502</v>
      </c>
      <c r="H854" t="s">
        <v>476</v>
      </c>
      <c r="J854">
        <v>40</v>
      </c>
      <c r="K854">
        <f t="shared" si="58"/>
        <v>40</v>
      </c>
      <c r="R854" t="s">
        <v>1349</v>
      </c>
    </row>
    <row r="855" spans="1:18" x14ac:dyDescent="0.25">
      <c r="A855" t="s">
        <v>341</v>
      </c>
      <c r="B855" s="4">
        <v>41497</v>
      </c>
      <c r="C855" s="9">
        <f t="shared" si="55"/>
        <v>8</v>
      </c>
      <c r="D855">
        <f t="shared" si="56"/>
        <v>2013</v>
      </c>
      <c r="E855">
        <f t="shared" si="57"/>
        <v>1</v>
      </c>
      <c r="F855" t="s">
        <v>428</v>
      </c>
      <c r="G855" t="s">
        <v>406</v>
      </c>
      <c r="H855" t="s">
        <v>244</v>
      </c>
      <c r="I855">
        <v>2</v>
      </c>
      <c r="J855">
        <v>19</v>
      </c>
      <c r="K855">
        <f t="shared" si="58"/>
        <v>139</v>
      </c>
      <c r="M855" t="s">
        <v>501</v>
      </c>
      <c r="R855" t="s">
        <v>1348</v>
      </c>
    </row>
    <row r="856" spans="1:18" x14ac:dyDescent="0.25">
      <c r="A856" t="s">
        <v>341</v>
      </c>
      <c r="B856" s="4">
        <v>41498</v>
      </c>
      <c r="C856" s="9">
        <f t="shared" si="55"/>
        <v>8</v>
      </c>
      <c r="D856">
        <f t="shared" si="56"/>
        <v>2013</v>
      </c>
      <c r="E856">
        <f t="shared" si="57"/>
        <v>1</v>
      </c>
      <c r="F856" t="s">
        <v>428</v>
      </c>
      <c r="G856" t="s">
        <v>406</v>
      </c>
      <c r="H856" t="s">
        <v>320</v>
      </c>
      <c r="I856">
        <v>1</v>
      </c>
      <c r="J856">
        <v>3</v>
      </c>
      <c r="K856">
        <f t="shared" si="58"/>
        <v>63</v>
      </c>
      <c r="R856" t="s">
        <v>1348</v>
      </c>
    </row>
    <row r="857" spans="1:18" x14ac:dyDescent="0.25">
      <c r="A857" t="s">
        <v>341</v>
      </c>
      <c r="B857" s="4">
        <v>41500</v>
      </c>
      <c r="C857" s="9">
        <f t="shared" si="55"/>
        <v>8</v>
      </c>
      <c r="D857">
        <f t="shared" si="56"/>
        <v>2013</v>
      </c>
      <c r="E857">
        <f t="shared" si="57"/>
        <v>1</v>
      </c>
      <c r="F857" t="s">
        <v>428</v>
      </c>
      <c r="G857" t="s">
        <v>101</v>
      </c>
      <c r="H857" t="s">
        <v>273</v>
      </c>
      <c r="I857">
        <v>1</v>
      </c>
      <c r="J857">
        <v>16</v>
      </c>
      <c r="K857">
        <f t="shared" si="58"/>
        <v>76</v>
      </c>
      <c r="R857" t="s">
        <v>1348</v>
      </c>
    </row>
    <row r="858" spans="1:18" x14ac:dyDescent="0.25">
      <c r="A858" t="s">
        <v>341</v>
      </c>
      <c r="B858" s="4">
        <v>41501</v>
      </c>
      <c r="C858" s="9">
        <f t="shared" si="55"/>
        <v>8</v>
      </c>
      <c r="D858">
        <f t="shared" si="56"/>
        <v>2013</v>
      </c>
      <c r="E858">
        <f t="shared" si="57"/>
        <v>1</v>
      </c>
      <c r="F858" t="s">
        <v>428</v>
      </c>
      <c r="G858" t="s">
        <v>406</v>
      </c>
      <c r="H858" t="s">
        <v>273</v>
      </c>
      <c r="I858">
        <v>2</v>
      </c>
      <c r="J858">
        <v>29</v>
      </c>
      <c r="K858">
        <f t="shared" si="58"/>
        <v>149</v>
      </c>
      <c r="R858" t="s">
        <v>1348</v>
      </c>
    </row>
    <row r="859" spans="1:18" x14ac:dyDescent="0.25">
      <c r="A859" t="s">
        <v>341</v>
      </c>
      <c r="B859" s="4">
        <v>41502</v>
      </c>
      <c r="C859" s="9">
        <f t="shared" si="55"/>
        <v>8</v>
      </c>
      <c r="D859">
        <f t="shared" si="56"/>
        <v>2013</v>
      </c>
      <c r="E859">
        <f t="shared" si="57"/>
        <v>1</v>
      </c>
      <c r="F859" t="s">
        <v>428</v>
      </c>
      <c r="G859" t="s">
        <v>406</v>
      </c>
      <c r="H859" t="s">
        <v>153</v>
      </c>
      <c r="I859">
        <v>1</v>
      </c>
      <c r="J859">
        <v>29</v>
      </c>
      <c r="K859">
        <f t="shared" si="58"/>
        <v>89</v>
      </c>
      <c r="M859" t="s">
        <v>325</v>
      </c>
      <c r="R859" t="s">
        <v>1348</v>
      </c>
    </row>
    <row r="860" spans="1:18" x14ac:dyDescent="0.25">
      <c r="A860" t="s">
        <v>341</v>
      </c>
      <c r="B860" s="4">
        <v>41503</v>
      </c>
      <c r="C860" s="9">
        <f t="shared" si="55"/>
        <v>8</v>
      </c>
      <c r="D860">
        <f t="shared" si="56"/>
        <v>2013</v>
      </c>
      <c r="E860">
        <f t="shared" si="57"/>
        <v>1</v>
      </c>
      <c r="F860" t="s">
        <v>428</v>
      </c>
      <c r="G860" t="s">
        <v>406</v>
      </c>
      <c r="H860" t="s">
        <v>320</v>
      </c>
      <c r="J860">
        <v>46</v>
      </c>
      <c r="K860">
        <f t="shared" si="58"/>
        <v>46</v>
      </c>
      <c r="R860" t="s">
        <v>1348</v>
      </c>
    </row>
    <row r="861" spans="1:18" x14ac:dyDescent="0.25">
      <c r="A861" t="s">
        <v>341</v>
      </c>
      <c r="B861" s="4">
        <v>41509</v>
      </c>
      <c r="C861" s="9">
        <f t="shared" si="55"/>
        <v>8</v>
      </c>
      <c r="D861">
        <f t="shared" si="56"/>
        <v>2013</v>
      </c>
      <c r="E861">
        <f t="shared" si="57"/>
        <v>1</v>
      </c>
      <c r="F861" t="s">
        <v>428</v>
      </c>
      <c r="G861" t="s">
        <v>101</v>
      </c>
      <c r="H861" t="s">
        <v>471</v>
      </c>
      <c r="J861">
        <v>31</v>
      </c>
      <c r="K861">
        <f t="shared" si="58"/>
        <v>31</v>
      </c>
      <c r="R861" t="s">
        <v>1348</v>
      </c>
    </row>
    <row r="862" spans="1:18" x14ac:dyDescent="0.25">
      <c r="A862" t="s">
        <v>341</v>
      </c>
      <c r="B862" s="4">
        <v>41516</v>
      </c>
      <c r="C862" s="9">
        <f t="shared" si="55"/>
        <v>8</v>
      </c>
      <c r="D862">
        <f t="shared" si="56"/>
        <v>2013</v>
      </c>
      <c r="E862">
        <f t="shared" si="57"/>
        <v>1</v>
      </c>
      <c r="F862" t="s">
        <v>428</v>
      </c>
      <c r="G862" t="s">
        <v>101</v>
      </c>
      <c r="H862" t="s">
        <v>153</v>
      </c>
      <c r="I862">
        <v>1</v>
      </c>
      <c r="J862">
        <v>25</v>
      </c>
      <c r="K862">
        <f t="shared" si="58"/>
        <v>85</v>
      </c>
      <c r="R862" t="s">
        <v>1348</v>
      </c>
    </row>
    <row r="863" spans="1:18" x14ac:dyDescent="0.25">
      <c r="A863" t="s">
        <v>344</v>
      </c>
      <c r="B863" s="4">
        <v>41517</v>
      </c>
      <c r="C863" s="9">
        <f t="shared" si="55"/>
        <v>8</v>
      </c>
      <c r="D863">
        <f t="shared" si="56"/>
        <v>2013</v>
      </c>
      <c r="E863">
        <f t="shared" si="57"/>
        <v>1</v>
      </c>
      <c r="F863" t="s">
        <v>299</v>
      </c>
      <c r="G863" t="s">
        <v>517</v>
      </c>
      <c r="H863" t="s">
        <v>273</v>
      </c>
      <c r="J863">
        <v>25</v>
      </c>
      <c r="K863">
        <f t="shared" si="58"/>
        <v>25</v>
      </c>
      <c r="R863" t="s">
        <v>1348</v>
      </c>
    </row>
    <row r="864" spans="1:18" x14ac:dyDescent="0.25">
      <c r="A864" t="s">
        <v>341</v>
      </c>
      <c r="B864" s="4">
        <v>41517</v>
      </c>
      <c r="C864" s="9">
        <f t="shared" si="55"/>
        <v>8</v>
      </c>
      <c r="D864">
        <f t="shared" si="56"/>
        <v>2013</v>
      </c>
      <c r="E864">
        <f t="shared" si="57"/>
        <v>0</v>
      </c>
      <c r="F864" t="s">
        <v>428</v>
      </c>
      <c r="G864" t="s">
        <v>303</v>
      </c>
      <c r="H864" t="s">
        <v>273</v>
      </c>
      <c r="I864">
        <v>1</v>
      </c>
      <c r="J864">
        <v>17</v>
      </c>
      <c r="K864">
        <f t="shared" si="58"/>
        <v>77</v>
      </c>
      <c r="R864" t="s">
        <v>1348</v>
      </c>
    </row>
    <row r="865" spans="1:18" x14ac:dyDescent="0.25">
      <c r="A865" t="s">
        <v>341</v>
      </c>
      <c r="B865" s="4">
        <v>41525</v>
      </c>
      <c r="C865" s="9">
        <f t="shared" si="55"/>
        <v>9</v>
      </c>
      <c r="D865">
        <f t="shared" si="56"/>
        <v>2013</v>
      </c>
      <c r="E865">
        <f t="shared" si="57"/>
        <v>1</v>
      </c>
      <c r="F865" t="s">
        <v>428</v>
      </c>
      <c r="G865" t="s">
        <v>502</v>
      </c>
      <c r="H865" t="s">
        <v>476</v>
      </c>
      <c r="J865">
        <v>21</v>
      </c>
      <c r="K865">
        <f t="shared" si="58"/>
        <v>21</v>
      </c>
      <c r="L865" t="s">
        <v>239</v>
      </c>
      <c r="M865" t="s">
        <v>505</v>
      </c>
      <c r="R865" t="s">
        <v>1349</v>
      </c>
    </row>
    <row r="866" spans="1:18" x14ac:dyDescent="0.25">
      <c r="A866" t="s">
        <v>341</v>
      </c>
      <c r="B866" s="4">
        <v>41526</v>
      </c>
      <c r="C866" s="9">
        <f t="shared" si="55"/>
        <v>9</v>
      </c>
      <c r="D866">
        <f t="shared" si="56"/>
        <v>2013</v>
      </c>
      <c r="E866">
        <f t="shared" si="57"/>
        <v>1</v>
      </c>
      <c r="F866" t="s">
        <v>428</v>
      </c>
      <c r="G866" t="s">
        <v>503</v>
      </c>
      <c r="H866" t="s">
        <v>476</v>
      </c>
      <c r="I866">
        <v>1</v>
      </c>
      <c r="J866">
        <v>0</v>
      </c>
      <c r="K866">
        <f t="shared" si="58"/>
        <v>60</v>
      </c>
      <c r="L866" t="s">
        <v>239</v>
      </c>
      <c r="R866" t="s">
        <v>1349</v>
      </c>
    </row>
    <row r="867" spans="1:18" x14ac:dyDescent="0.25">
      <c r="A867" t="s">
        <v>341</v>
      </c>
      <c r="B867" s="4">
        <v>41526</v>
      </c>
      <c r="C867" s="9">
        <f t="shared" si="55"/>
        <v>9</v>
      </c>
      <c r="D867">
        <f t="shared" si="56"/>
        <v>2013</v>
      </c>
      <c r="E867">
        <f t="shared" si="57"/>
        <v>0</v>
      </c>
      <c r="F867" t="s">
        <v>428</v>
      </c>
      <c r="G867" t="s">
        <v>475</v>
      </c>
      <c r="H867" t="s">
        <v>476</v>
      </c>
      <c r="J867">
        <v>48</v>
      </c>
      <c r="K867">
        <f t="shared" si="58"/>
        <v>48</v>
      </c>
      <c r="L867" t="s">
        <v>239</v>
      </c>
      <c r="R867" t="s">
        <v>1349</v>
      </c>
    </row>
    <row r="868" spans="1:18" x14ac:dyDescent="0.25">
      <c r="A868" t="s">
        <v>341</v>
      </c>
      <c r="B868" s="4">
        <v>41527</v>
      </c>
      <c r="C868" s="9">
        <f t="shared" si="55"/>
        <v>9</v>
      </c>
      <c r="D868">
        <f t="shared" si="56"/>
        <v>2013</v>
      </c>
      <c r="E868">
        <f t="shared" si="57"/>
        <v>1</v>
      </c>
      <c r="F868" t="s">
        <v>428</v>
      </c>
      <c r="G868" t="s">
        <v>503</v>
      </c>
      <c r="H868" t="s">
        <v>476</v>
      </c>
      <c r="J868">
        <v>38</v>
      </c>
      <c r="K868">
        <f t="shared" si="58"/>
        <v>38</v>
      </c>
      <c r="L868" t="s">
        <v>239</v>
      </c>
      <c r="R868" t="s">
        <v>1349</v>
      </c>
    </row>
    <row r="869" spans="1:18" x14ac:dyDescent="0.25">
      <c r="A869" t="s">
        <v>341</v>
      </c>
      <c r="B869" s="4">
        <v>41528</v>
      </c>
      <c r="C869" s="9">
        <f t="shared" si="55"/>
        <v>9</v>
      </c>
      <c r="D869">
        <f t="shared" si="56"/>
        <v>2013</v>
      </c>
      <c r="E869">
        <f t="shared" si="57"/>
        <v>1</v>
      </c>
      <c r="F869" t="s">
        <v>428</v>
      </c>
      <c r="G869" t="s">
        <v>237</v>
      </c>
      <c r="H869" t="s">
        <v>238</v>
      </c>
      <c r="I869">
        <v>1</v>
      </c>
      <c r="J869">
        <v>15</v>
      </c>
      <c r="K869">
        <f t="shared" si="58"/>
        <v>75</v>
      </c>
      <c r="L869" t="s">
        <v>239</v>
      </c>
      <c r="R869" t="s">
        <v>1349</v>
      </c>
    </row>
    <row r="870" spans="1:18" x14ac:dyDescent="0.25">
      <c r="A870" t="s">
        <v>341</v>
      </c>
      <c r="B870" s="4">
        <v>41528</v>
      </c>
      <c r="C870" s="9">
        <f t="shared" si="55"/>
        <v>9</v>
      </c>
      <c r="D870">
        <f t="shared" si="56"/>
        <v>2013</v>
      </c>
      <c r="E870">
        <f t="shared" si="57"/>
        <v>0</v>
      </c>
      <c r="F870" t="s">
        <v>428</v>
      </c>
      <c r="G870" t="s">
        <v>237</v>
      </c>
      <c r="H870" t="s">
        <v>238</v>
      </c>
      <c r="I870">
        <v>1</v>
      </c>
      <c r="J870">
        <v>2</v>
      </c>
      <c r="K870">
        <f t="shared" si="58"/>
        <v>62</v>
      </c>
      <c r="L870" t="s">
        <v>239</v>
      </c>
      <c r="R870" t="s">
        <v>1349</v>
      </c>
    </row>
    <row r="871" spans="1:18" x14ac:dyDescent="0.25">
      <c r="A871" t="s">
        <v>341</v>
      </c>
      <c r="B871" s="4">
        <v>41529</v>
      </c>
      <c r="C871" s="9">
        <f t="shared" si="55"/>
        <v>9</v>
      </c>
      <c r="D871">
        <f t="shared" si="56"/>
        <v>2013</v>
      </c>
      <c r="E871">
        <f t="shared" si="57"/>
        <v>1</v>
      </c>
      <c r="F871" t="s">
        <v>428</v>
      </c>
      <c r="G871" t="s">
        <v>237</v>
      </c>
      <c r="H871" t="s">
        <v>238</v>
      </c>
      <c r="I871">
        <v>1</v>
      </c>
      <c r="J871">
        <v>4</v>
      </c>
      <c r="K871">
        <f t="shared" si="58"/>
        <v>64</v>
      </c>
      <c r="L871" t="s">
        <v>239</v>
      </c>
      <c r="R871" t="s">
        <v>1349</v>
      </c>
    </row>
    <row r="872" spans="1:18" x14ac:dyDescent="0.25">
      <c r="A872" t="s">
        <v>341</v>
      </c>
      <c r="B872" s="4">
        <v>41530</v>
      </c>
      <c r="C872" s="9">
        <f t="shared" si="55"/>
        <v>9</v>
      </c>
      <c r="D872">
        <f t="shared" si="56"/>
        <v>2013</v>
      </c>
      <c r="E872">
        <f t="shared" si="57"/>
        <v>1</v>
      </c>
      <c r="F872" t="s">
        <v>428</v>
      </c>
      <c r="G872" t="s">
        <v>502</v>
      </c>
      <c r="H872" t="s">
        <v>476</v>
      </c>
      <c r="I872">
        <v>1</v>
      </c>
      <c r="J872">
        <v>10</v>
      </c>
      <c r="K872">
        <f t="shared" si="58"/>
        <v>70</v>
      </c>
      <c r="L872" t="s">
        <v>239</v>
      </c>
      <c r="R872" t="s">
        <v>1349</v>
      </c>
    </row>
    <row r="873" spans="1:18" x14ac:dyDescent="0.25">
      <c r="A873" t="s">
        <v>341</v>
      </c>
      <c r="B873" s="4">
        <v>41531</v>
      </c>
      <c r="C873" s="9">
        <f t="shared" si="55"/>
        <v>9</v>
      </c>
      <c r="D873">
        <f t="shared" si="56"/>
        <v>2013</v>
      </c>
      <c r="E873">
        <f t="shared" si="57"/>
        <v>1</v>
      </c>
      <c r="F873" t="s">
        <v>428</v>
      </c>
      <c r="G873" t="s">
        <v>504</v>
      </c>
      <c r="H873" t="s">
        <v>267</v>
      </c>
      <c r="I873">
        <v>1</v>
      </c>
      <c r="J873">
        <v>6</v>
      </c>
      <c r="K873">
        <f t="shared" si="58"/>
        <v>66</v>
      </c>
      <c r="L873" t="s">
        <v>239</v>
      </c>
      <c r="R873" t="s">
        <v>1349</v>
      </c>
    </row>
    <row r="874" spans="1:18" x14ac:dyDescent="0.25">
      <c r="A874" t="s">
        <v>341</v>
      </c>
      <c r="B874" s="4">
        <v>41565</v>
      </c>
      <c r="C874" s="9">
        <f t="shared" si="55"/>
        <v>10</v>
      </c>
      <c r="D874">
        <f t="shared" si="56"/>
        <v>2013</v>
      </c>
      <c r="E874">
        <f t="shared" si="57"/>
        <v>1</v>
      </c>
      <c r="F874" t="s">
        <v>428</v>
      </c>
      <c r="G874" t="s">
        <v>101</v>
      </c>
      <c r="H874" t="s">
        <v>101</v>
      </c>
      <c r="J874">
        <v>6</v>
      </c>
      <c r="K874">
        <f t="shared" si="58"/>
        <v>6</v>
      </c>
      <c r="R874" t="s">
        <v>1348</v>
      </c>
    </row>
    <row r="875" spans="1:18" x14ac:dyDescent="0.25">
      <c r="A875" t="s">
        <v>341</v>
      </c>
      <c r="B875" s="4">
        <v>41565</v>
      </c>
      <c r="C875" s="9">
        <f t="shared" si="55"/>
        <v>10</v>
      </c>
      <c r="D875">
        <f t="shared" si="56"/>
        <v>2013</v>
      </c>
      <c r="E875">
        <f t="shared" si="57"/>
        <v>0</v>
      </c>
      <c r="F875" t="s">
        <v>428</v>
      </c>
      <c r="G875" t="s">
        <v>101</v>
      </c>
      <c r="H875" t="s">
        <v>244</v>
      </c>
      <c r="J875">
        <v>35</v>
      </c>
      <c r="K875">
        <f t="shared" si="58"/>
        <v>35</v>
      </c>
      <c r="R875" t="s">
        <v>1348</v>
      </c>
    </row>
    <row r="876" spans="1:18" x14ac:dyDescent="0.25">
      <c r="A876" t="s">
        <v>341</v>
      </c>
      <c r="B876" s="4">
        <v>41566</v>
      </c>
      <c r="C876" s="9">
        <f t="shared" si="55"/>
        <v>10</v>
      </c>
      <c r="D876">
        <f t="shared" si="56"/>
        <v>2013</v>
      </c>
      <c r="E876">
        <f t="shared" si="57"/>
        <v>1</v>
      </c>
      <c r="F876" t="s">
        <v>428</v>
      </c>
      <c r="G876" t="s">
        <v>406</v>
      </c>
      <c r="H876" t="s">
        <v>273</v>
      </c>
      <c r="J876">
        <v>27</v>
      </c>
      <c r="K876">
        <f t="shared" si="58"/>
        <v>27</v>
      </c>
      <c r="M876" t="s">
        <v>335</v>
      </c>
      <c r="R876" t="s">
        <v>1348</v>
      </c>
    </row>
    <row r="877" spans="1:18" x14ac:dyDescent="0.25">
      <c r="A877" t="s">
        <v>341</v>
      </c>
      <c r="B877" s="4">
        <v>41566</v>
      </c>
      <c r="C877" s="9">
        <f t="shared" si="55"/>
        <v>10</v>
      </c>
      <c r="D877">
        <f t="shared" si="56"/>
        <v>2013</v>
      </c>
      <c r="E877">
        <f t="shared" si="57"/>
        <v>0</v>
      </c>
      <c r="F877" t="s">
        <v>428</v>
      </c>
      <c r="G877" t="s">
        <v>406</v>
      </c>
      <c r="H877" t="s">
        <v>273</v>
      </c>
      <c r="J877">
        <v>44</v>
      </c>
      <c r="K877">
        <f t="shared" si="58"/>
        <v>44</v>
      </c>
      <c r="M877" t="s">
        <v>335</v>
      </c>
      <c r="R877" t="s">
        <v>1348</v>
      </c>
    </row>
    <row r="878" spans="1:18" x14ac:dyDescent="0.25">
      <c r="A878" t="s">
        <v>341</v>
      </c>
      <c r="B878" s="4">
        <v>41566</v>
      </c>
      <c r="C878" s="9">
        <f t="shared" si="55"/>
        <v>10</v>
      </c>
      <c r="D878">
        <f t="shared" si="56"/>
        <v>2013</v>
      </c>
      <c r="E878">
        <f t="shared" si="57"/>
        <v>0</v>
      </c>
      <c r="F878" t="s">
        <v>428</v>
      </c>
      <c r="G878" t="s">
        <v>101</v>
      </c>
      <c r="H878" t="s">
        <v>273</v>
      </c>
      <c r="J878">
        <v>30</v>
      </c>
      <c r="K878">
        <f t="shared" si="58"/>
        <v>30</v>
      </c>
      <c r="M878" t="s">
        <v>335</v>
      </c>
      <c r="R878" t="s">
        <v>1348</v>
      </c>
    </row>
    <row r="879" spans="1:18" x14ac:dyDescent="0.25">
      <c r="A879" t="s">
        <v>341</v>
      </c>
      <c r="B879" s="4">
        <v>41572</v>
      </c>
      <c r="C879" s="9">
        <f t="shared" si="55"/>
        <v>10</v>
      </c>
      <c r="D879">
        <f t="shared" si="56"/>
        <v>2013</v>
      </c>
      <c r="E879">
        <f t="shared" si="57"/>
        <v>1</v>
      </c>
      <c r="F879" t="s">
        <v>474</v>
      </c>
      <c r="G879" t="s">
        <v>409</v>
      </c>
      <c r="H879" t="s">
        <v>244</v>
      </c>
      <c r="J879">
        <v>15</v>
      </c>
      <c r="K879">
        <f t="shared" si="58"/>
        <v>15</v>
      </c>
      <c r="M879" t="s">
        <v>506</v>
      </c>
      <c r="R879" t="s">
        <v>1348</v>
      </c>
    </row>
    <row r="880" spans="1:18" x14ac:dyDescent="0.25">
      <c r="A880" t="s">
        <v>341</v>
      </c>
      <c r="B880" s="4">
        <v>41629</v>
      </c>
      <c r="C880" s="9">
        <f t="shared" si="55"/>
        <v>12</v>
      </c>
      <c r="D880">
        <f t="shared" si="56"/>
        <v>2013</v>
      </c>
      <c r="E880">
        <f t="shared" si="57"/>
        <v>1</v>
      </c>
      <c r="F880" t="s">
        <v>428</v>
      </c>
      <c r="G880" t="s">
        <v>101</v>
      </c>
      <c r="H880" t="s">
        <v>273</v>
      </c>
      <c r="J880">
        <v>12</v>
      </c>
      <c r="K880">
        <f t="shared" si="58"/>
        <v>12</v>
      </c>
      <c r="R880" t="s">
        <v>1348</v>
      </c>
    </row>
    <row r="881" spans="1:18" x14ac:dyDescent="0.25">
      <c r="A881" t="s">
        <v>341</v>
      </c>
      <c r="B881" s="4">
        <v>41629</v>
      </c>
      <c r="C881" s="9">
        <f t="shared" si="55"/>
        <v>12</v>
      </c>
      <c r="D881">
        <f t="shared" si="56"/>
        <v>2013</v>
      </c>
      <c r="E881">
        <f t="shared" si="57"/>
        <v>0</v>
      </c>
      <c r="F881" t="s">
        <v>428</v>
      </c>
      <c r="G881" t="s">
        <v>101</v>
      </c>
      <c r="H881" t="s">
        <v>273</v>
      </c>
      <c r="J881">
        <v>44</v>
      </c>
      <c r="K881">
        <f t="shared" si="58"/>
        <v>44</v>
      </c>
      <c r="R881" t="s">
        <v>1348</v>
      </c>
    </row>
    <row r="882" spans="1:18" x14ac:dyDescent="0.25">
      <c r="A882" t="s">
        <v>341</v>
      </c>
      <c r="B882" s="4">
        <v>41710</v>
      </c>
      <c r="C882" s="9">
        <f t="shared" si="55"/>
        <v>3</v>
      </c>
      <c r="D882">
        <f t="shared" si="56"/>
        <v>2014</v>
      </c>
      <c r="E882">
        <f t="shared" si="57"/>
        <v>1</v>
      </c>
      <c r="F882" t="s">
        <v>428</v>
      </c>
      <c r="G882" t="s">
        <v>409</v>
      </c>
      <c r="H882" t="s">
        <v>153</v>
      </c>
      <c r="J882">
        <v>43</v>
      </c>
      <c r="K882">
        <f t="shared" si="58"/>
        <v>43</v>
      </c>
      <c r="R882" t="s">
        <v>1348</v>
      </c>
    </row>
    <row r="883" spans="1:18" x14ac:dyDescent="0.25">
      <c r="A883" t="s">
        <v>341</v>
      </c>
      <c r="B883" s="4">
        <v>41711</v>
      </c>
      <c r="C883" s="9">
        <f t="shared" si="55"/>
        <v>3</v>
      </c>
      <c r="D883">
        <f t="shared" si="56"/>
        <v>2014</v>
      </c>
      <c r="E883">
        <f t="shared" si="57"/>
        <v>1</v>
      </c>
      <c r="F883" t="s">
        <v>428</v>
      </c>
      <c r="G883" t="s">
        <v>409</v>
      </c>
      <c r="H883" t="s">
        <v>244</v>
      </c>
      <c r="I883">
        <v>1</v>
      </c>
      <c r="J883">
        <v>2</v>
      </c>
      <c r="K883">
        <f t="shared" si="58"/>
        <v>62</v>
      </c>
      <c r="R883" t="s">
        <v>1348</v>
      </c>
    </row>
    <row r="884" spans="1:18" x14ac:dyDescent="0.25">
      <c r="A884" t="s">
        <v>341</v>
      </c>
      <c r="B884" s="4">
        <v>41712</v>
      </c>
      <c r="C884" s="9">
        <f t="shared" si="55"/>
        <v>3</v>
      </c>
      <c r="D884">
        <f t="shared" si="56"/>
        <v>2014</v>
      </c>
      <c r="E884">
        <f t="shared" si="57"/>
        <v>1</v>
      </c>
      <c r="F884" t="s">
        <v>428</v>
      </c>
      <c r="G884" t="s">
        <v>101</v>
      </c>
      <c r="H884" t="s">
        <v>153</v>
      </c>
      <c r="I884">
        <v>1</v>
      </c>
      <c r="J884">
        <v>22</v>
      </c>
      <c r="K884">
        <f t="shared" si="58"/>
        <v>82</v>
      </c>
      <c r="R884" t="s">
        <v>1348</v>
      </c>
    </row>
    <row r="885" spans="1:18" x14ac:dyDescent="0.25">
      <c r="A885" t="s">
        <v>341</v>
      </c>
      <c r="B885" s="4">
        <v>41715</v>
      </c>
      <c r="C885" s="9">
        <f t="shared" si="55"/>
        <v>3</v>
      </c>
      <c r="D885">
        <f t="shared" si="56"/>
        <v>2014</v>
      </c>
      <c r="E885">
        <f t="shared" si="57"/>
        <v>1</v>
      </c>
      <c r="F885" t="s">
        <v>428</v>
      </c>
      <c r="G885" t="s">
        <v>101</v>
      </c>
      <c r="H885" t="s">
        <v>153</v>
      </c>
      <c r="I885">
        <v>1</v>
      </c>
      <c r="J885">
        <v>43</v>
      </c>
      <c r="K885">
        <f t="shared" si="58"/>
        <v>103</v>
      </c>
      <c r="R885" t="s">
        <v>1348</v>
      </c>
    </row>
    <row r="886" spans="1:18" x14ac:dyDescent="0.25">
      <c r="A886" t="s">
        <v>341</v>
      </c>
      <c r="B886" s="4">
        <v>41728</v>
      </c>
      <c r="C886" s="9">
        <f t="shared" si="55"/>
        <v>3</v>
      </c>
      <c r="D886">
        <f t="shared" si="56"/>
        <v>2014</v>
      </c>
      <c r="E886">
        <f t="shared" si="57"/>
        <v>1</v>
      </c>
      <c r="F886" t="s">
        <v>428</v>
      </c>
      <c r="G886" t="s">
        <v>101</v>
      </c>
      <c r="H886" t="s">
        <v>244</v>
      </c>
      <c r="I886">
        <v>1</v>
      </c>
      <c r="J886">
        <v>8</v>
      </c>
      <c r="K886">
        <f t="shared" si="58"/>
        <v>68</v>
      </c>
      <c r="M886" t="s">
        <v>507</v>
      </c>
      <c r="R886" t="s">
        <v>1348</v>
      </c>
    </row>
    <row r="887" spans="1:18" x14ac:dyDescent="0.25">
      <c r="A887" t="s">
        <v>341</v>
      </c>
      <c r="B887" s="4">
        <v>41777</v>
      </c>
      <c r="C887" s="9">
        <f t="shared" si="55"/>
        <v>5</v>
      </c>
      <c r="D887">
        <f t="shared" si="56"/>
        <v>2014</v>
      </c>
      <c r="E887">
        <f t="shared" si="57"/>
        <v>1</v>
      </c>
      <c r="F887" t="s">
        <v>428</v>
      </c>
      <c r="G887" t="s">
        <v>101</v>
      </c>
      <c r="H887" t="s">
        <v>273</v>
      </c>
      <c r="J887">
        <v>17</v>
      </c>
      <c r="K887">
        <f t="shared" si="58"/>
        <v>17</v>
      </c>
      <c r="R887" t="s">
        <v>1348</v>
      </c>
    </row>
    <row r="888" spans="1:18" x14ac:dyDescent="0.25">
      <c r="A888" t="s">
        <v>341</v>
      </c>
      <c r="B888" s="4">
        <v>41789</v>
      </c>
      <c r="C888" s="9">
        <f t="shared" si="55"/>
        <v>5</v>
      </c>
      <c r="D888">
        <f t="shared" si="56"/>
        <v>2014</v>
      </c>
      <c r="E888">
        <f t="shared" si="57"/>
        <v>1</v>
      </c>
      <c r="F888" t="s">
        <v>428</v>
      </c>
      <c r="G888" t="s">
        <v>508</v>
      </c>
      <c r="H888" t="s">
        <v>508</v>
      </c>
      <c r="J888">
        <v>53</v>
      </c>
      <c r="K888">
        <f t="shared" si="58"/>
        <v>53</v>
      </c>
      <c r="L888" t="s">
        <v>509</v>
      </c>
      <c r="M888" t="s">
        <v>510</v>
      </c>
      <c r="R888" t="s">
        <v>1355</v>
      </c>
    </row>
    <row r="889" spans="1:18" x14ac:dyDescent="0.25">
      <c r="A889" t="s">
        <v>341</v>
      </c>
      <c r="B889" s="4">
        <v>41789</v>
      </c>
      <c r="C889" s="9">
        <f t="shared" si="55"/>
        <v>5</v>
      </c>
      <c r="D889">
        <f t="shared" si="56"/>
        <v>2014</v>
      </c>
      <c r="E889">
        <f t="shared" si="57"/>
        <v>0</v>
      </c>
      <c r="F889" t="s">
        <v>428</v>
      </c>
      <c r="G889" t="s">
        <v>508</v>
      </c>
      <c r="H889" t="s">
        <v>508</v>
      </c>
      <c r="J889">
        <v>30</v>
      </c>
      <c r="K889">
        <f t="shared" si="58"/>
        <v>30</v>
      </c>
      <c r="L889" t="s">
        <v>509</v>
      </c>
      <c r="R889" t="s">
        <v>1355</v>
      </c>
    </row>
    <row r="890" spans="1:18" x14ac:dyDescent="0.25">
      <c r="A890" t="s">
        <v>341</v>
      </c>
      <c r="B890" s="4">
        <v>41789</v>
      </c>
      <c r="C890" s="9">
        <f t="shared" si="55"/>
        <v>5</v>
      </c>
      <c r="D890">
        <f t="shared" si="56"/>
        <v>2014</v>
      </c>
      <c r="E890">
        <f t="shared" si="57"/>
        <v>0</v>
      </c>
      <c r="F890" t="s">
        <v>428</v>
      </c>
      <c r="G890" t="s">
        <v>508</v>
      </c>
      <c r="H890" t="s">
        <v>544</v>
      </c>
      <c r="J890">
        <v>37</v>
      </c>
      <c r="K890">
        <f t="shared" si="58"/>
        <v>37</v>
      </c>
      <c r="L890" t="s">
        <v>509</v>
      </c>
      <c r="R890" t="s">
        <v>1355</v>
      </c>
    </row>
    <row r="891" spans="1:18" x14ac:dyDescent="0.25">
      <c r="A891" t="s">
        <v>341</v>
      </c>
      <c r="B891" s="4">
        <v>41790</v>
      </c>
      <c r="C891" s="9">
        <f t="shared" si="55"/>
        <v>5</v>
      </c>
      <c r="D891">
        <f t="shared" si="56"/>
        <v>2014</v>
      </c>
      <c r="E891">
        <f t="shared" si="57"/>
        <v>1</v>
      </c>
      <c r="F891" t="s">
        <v>428</v>
      </c>
      <c r="G891" t="s">
        <v>511</v>
      </c>
      <c r="H891" t="s">
        <v>512</v>
      </c>
      <c r="I891">
        <v>1</v>
      </c>
      <c r="J891">
        <v>2</v>
      </c>
      <c r="K891">
        <f t="shared" si="58"/>
        <v>62</v>
      </c>
      <c r="L891" t="s">
        <v>509</v>
      </c>
      <c r="R891" t="s">
        <v>1354</v>
      </c>
    </row>
    <row r="892" spans="1:18" x14ac:dyDescent="0.25">
      <c r="A892" t="s">
        <v>341</v>
      </c>
      <c r="B892" s="4">
        <v>41790</v>
      </c>
      <c r="C892" s="9">
        <f t="shared" si="55"/>
        <v>5</v>
      </c>
      <c r="D892">
        <f t="shared" si="56"/>
        <v>2014</v>
      </c>
      <c r="E892">
        <f t="shared" si="57"/>
        <v>0</v>
      </c>
      <c r="F892" t="s">
        <v>428</v>
      </c>
      <c r="G892" t="s">
        <v>511</v>
      </c>
      <c r="H892" t="s">
        <v>512</v>
      </c>
      <c r="J892">
        <v>52</v>
      </c>
      <c r="K892">
        <f t="shared" si="58"/>
        <v>52</v>
      </c>
      <c r="L892" t="s">
        <v>509</v>
      </c>
      <c r="R892" t="s">
        <v>1354</v>
      </c>
    </row>
    <row r="893" spans="1:18" x14ac:dyDescent="0.25">
      <c r="A893" t="s">
        <v>341</v>
      </c>
      <c r="B893" s="4">
        <v>41791</v>
      </c>
      <c r="C893" s="9">
        <f t="shared" si="55"/>
        <v>6</v>
      </c>
      <c r="D893">
        <f t="shared" si="56"/>
        <v>2014</v>
      </c>
      <c r="E893">
        <f t="shared" si="57"/>
        <v>1</v>
      </c>
      <c r="F893" t="s">
        <v>428</v>
      </c>
      <c r="G893" t="s">
        <v>536</v>
      </c>
      <c r="H893" t="s">
        <v>536</v>
      </c>
      <c r="J893">
        <v>50</v>
      </c>
      <c r="K893">
        <f t="shared" si="58"/>
        <v>50</v>
      </c>
      <c r="L893" t="s">
        <v>509</v>
      </c>
      <c r="R893" t="s">
        <v>1355</v>
      </c>
    </row>
    <row r="894" spans="1:18" x14ac:dyDescent="0.25">
      <c r="A894" t="s">
        <v>341</v>
      </c>
      <c r="B894" s="4">
        <v>41791</v>
      </c>
      <c r="C894" s="9">
        <f t="shared" si="55"/>
        <v>6</v>
      </c>
      <c r="D894">
        <f t="shared" si="56"/>
        <v>2014</v>
      </c>
      <c r="E894">
        <f t="shared" si="57"/>
        <v>0</v>
      </c>
      <c r="F894" t="s">
        <v>428</v>
      </c>
      <c r="G894" t="s">
        <v>511</v>
      </c>
      <c r="H894" t="s">
        <v>513</v>
      </c>
      <c r="I894">
        <v>1</v>
      </c>
      <c r="J894">
        <v>26</v>
      </c>
      <c r="K894">
        <f t="shared" si="58"/>
        <v>86</v>
      </c>
      <c r="L894" t="s">
        <v>509</v>
      </c>
      <c r="R894" t="s">
        <v>1354</v>
      </c>
    </row>
    <row r="895" spans="1:18" x14ac:dyDescent="0.25">
      <c r="A895" t="s">
        <v>341</v>
      </c>
      <c r="B895" s="4">
        <v>41792</v>
      </c>
      <c r="C895" s="9">
        <f t="shared" si="55"/>
        <v>6</v>
      </c>
      <c r="D895">
        <f t="shared" si="56"/>
        <v>2014</v>
      </c>
      <c r="E895">
        <f t="shared" si="57"/>
        <v>1</v>
      </c>
      <c r="F895" t="s">
        <v>428</v>
      </c>
      <c r="G895" t="s">
        <v>536</v>
      </c>
      <c r="H895" t="s">
        <v>536</v>
      </c>
      <c r="J895">
        <v>20</v>
      </c>
      <c r="K895">
        <f t="shared" si="58"/>
        <v>20</v>
      </c>
      <c r="L895" t="s">
        <v>509</v>
      </c>
      <c r="R895" t="s">
        <v>1355</v>
      </c>
    </row>
    <row r="896" spans="1:18" x14ac:dyDescent="0.25">
      <c r="A896" t="s">
        <v>341</v>
      </c>
      <c r="B896" s="4">
        <v>41792</v>
      </c>
      <c r="C896" s="9">
        <f t="shared" si="55"/>
        <v>6</v>
      </c>
      <c r="D896">
        <f t="shared" si="56"/>
        <v>2014</v>
      </c>
      <c r="E896">
        <f t="shared" si="57"/>
        <v>0</v>
      </c>
      <c r="F896" t="s">
        <v>428</v>
      </c>
      <c r="G896" t="s">
        <v>511</v>
      </c>
      <c r="H896" t="s">
        <v>512</v>
      </c>
      <c r="J896">
        <v>28</v>
      </c>
      <c r="K896">
        <f t="shared" si="58"/>
        <v>28</v>
      </c>
      <c r="L896" t="s">
        <v>509</v>
      </c>
      <c r="R896" t="s">
        <v>1354</v>
      </c>
    </row>
    <row r="897" spans="1:18" x14ac:dyDescent="0.25">
      <c r="A897" t="s">
        <v>341</v>
      </c>
      <c r="B897" s="4">
        <v>41792</v>
      </c>
      <c r="C897" s="9">
        <f t="shared" si="55"/>
        <v>6</v>
      </c>
      <c r="D897">
        <f t="shared" si="56"/>
        <v>2014</v>
      </c>
      <c r="E897">
        <f t="shared" si="57"/>
        <v>0</v>
      </c>
      <c r="F897" t="s">
        <v>428</v>
      </c>
      <c r="G897" t="s">
        <v>511</v>
      </c>
      <c r="H897" t="s">
        <v>512</v>
      </c>
      <c r="J897">
        <v>14</v>
      </c>
      <c r="K897">
        <f t="shared" si="58"/>
        <v>14</v>
      </c>
      <c r="L897" t="s">
        <v>509</v>
      </c>
      <c r="R897" t="s">
        <v>1354</v>
      </c>
    </row>
    <row r="898" spans="1:18" x14ac:dyDescent="0.25">
      <c r="A898" t="s">
        <v>341</v>
      </c>
      <c r="B898" s="4">
        <v>41793</v>
      </c>
      <c r="C898" s="9">
        <f t="shared" si="55"/>
        <v>6</v>
      </c>
      <c r="D898">
        <f t="shared" si="56"/>
        <v>2014</v>
      </c>
      <c r="E898">
        <f t="shared" si="57"/>
        <v>1</v>
      </c>
      <c r="F898" t="s">
        <v>428</v>
      </c>
      <c r="G898" t="s">
        <v>508</v>
      </c>
      <c r="H898" t="s">
        <v>508</v>
      </c>
      <c r="J898">
        <v>56</v>
      </c>
      <c r="K898">
        <f t="shared" si="58"/>
        <v>56</v>
      </c>
      <c r="L898" t="s">
        <v>509</v>
      </c>
      <c r="R898" t="s">
        <v>1355</v>
      </c>
    </row>
    <row r="899" spans="1:18" x14ac:dyDescent="0.25">
      <c r="A899" t="s">
        <v>341</v>
      </c>
      <c r="B899" s="4">
        <v>41793</v>
      </c>
      <c r="C899" s="9">
        <f t="shared" ref="C899:C962" si="59">MONTH(B899)</f>
        <v>6</v>
      </c>
      <c r="D899">
        <f t="shared" si="56"/>
        <v>2014</v>
      </c>
      <c r="E899">
        <f t="shared" si="57"/>
        <v>0</v>
      </c>
      <c r="F899" t="s">
        <v>428</v>
      </c>
      <c r="G899" t="s">
        <v>508</v>
      </c>
      <c r="H899" t="s">
        <v>508</v>
      </c>
      <c r="I899">
        <v>1</v>
      </c>
      <c r="J899">
        <v>57</v>
      </c>
      <c r="K899">
        <f t="shared" si="58"/>
        <v>117</v>
      </c>
      <c r="L899" t="s">
        <v>509</v>
      </c>
      <c r="R899" t="s">
        <v>1355</v>
      </c>
    </row>
    <row r="900" spans="1:18" x14ac:dyDescent="0.25">
      <c r="A900" t="s">
        <v>341</v>
      </c>
      <c r="B900" s="4">
        <v>41794</v>
      </c>
      <c r="C900" s="9">
        <f t="shared" si="59"/>
        <v>6</v>
      </c>
      <c r="D900">
        <f t="shared" si="56"/>
        <v>2014</v>
      </c>
      <c r="E900">
        <f t="shared" si="57"/>
        <v>1</v>
      </c>
      <c r="F900" t="s">
        <v>428</v>
      </c>
      <c r="G900" t="s">
        <v>508</v>
      </c>
      <c r="H900" t="s">
        <v>508</v>
      </c>
      <c r="J900">
        <v>34</v>
      </c>
      <c r="K900">
        <f t="shared" si="58"/>
        <v>34</v>
      </c>
      <c r="L900" t="s">
        <v>509</v>
      </c>
      <c r="R900" t="s">
        <v>1355</v>
      </c>
    </row>
    <row r="901" spans="1:18" x14ac:dyDescent="0.25">
      <c r="A901" t="s">
        <v>341</v>
      </c>
      <c r="B901" s="4">
        <v>41794</v>
      </c>
      <c r="C901" s="9">
        <f t="shared" si="59"/>
        <v>6</v>
      </c>
      <c r="D901">
        <f t="shared" si="56"/>
        <v>2014</v>
      </c>
      <c r="E901">
        <f t="shared" si="57"/>
        <v>0</v>
      </c>
      <c r="F901" t="s">
        <v>428</v>
      </c>
      <c r="G901" t="s">
        <v>508</v>
      </c>
      <c r="H901" t="s">
        <v>508</v>
      </c>
      <c r="I901">
        <v>1</v>
      </c>
      <c r="J901">
        <v>9</v>
      </c>
      <c r="K901">
        <f t="shared" si="58"/>
        <v>69</v>
      </c>
      <c r="L901" t="s">
        <v>509</v>
      </c>
      <c r="R901" t="s">
        <v>1355</v>
      </c>
    </row>
    <row r="902" spans="1:18" x14ac:dyDescent="0.25">
      <c r="A902" t="s">
        <v>341</v>
      </c>
      <c r="B902" s="4">
        <v>41795</v>
      </c>
      <c r="C902" s="9">
        <f t="shared" si="59"/>
        <v>6</v>
      </c>
      <c r="D902">
        <f t="shared" si="56"/>
        <v>2014</v>
      </c>
      <c r="E902">
        <f t="shared" si="57"/>
        <v>1</v>
      </c>
      <c r="F902" t="s">
        <v>428</v>
      </c>
      <c r="G902" t="s">
        <v>514</v>
      </c>
      <c r="H902" t="s">
        <v>515</v>
      </c>
      <c r="J902">
        <v>28</v>
      </c>
      <c r="K902">
        <f t="shared" si="58"/>
        <v>28</v>
      </c>
      <c r="L902" t="s">
        <v>509</v>
      </c>
      <c r="R902" t="s">
        <v>1355</v>
      </c>
    </row>
    <row r="903" spans="1:18" x14ac:dyDescent="0.25">
      <c r="A903" t="s">
        <v>341</v>
      </c>
      <c r="B903" s="4">
        <v>41798</v>
      </c>
      <c r="C903" s="9">
        <f t="shared" si="59"/>
        <v>6</v>
      </c>
      <c r="D903">
        <f t="shared" si="56"/>
        <v>2014</v>
      </c>
      <c r="E903">
        <f t="shared" si="57"/>
        <v>1</v>
      </c>
      <c r="F903" t="s">
        <v>516</v>
      </c>
      <c r="G903" t="s">
        <v>406</v>
      </c>
      <c r="H903" t="s">
        <v>153</v>
      </c>
      <c r="I903">
        <v>1</v>
      </c>
      <c r="J903">
        <v>25</v>
      </c>
      <c r="K903">
        <f t="shared" si="58"/>
        <v>85</v>
      </c>
      <c r="M903" t="s">
        <v>458</v>
      </c>
      <c r="R903" t="s">
        <v>1348</v>
      </c>
    </row>
    <row r="904" spans="1:18" x14ac:dyDescent="0.25">
      <c r="A904" t="s">
        <v>341</v>
      </c>
      <c r="B904" s="4">
        <v>41799</v>
      </c>
      <c r="C904" s="9">
        <f t="shared" si="59"/>
        <v>6</v>
      </c>
      <c r="D904">
        <f t="shared" si="56"/>
        <v>2014</v>
      </c>
      <c r="E904">
        <f t="shared" si="57"/>
        <v>1</v>
      </c>
      <c r="F904" t="s">
        <v>516</v>
      </c>
      <c r="G904" t="s">
        <v>101</v>
      </c>
      <c r="H904" t="s">
        <v>153</v>
      </c>
      <c r="I904">
        <v>1</v>
      </c>
      <c r="J904">
        <v>37</v>
      </c>
      <c r="K904">
        <f t="shared" si="58"/>
        <v>97</v>
      </c>
      <c r="R904" t="s">
        <v>1348</v>
      </c>
    </row>
    <row r="905" spans="1:18" x14ac:dyDescent="0.25">
      <c r="A905" t="s">
        <v>341</v>
      </c>
      <c r="B905" s="4">
        <v>41811</v>
      </c>
      <c r="C905" s="9">
        <f t="shared" si="59"/>
        <v>6</v>
      </c>
      <c r="D905">
        <f t="shared" si="56"/>
        <v>2014</v>
      </c>
      <c r="E905">
        <f t="shared" si="57"/>
        <v>1</v>
      </c>
      <c r="F905" t="s">
        <v>516</v>
      </c>
      <c r="G905" t="s">
        <v>101</v>
      </c>
      <c r="H905" t="s">
        <v>273</v>
      </c>
      <c r="J905">
        <v>52</v>
      </c>
      <c r="K905">
        <f t="shared" si="58"/>
        <v>52</v>
      </c>
      <c r="R905" t="s">
        <v>1348</v>
      </c>
    </row>
    <row r="906" spans="1:18" x14ac:dyDescent="0.25">
      <c r="A906" t="s">
        <v>341</v>
      </c>
      <c r="B906" s="4">
        <v>41812</v>
      </c>
      <c r="C906" s="9">
        <f t="shared" si="59"/>
        <v>6</v>
      </c>
      <c r="D906">
        <f t="shared" si="56"/>
        <v>2014</v>
      </c>
      <c r="E906">
        <f t="shared" si="57"/>
        <v>1</v>
      </c>
      <c r="F906" t="s">
        <v>516</v>
      </c>
      <c r="G906" t="s">
        <v>101</v>
      </c>
      <c r="H906" t="s">
        <v>244</v>
      </c>
      <c r="J906">
        <v>46</v>
      </c>
      <c r="K906">
        <f t="shared" si="58"/>
        <v>46</v>
      </c>
      <c r="R906" t="s">
        <v>1348</v>
      </c>
    </row>
    <row r="907" spans="1:18" x14ac:dyDescent="0.25">
      <c r="A907" t="s">
        <v>341</v>
      </c>
      <c r="B907" s="4">
        <v>41836</v>
      </c>
      <c r="C907" s="9">
        <f t="shared" si="59"/>
        <v>7</v>
      </c>
      <c r="D907">
        <f t="shared" si="56"/>
        <v>2014</v>
      </c>
      <c r="E907">
        <f t="shared" si="57"/>
        <v>1</v>
      </c>
      <c r="F907" t="s">
        <v>516</v>
      </c>
      <c r="G907" t="s">
        <v>406</v>
      </c>
      <c r="H907" t="s">
        <v>273</v>
      </c>
      <c r="I907">
        <v>1</v>
      </c>
      <c r="J907">
        <v>20</v>
      </c>
      <c r="K907">
        <f t="shared" si="58"/>
        <v>80</v>
      </c>
      <c r="R907" t="s">
        <v>1348</v>
      </c>
    </row>
    <row r="908" spans="1:18" x14ac:dyDescent="0.25">
      <c r="A908" t="s">
        <v>341</v>
      </c>
      <c r="B908" s="4">
        <v>41838</v>
      </c>
      <c r="C908" s="9">
        <f t="shared" si="59"/>
        <v>7</v>
      </c>
      <c r="D908">
        <f t="shared" si="56"/>
        <v>2014</v>
      </c>
      <c r="E908">
        <f t="shared" si="57"/>
        <v>1</v>
      </c>
      <c r="F908" t="s">
        <v>516</v>
      </c>
      <c r="G908" t="s">
        <v>101</v>
      </c>
      <c r="H908" t="s">
        <v>273</v>
      </c>
      <c r="I908">
        <v>1</v>
      </c>
      <c r="J908">
        <v>6</v>
      </c>
      <c r="K908">
        <f t="shared" si="58"/>
        <v>66</v>
      </c>
      <c r="R908" t="s">
        <v>1348</v>
      </c>
    </row>
    <row r="909" spans="1:18" x14ac:dyDescent="0.25">
      <c r="A909" t="s">
        <v>341</v>
      </c>
      <c r="B909" s="4">
        <v>41839</v>
      </c>
      <c r="C909" s="9">
        <f t="shared" si="59"/>
        <v>7</v>
      </c>
      <c r="D909">
        <f t="shared" si="56"/>
        <v>2014</v>
      </c>
      <c r="E909">
        <f t="shared" si="57"/>
        <v>1</v>
      </c>
      <c r="F909" t="s">
        <v>516</v>
      </c>
      <c r="G909" t="s">
        <v>406</v>
      </c>
      <c r="H909" t="s">
        <v>273</v>
      </c>
      <c r="J909">
        <v>44</v>
      </c>
      <c r="K909">
        <f t="shared" si="58"/>
        <v>44</v>
      </c>
      <c r="R909" t="s">
        <v>1348</v>
      </c>
    </row>
    <row r="910" spans="1:18" x14ac:dyDescent="0.25">
      <c r="A910" t="s">
        <v>341</v>
      </c>
      <c r="B910" s="4">
        <v>41852</v>
      </c>
      <c r="C910" s="9">
        <f t="shared" si="59"/>
        <v>8</v>
      </c>
      <c r="D910">
        <f t="shared" si="56"/>
        <v>2014</v>
      </c>
      <c r="E910">
        <f t="shared" si="57"/>
        <v>1</v>
      </c>
      <c r="F910" t="s">
        <v>516</v>
      </c>
      <c r="G910" t="s">
        <v>517</v>
      </c>
      <c r="H910" t="s">
        <v>273</v>
      </c>
      <c r="J910">
        <v>30</v>
      </c>
      <c r="K910">
        <f t="shared" si="58"/>
        <v>30</v>
      </c>
      <c r="R910" t="s">
        <v>1348</v>
      </c>
    </row>
    <row r="911" spans="1:18" x14ac:dyDescent="0.25">
      <c r="A911" t="s">
        <v>341</v>
      </c>
      <c r="B911" s="4">
        <v>41859</v>
      </c>
      <c r="C911" s="9">
        <f t="shared" si="59"/>
        <v>8</v>
      </c>
      <c r="D911">
        <f t="shared" si="56"/>
        <v>2014</v>
      </c>
      <c r="E911">
        <f t="shared" si="57"/>
        <v>1</v>
      </c>
      <c r="F911" t="s">
        <v>516</v>
      </c>
      <c r="G911" t="s">
        <v>101</v>
      </c>
      <c r="H911" t="s">
        <v>273</v>
      </c>
      <c r="J911">
        <v>43</v>
      </c>
      <c r="K911">
        <f t="shared" si="58"/>
        <v>43</v>
      </c>
      <c r="R911" t="s">
        <v>1348</v>
      </c>
    </row>
    <row r="912" spans="1:18" x14ac:dyDescent="0.25">
      <c r="A912" t="s">
        <v>341</v>
      </c>
      <c r="B912" s="4">
        <v>41860</v>
      </c>
      <c r="C912" s="9">
        <f t="shared" si="59"/>
        <v>8</v>
      </c>
      <c r="D912">
        <f t="shared" si="56"/>
        <v>2014</v>
      </c>
      <c r="E912">
        <f t="shared" si="57"/>
        <v>1</v>
      </c>
      <c r="F912" t="s">
        <v>474</v>
      </c>
      <c r="G912" t="s">
        <v>373</v>
      </c>
      <c r="H912" t="s">
        <v>273</v>
      </c>
      <c r="J912">
        <v>15</v>
      </c>
      <c r="K912">
        <f t="shared" si="58"/>
        <v>15</v>
      </c>
      <c r="R912" t="s">
        <v>1348</v>
      </c>
    </row>
    <row r="913" spans="1:18" x14ac:dyDescent="0.25">
      <c r="A913" t="s">
        <v>341</v>
      </c>
      <c r="B913" s="4">
        <v>41872</v>
      </c>
      <c r="C913" s="9">
        <f t="shared" si="59"/>
        <v>8</v>
      </c>
      <c r="D913">
        <f t="shared" si="56"/>
        <v>2014</v>
      </c>
      <c r="E913">
        <f t="shared" si="57"/>
        <v>1</v>
      </c>
      <c r="F913" t="s">
        <v>516</v>
      </c>
      <c r="G913" t="s">
        <v>101</v>
      </c>
      <c r="H913" t="s">
        <v>244</v>
      </c>
      <c r="J913">
        <v>29</v>
      </c>
      <c r="K913">
        <f t="shared" si="58"/>
        <v>29</v>
      </c>
      <c r="R913" t="s">
        <v>1348</v>
      </c>
    </row>
    <row r="914" spans="1:18" x14ac:dyDescent="0.25">
      <c r="A914" t="s">
        <v>341</v>
      </c>
      <c r="B914" s="4">
        <v>41881</v>
      </c>
      <c r="C914" s="9">
        <f t="shared" si="59"/>
        <v>8</v>
      </c>
      <c r="D914">
        <f t="shared" ref="D914:D978" si="60">YEAR(B914)</f>
        <v>2014</v>
      </c>
      <c r="E914">
        <f t="shared" ref="E914:E978" si="61">IF(OR(A914 = "GS",A914 = "BP"),IF( OR(A913="GS",A913="BP"),IF(B913=B914,0,1),1),0)</f>
        <v>1</v>
      </c>
      <c r="F914" t="s">
        <v>516</v>
      </c>
      <c r="G914" t="s">
        <v>373</v>
      </c>
      <c r="H914" t="s">
        <v>273</v>
      </c>
      <c r="J914">
        <v>24</v>
      </c>
      <c r="K914">
        <f t="shared" ref="K914:K978" si="62">I914*60+J914</f>
        <v>24</v>
      </c>
      <c r="R914" t="s">
        <v>1348</v>
      </c>
    </row>
    <row r="915" spans="1:18" x14ac:dyDescent="0.25">
      <c r="A915" t="s">
        <v>341</v>
      </c>
      <c r="B915" s="4">
        <v>41888</v>
      </c>
      <c r="C915" s="9">
        <f t="shared" si="59"/>
        <v>9</v>
      </c>
      <c r="D915">
        <f t="shared" si="60"/>
        <v>2014</v>
      </c>
      <c r="E915">
        <f t="shared" si="61"/>
        <v>1</v>
      </c>
      <c r="F915" t="s">
        <v>516</v>
      </c>
      <c r="G915" t="s">
        <v>1008</v>
      </c>
      <c r="H915" t="s">
        <v>360</v>
      </c>
      <c r="J915">
        <v>19</v>
      </c>
      <c r="K915">
        <f t="shared" si="62"/>
        <v>19</v>
      </c>
      <c r="L915" t="s">
        <v>239</v>
      </c>
      <c r="M915" t="s">
        <v>522</v>
      </c>
      <c r="R915" t="s">
        <v>1349</v>
      </c>
    </row>
    <row r="916" spans="1:18" x14ac:dyDescent="0.25">
      <c r="A916" t="s">
        <v>341</v>
      </c>
      <c r="B916" s="4">
        <v>41889</v>
      </c>
      <c r="C916" s="9">
        <f t="shared" si="59"/>
        <v>9</v>
      </c>
      <c r="D916">
        <f t="shared" si="60"/>
        <v>2014</v>
      </c>
      <c r="E916">
        <f t="shared" si="61"/>
        <v>1</v>
      </c>
      <c r="F916" t="s">
        <v>516</v>
      </c>
      <c r="G916" t="s">
        <v>518</v>
      </c>
      <c r="H916" t="s">
        <v>519</v>
      </c>
      <c r="J916">
        <v>33</v>
      </c>
      <c r="K916">
        <f t="shared" si="62"/>
        <v>33</v>
      </c>
      <c r="L916" t="s">
        <v>239</v>
      </c>
      <c r="R916" t="s">
        <v>1349</v>
      </c>
    </row>
    <row r="917" spans="1:18" x14ac:dyDescent="0.25">
      <c r="A917" t="s">
        <v>341</v>
      </c>
      <c r="B917" s="4">
        <v>41889</v>
      </c>
      <c r="C917" s="9">
        <f t="shared" si="59"/>
        <v>9</v>
      </c>
      <c r="D917">
        <f t="shared" si="60"/>
        <v>2014</v>
      </c>
      <c r="E917">
        <f t="shared" si="61"/>
        <v>0</v>
      </c>
      <c r="F917" t="s">
        <v>516</v>
      </c>
      <c r="G917" t="s">
        <v>520</v>
      </c>
      <c r="H917" t="s">
        <v>519</v>
      </c>
      <c r="J917">
        <v>23</v>
      </c>
      <c r="K917">
        <f t="shared" si="62"/>
        <v>23</v>
      </c>
      <c r="L917" t="s">
        <v>239</v>
      </c>
      <c r="R917" t="s">
        <v>1349</v>
      </c>
    </row>
    <row r="918" spans="1:18" x14ac:dyDescent="0.25">
      <c r="A918" t="s">
        <v>341</v>
      </c>
      <c r="B918" s="4">
        <v>41889</v>
      </c>
      <c r="C918" s="9">
        <f t="shared" si="59"/>
        <v>9</v>
      </c>
      <c r="D918">
        <f t="shared" si="60"/>
        <v>2014</v>
      </c>
      <c r="E918">
        <f t="shared" si="61"/>
        <v>0</v>
      </c>
      <c r="F918" t="s">
        <v>516</v>
      </c>
      <c r="G918" t="s">
        <v>520</v>
      </c>
      <c r="H918" t="s">
        <v>519</v>
      </c>
      <c r="J918">
        <v>16</v>
      </c>
      <c r="K918">
        <f t="shared" si="62"/>
        <v>16</v>
      </c>
      <c r="L918" t="s">
        <v>239</v>
      </c>
      <c r="R918" t="s">
        <v>1349</v>
      </c>
    </row>
    <row r="919" spans="1:18" x14ac:dyDescent="0.25">
      <c r="A919" t="s">
        <v>341</v>
      </c>
      <c r="B919" s="4">
        <v>41890</v>
      </c>
      <c r="C919" s="9">
        <f t="shared" si="59"/>
        <v>9</v>
      </c>
      <c r="D919">
        <f t="shared" si="60"/>
        <v>2014</v>
      </c>
      <c r="E919">
        <f t="shared" si="61"/>
        <v>1</v>
      </c>
      <c r="F919" t="s">
        <v>516</v>
      </c>
      <c r="G919" t="s">
        <v>237</v>
      </c>
      <c r="H919" t="s">
        <v>238</v>
      </c>
      <c r="I919">
        <v>1</v>
      </c>
      <c r="J919">
        <v>37</v>
      </c>
      <c r="K919">
        <f t="shared" si="62"/>
        <v>97</v>
      </c>
      <c r="L919" t="s">
        <v>239</v>
      </c>
      <c r="R919" t="s">
        <v>1349</v>
      </c>
    </row>
    <row r="920" spans="1:18" x14ac:dyDescent="0.25">
      <c r="A920" t="s">
        <v>341</v>
      </c>
      <c r="B920" s="4">
        <v>41890</v>
      </c>
      <c r="C920" s="9">
        <f t="shared" si="59"/>
        <v>9</v>
      </c>
      <c r="D920">
        <f t="shared" si="60"/>
        <v>2014</v>
      </c>
      <c r="E920">
        <f t="shared" si="61"/>
        <v>0</v>
      </c>
      <c r="F920" t="s">
        <v>516</v>
      </c>
      <c r="G920" t="s">
        <v>249</v>
      </c>
      <c r="H920" t="s">
        <v>521</v>
      </c>
      <c r="J920">
        <v>24</v>
      </c>
      <c r="K920">
        <f t="shared" si="62"/>
        <v>24</v>
      </c>
      <c r="L920" t="s">
        <v>239</v>
      </c>
      <c r="R920" t="s">
        <v>1349</v>
      </c>
    </row>
    <row r="921" spans="1:18" x14ac:dyDescent="0.25">
      <c r="A921" t="s">
        <v>341</v>
      </c>
      <c r="B921" s="4">
        <v>41891</v>
      </c>
      <c r="C921" s="9">
        <f t="shared" si="59"/>
        <v>9</v>
      </c>
      <c r="D921">
        <f t="shared" si="60"/>
        <v>2014</v>
      </c>
      <c r="E921">
        <f t="shared" si="61"/>
        <v>1</v>
      </c>
      <c r="F921" t="s">
        <v>516</v>
      </c>
      <c r="G921" t="s">
        <v>237</v>
      </c>
      <c r="H921" t="s">
        <v>238</v>
      </c>
      <c r="J921">
        <v>48</v>
      </c>
      <c r="K921">
        <f t="shared" si="62"/>
        <v>48</v>
      </c>
      <c r="L921" t="s">
        <v>239</v>
      </c>
      <c r="R921" t="s">
        <v>1349</v>
      </c>
    </row>
    <row r="922" spans="1:18" x14ac:dyDescent="0.25">
      <c r="A922" t="s">
        <v>341</v>
      </c>
      <c r="B922" s="4">
        <v>41892</v>
      </c>
      <c r="C922" s="9">
        <f t="shared" si="59"/>
        <v>9</v>
      </c>
      <c r="D922">
        <f t="shared" si="60"/>
        <v>2014</v>
      </c>
      <c r="E922">
        <f t="shared" si="61"/>
        <v>1</v>
      </c>
      <c r="F922" t="s">
        <v>516</v>
      </c>
      <c r="G922" t="s">
        <v>237</v>
      </c>
      <c r="H922" t="s">
        <v>238</v>
      </c>
      <c r="I922">
        <v>1</v>
      </c>
      <c r="J922">
        <v>8</v>
      </c>
      <c r="K922">
        <f t="shared" si="62"/>
        <v>68</v>
      </c>
      <c r="L922" t="s">
        <v>239</v>
      </c>
      <c r="R922" t="s">
        <v>1349</v>
      </c>
    </row>
    <row r="923" spans="1:18" x14ac:dyDescent="0.25">
      <c r="A923" t="s">
        <v>341</v>
      </c>
      <c r="B923" s="4">
        <v>41893</v>
      </c>
      <c r="C923" s="9">
        <f t="shared" si="59"/>
        <v>9</v>
      </c>
      <c r="D923">
        <f t="shared" si="60"/>
        <v>2014</v>
      </c>
      <c r="E923">
        <f t="shared" si="61"/>
        <v>1</v>
      </c>
      <c r="F923" t="s">
        <v>516</v>
      </c>
      <c r="G923" t="s">
        <v>237</v>
      </c>
      <c r="H923" t="s">
        <v>238</v>
      </c>
      <c r="J923">
        <v>20</v>
      </c>
      <c r="K923">
        <f t="shared" si="62"/>
        <v>20</v>
      </c>
      <c r="L923" t="s">
        <v>239</v>
      </c>
      <c r="R923" t="s">
        <v>1349</v>
      </c>
    </row>
    <row r="924" spans="1:18" x14ac:dyDescent="0.25">
      <c r="A924" t="s">
        <v>341</v>
      </c>
      <c r="B924" s="4">
        <v>41896</v>
      </c>
      <c r="C924" s="9">
        <f t="shared" si="59"/>
        <v>9</v>
      </c>
      <c r="D924">
        <f t="shared" si="60"/>
        <v>2014</v>
      </c>
      <c r="E924">
        <f t="shared" si="61"/>
        <v>1</v>
      </c>
      <c r="F924" t="s">
        <v>516</v>
      </c>
      <c r="G924" t="s">
        <v>101</v>
      </c>
      <c r="H924" t="s">
        <v>273</v>
      </c>
      <c r="I924">
        <v>1</v>
      </c>
      <c r="K924">
        <f t="shared" si="62"/>
        <v>60</v>
      </c>
      <c r="R924" t="s">
        <v>1348</v>
      </c>
    </row>
    <row r="925" spans="1:18" x14ac:dyDescent="0.25">
      <c r="A925" t="s">
        <v>341</v>
      </c>
      <c r="B925" s="4">
        <v>41908</v>
      </c>
      <c r="C925" s="9">
        <f t="shared" si="59"/>
        <v>9</v>
      </c>
      <c r="D925">
        <f t="shared" si="60"/>
        <v>2014</v>
      </c>
      <c r="E925">
        <f t="shared" si="61"/>
        <v>1</v>
      </c>
      <c r="F925" t="s">
        <v>516</v>
      </c>
      <c r="G925" t="s">
        <v>101</v>
      </c>
      <c r="H925" t="s">
        <v>244</v>
      </c>
      <c r="J925">
        <v>20</v>
      </c>
      <c r="K925">
        <f t="shared" si="62"/>
        <v>20</v>
      </c>
      <c r="R925" t="s">
        <v>1348</v>
      </c>
    </row>
    <row r="926" spans="1:18" x14ac:dyDescent="0.25">
      <c r="A926" t="s">
        <v>341</v>
      </c>
      <c r="B926" s="4">
        <v>41909</v>
      </c>
      <c r="C926" s="9">
        <f t="shared" si="59"/>
        <v>9</v>
      </c>
      <c r="D926">
        <f t="shared" si="60"/>
        <v>2014</v>
      </c>
      <c r="E926">
        <f t="shared" si="61"/>
        <v>1</v>
      </c>
      <c r="F926" t="s">
        <v>516</v>
      </c>
      <c r="G926" t="s">
        <v>406</v>
      </c>
      <c r="H926" t="s">
        <v>273</v>
      </c>
      <c r="I926">
        <v>3</v>
      </c>
      <c r="K926">
        <f t="shared" si="62"/>
        <v>180</v>
      </c>
      <c r="M926" t="s">
        <v>523</v>
      </c>
      <c r="R926" t="s">
        <v>1348</v>
      </c>
    </row>
    <row r="927" spans="1:18" x14ac:dyDescent="0.25">
      <c r="A927" t="s">
        <v>341</v>
      </c>
      <c r="B927" s="4">
        <v>41915</v>
      </c>
      <c r="C927" s="9">
        <f t="shared" si="59"/>
        <v>10</v>
      </c>
      <c r="D927">
        <f t="shared" si="60"/>
        <v>2014</v>
      </c>
      <c r="E927">
        <f t="shared" si="61"/>
        <v>1</v>
      </c>
      <c r="F927" t="s">
        <v>516</v>
      </c>
      <c r="G927" t="s">
        <v>101</v>
      </c>
      <c r="H927" t="s">
        <v>153</v>
      </c>
      <c r="I927">
        <v>1</v>
      </c>
      <c r="J927">
        <v>26</v>
      </c>
      <c r="K927">
        <f t="shared" si="62"/>
        <v>86</v>
      </c>
      <c r="R927" t="s">
        <v>1348</v>
      </c>
    </row>
    <row r="928" spans="1:18" x14ac:dyDescent="0.25">
      <c r="A928" t="s">
        <v>341</v>
      </c>
      <c r="B928" s="4">
        <v>41916</v>
      </c>
      <c r="C928" s="9">
        <f t="shared" si="59"/>
        <v>10</v>
      </c>
      <c r="D928">
        <f t="shared" si="60"/>
        <v>2014</v>
      </c>
      <c r="E928">
        <f t="shared" si="61"/>
        <v>1</v>
      </c>
      <c r="F928" t="s">
        <v>516</v>
      </c>
      <c r="G928" t="s">
        <v>101</v>
      </c>
      <c r="H928" t="s">
        <v>153</v>
      </c>
      <c r="I928">
        <v>1</v>
      </c>
      <c r="J928">
        <v>8</v>
      </c>
      <c r="K928">
        <f t="shared" si="62"/>
        <v>68</v>
      </c>
      <c r="M928" t="s">
        <v>478</v>
      </c>
      <c r="R928" t="s">
        <v>1348</v>
      </c>
    </row>
    <row r="929" spans="1:19" x14ac:dyDescent="0.25">
      <c r="A929" t="s">
        <v>341</v>
      </c>
      <c r="B929" s="4">
        <v>41930</v>
      </c>
      <c r="C929" s="9">
        <f t="shared" si="59"/>
        <v>10</v>
      </c>
      <c r="D929">
        <f t="shared" si="60"/>
        <v>2014</v>
      </c>
      <c r="E929">
        <v>1</v>
      </c>
      <c r="F929" t="s">
        <v>516</v>
      </c>
      <c r="G929" t="s">
        <v>406</v>
      </c>
      <c r="H929" t="s">
        <v>273</v>
      </c>
      <c r="J929">
        <v>32</v>
      </c>
      <c r="K929">
        <f t="shared" si="62"/>
        <v>32</v>
      </c>
      <c r="L929" t="s">
        <v>335</v>
      </c>
      <c r="R929" t="s">
        <v>1348</v>
      </c>
      <c r="S929" t="s">
        <v>1367</v>
      </c>
    </row>
    <row r="930" spans="1:19" x14ac:dyDescent="0.25">
      <c r="A930" t="s">
        <v>341</v>
      </c>
      <c r="B930" s="4">
        <v>41930</v>
      </c>
      <c r="C930" s="9">
        <f t="shared" si="59"/>
        <v>10</v>
      </c>
      <c r="D930">
        <f t="shared" si="60"/>
        <v>2014</v>
      </c>
      <c r="E930">
        <f t="shared" si="61"/>
        <v>0</v>
      </c>
      <c r="F930" t="s">
        <v>516</v>
      </c>
      <c r="G930" t="s">
        <v>524</v>
      </c>
      <c r="H930" t="s">
        <v>525</v>
      </c>
      <c r="J930">
        <v>17</v>
      </c>
      <c r="K930">
        <f t="shared" si="62"/>
        <v>17</v>
      </c>
      <c r="L930" t="s">
        <v>335</v>
      </c>
      <c r="M930" t="s">
        <v>526</v>
      </c>
      <c r="R930" t="s">
        <v>1348</v>
      </c>
      <c r="S930" t="s">
        <v>1367</v>
      </c>
    </row>
    <row r="931" spans="1:19" x14ac:dyDescent="0.25">
      <c r="A931" t="s">
        <v>341</v>
      </c>
      <c r="B931" s="4">
        <v>41930</v>
      </c>
      <c r="C931" s="9">
        <f t="shared" si="59"/>
        <v>10</v>
      </c>
      <c r="D931">
        <f t="shared" si="60"/>
        <v>2014</v>
      </c>
      <c r="E931">
        <f t="shared" si="61"/>
        <v>0</v>
      </c>
      <c r="F931" t="s">
        <v>516</v>
      </c>
      <c r="G931" t="s">
        <v>527</v>
      </c>
      <c r="H931" t="s">
        <v>273</v>
      </c>
      <c r="J931">
        <v>36</v>
      </c>
      <c r="K931">
        <f t="shared" si="62"/>
        <v>36</v>
      </c>
      <c r="L931" t="s">
        <v>335</v>
      </c>
      <c r="R931" t="s">
        <v>1348</v>
      </c>
      <c r="S931" t="s">
        <v>1367</v>
      </c>
    </row>
    <row r="932" spans="1:19" x14ac:dyDescent="0.25">
      <c r="A932" t="s">
        <v>341</v>
      </c>
      <c r="B932" s="4">
        <v>41931</v>
      </c>
      <c r="C932" s="9">
        <f t="shared" si="59"/>
        <v>10</v>
      </c>
      <c r="D932">
        <f t="shared" si="60"/>
        <v>2014</v>
      </c>
      <c r="E932">
        <v>1</v>
      </c>
      <c r="F932" t="s">
        <v>516</v>
      </c>
      <c r="G932" t="s">
        <v>524</v>
      </c>
      <c r="H932" t="s">
        <v>273</v>
      </c>
      <c r="J932">
        <v>38</v>
      </c>
      <c r="K932">
        <f t="shared" si="62"/>
        <v>38</v>
      </c>
      <c r="L932" t="s">
        <v>335</v>
      </c>
      <c r="R932" t="s">
        <v>1348</v>
      </c>
      <c r="S932" t="s">
        <v>1367</v>
      </c>
    </row>
    <row r="933" spans="1:19" x14ac:dyDescent="0.25">
      <c r="A933" t="s">
        <v>341</v>
      </c>
      <c r="B933" s="4">
        <v>41938</v>
      </c>
      <c r="C933" s="9">
        <f t="shared" si="59"/>
        <v>10</v>
      </c>
      <c r="D933">
        <f t="shared" si="60"/>
        <v>2014</v>
      </c>
      <c r="E933">
        <f t="shared" si="61"/>
        <v>1</v>
      </c>
      <c r="F933" t="s">
        <v>428</v>
      </c>
      <c r="G933" t="s">
        <v>528</v>
      </c>
      <c r="H933" t="s">
        <v>529</v>
      </c>
      <c r="J933">
        <v>50</v>
      </c>
      <c r="K933">
        <f t="shared" si="62"/>
        <v>50</v>
      </c>
      <c r="L933" t="s">
        <v>531</v>
      </c>
      <c r="R933" t="s">
        <v>1356</v>
      </c>
    </row>
    <row r="934" spans="1:19" x14ac:dyDescent="0.25">
      <c r="A934" t="s">
        <v>341</v>
      </c>
      <c r="B934" s="4">
        <v>41939</v>
      </c>
      <c r="C934" s="9">
        <f t="shared" si="59"/>
        <v>10</v>
      </c>
      <c r="D934">
        <f t="shared" si="60"/>
        <v>2014</v>
      </c>
      <c r="E934">
        <f t="shared" si="61"/>
        <v>1</v>
      </c>
      <c r="F934" t="s">
        <v>428</v>
      </c>
      <c r="G934" t="s">
        <v>528</v>
      </c>
      <c r="H934" t="s">
        <v>529</v>
      </c>
      <c r="J934">
        <v>23</v>
      </c>
      <c r="K934">
        <f t="shared" si="62"/>
        <v>23</v>
      </c>
      <c r="L934" t="s">
        <v>531</v>
      </c>
      <c r="R934" t="s">
        <v>1356</v>
      </c>
    </row>
    <row r="935" spans="1:19" x14ac:dyDescent="0.25">
      <c r="A935" t="s">
        <v>341</v>
      </c>
      <c r="B935" s="4">
        <v>41939</v>
      </c>
      <c r="C935" s="9">
        <f t="shared" si="59"/>
        <v>10</v>
      </c>
      <c r="D935">
        <f t="shared" si="60"/>
        <v>2014</v>
      </c>
      <c r="E935">
        <f t="shared" si="61"/>
        <v>0</v>
      </c>
      <c r="F935" t="s">
        <v>428</v>
      </c>
      <c r="G935" t="s">
        <v>528</v>
      </c>
      <c r="H935" t="s">
        <v>529</v>
      </c>
      <c r="I935">
        <v>1</v>
      </c>
      <c r="J935">
        <v>43</v>
      </c>
      <c r="K935">
        <f t="shared" si="62"/>
        <v>103</v>
      </c>
      <c r="L935" t="s">
        <v>531</v>
      </c>
      <c r="R935" t="s">
        <v>1356</v>
      </c>
    </row>
    <row r="936" spans="1:19" x14ac:dyDescent="0.25">
      <c r="A936" t="s">
        <v>341</v>
      </c>
      <c r="B936" s="4">
        <v>41940</v>
      </c>
      <c r="C936" s="9">
        <f t="shared" si="59"/>
        <v>10</v>
      </c>
      <c r="D936">
        <f t="shared" si="60"/>
        <v>2014</v>
      </c>
      <c r="E936">
        <f t="shared" si="61"/>
        <v>1</v>
      </c>
      <c r="F936" t="s">
        <v>428</v>
      </c>
      <c r="G936" t="s">
        <v>528</v>
      </c>
      <c r="H936" t="s">
        <v>529</v>
      </c>
      <c r="J936">
        <v>35</v>
      </c>
      <c r="K936">
        <f t="shared" si="62"/>
        <v>35</v>
      </c>
      <c r="L936" t="s">
        <v>531</v>
      </c>
      <c r="R936" t="s">
        <v>1356</v>
      </c>
    </row>
    <row r="937" spans="1:19" x14ac:dyDescent="0.25">
      <c r="A937" t="s">
        <v>341</v>
      </c>
      <c r="B937" s="4">
        <v>41940</v>
      </c>
      <c r="C937" s="9">
        <f t="shared" si="59"/>
        <v>10</v>
      </c>
      <c r="D937">
        <f t="shared" si="60"/>
        <v>2014</v>
      </c>
      <c r="E937">
        <f t="shared" si="61"/>
        <v>0</v>
      </c>
      <c r="F937" t="s">
        <v>428</v>
      </c>
      <c r="G937" t="s">
        <v>528</v>
      </c>
      <c r="H937" t="s">
        <v>529</v>
      </c>
      <c r="J937">
        <v>24</v>
      </c>
      <c r="K937">
        <f t="shared" si="62"/>
        <v>24</v>
      </c>
      <c r="L937" t="s">
        <v>531</v>
      </c>
      <c r="R937" t="s">
        <v>1356</v>
      </c>
    </row>
    <row r="938" spans="1:19" x14ac:dyDescent="0.25">
      <c r="A938" t="s">
        <v>341</v>
      </c>
      <c r="B938" s="4">
        <v>41941</v>
      </c>
      <c r="C938" s="9">
        <f t="shared" si="59"/>
        <v>10</v>
      </c>
      <c r="D938">
        <f t="shared" si="60"/>
        <v>2014</v>
      </c>
      <c r="E938">
        <f t="shared" si="61"/>
        <v>1</v>
      </c>
      <c r="F938" t="s">
        <v>428</v>
      </c>
      <c r="G938" t="s">
        <v>528</v>
      </c>
      <c r="H938" t="s">
        <v>529</v>
      </c>
      <c r="J938">
        <v>24</v>
      </c>
      <c r="K938">
        <f t="shared" si="62"/>
        <v>24</v>
      </c>
      <c r="L938" t="s">
        <v>531</v>
      </c>
      <c r="R938" t="s">
        <v>1356</v>
      </c>
    </row>
    <row r="939" spans="1:19" x14ac:dyDescent="0.25">
      <c r="A939" t="s">
        <v>341</v>
      </c>
      <c r="B939" s="4">
        <v>41941</v>
      </c>
      <c r="C939" s="9">
        <f t="shared" si="59"/>
        <v>10</v>
      </c>
      <c r="D939">
        <f t="shared" si="60"/>
        <v>2014</v>
      </c>
      <c r="E939">
        <f t="shared" si="61"/>
        <v>0</v>
      </c>
      <c r="F939" t="s">
        <v>428</v>
      </c>
      <c r="G939" t="s">
        <v>528</v>
      </c>
      <c r="H939" t="s">
        <v>529</v>
      </c>
      <c r="J939">
        <v>14</v>
      </c>
      <c r="K939">
        <f t="shared" si="62"/>
        <v>14</v>
      </c>
      <c r="L939" t="s">
        <v>531</v>
      </c>
      <c r="R939" t="s">
        <v>1356</v>
      </c>
    </row>
    <row r="940" spans="1:19" x14ac:dyDescent="0.25">
      <c r="A940" t="s">
        <v>341</v>
      </c>
      <c r="B940" s="4">
        <v>41942</v>
      </c>
      <c r="C940" s="9">
        <f t="shared" si="59"/>
        <v>10</v>
      </c>
      <c r="D940">
        <f t="shared" si="60"/>
        <v>2014</v>
      </c>
      <c r="E940">
        <f t="shared" si="61"/>
        <v>1</v>
      </c>
      <c r="F940" t="s">
        <v>428</v>
      </c>
      <c r="G940" t="s">
        <v>528</v>
      </c>
      <c r="H940" t="s">
        <v>529</v>
      </c>
      <c r="J940">
        <v>22</v>
      </c>
      <c r="K940">
        <f t="shared" si="62"/>
        <v>22</v>
      </c>
      <c r="L940" t="s">
        <v>531</v>
      </c>
      <c r="R940" t="s">
        <v>1356</v>
      </c>
    </row>
    <row r="941" spans="1:19" x14ac:dyDescent="0.25">
      <c r="A941" t="s">
        <v>341</v>
      </c>
      <c r="B941" s="4">
        <v>41942</v>
      </c>
      <c r="C941" s="9">
        <f t="shared" si="59"/>
        <v>10</v>
      </c>
      <c r="D941">
        <f t="shared" si="60"/>
        <v>2014</v>
      </c>
      <c r="E941">
        <f t="shared" si="61"/>
        <v>0</v>
      </c>
      <c r="F941" t="s">
        <v>428</v>
      </c>
      <c r="G941" t="s">
        <v>528</v>
      </c>
      <c r="H941" t="s">
        <v>529</v>
      </c>
      <c r="J941">
        <v>35</v>
      </c>
      <c r="K941">
        <f t="shared" si="62"/>
        <v>35</v>
      </c>
      <c r="L941" t="s">
        <v>531</v>
      </c>
      <c r="R941" t="s">
        <v>1356</v>
      </c>
    </row>
    <row r="942" spans="1:19" x14ac:dyDescent="0.25">
      <c r="A942" t="s">
        <v>341</v>
      </c>
      <c r="B942" s="4">
        <v>41942</v>
      </c>
      <c r="C942" s="9">
        <f t="shared" si="59"/>
        <v>10</v>
      </c>
      <c r="D942">
        <f t="shared" si="60"/>
        <v>2014</v>
      </c>
      <c r="E942">
        <f t="shared" si="61"/>
        <v>0</v>
      </c>
      <c r="F942" t="s">
        <v>428</v>
      </c>
      <c r="G942" t="s">
        <v>528</v>
      </c>
      <c r="H942" t="s">
        <v>529</v>
      </c>
      <c r="J942">
        <v>45</v>
      </c>
      <c r="K942">
        <f t="shared" si="62"/>
        <v>45</v>
      </c>
      <c r="L942" t="s">
        <v>531</v>
      </c>
      <c r="R942" t="s">
        <v>1356</v>
      </c>
    </row>
    <row r="943" spans="1:19" x14ac:dyDescent="0.25">
      <c r="A943" t="s">
        <v>341</v>
      </c>
      <c r="B943" s="4">
        <v>41943</v>
      </c>
      <c r="C943" s="9">
        <f t="shared" si="59"/>
        <v>10</v>
      </c>
      <c r="D943">
        <f t="shared" si="60"/>
        <v>2014</v>
      </c>
      <c r="E943">
        <f t="shared" si="61"/>
        <v>1</v>
      </c>
      <c r="F943" t="s">
        <v>428</v>
      </c>
      <c r="G943" t="s">
        <v>528</v>
      </c>
      <c r="H943" t="s">
        <v>530</v>
      </c>
      <c r="J943">
        <v>51</v>
      </c>
      <c r="K943">
        <f t="shared" si="62"/>
        <v>51</v>
      </c>
      <c r="L943" t="s">
        <v>531</v>
      </c>
      <c r="R943" t="s">
        <v>1356</v>
      </c>
    </row>
    <row r="944" spans="1:19" x14ac:dyDescent="0.25">
      <c r="A944" t="s">
        <v>341</v>
      </c>
      <c r="B944" s="4">
        <v>41944</v>
      </c>
      <c r="C944" s="9">
        <f t="shared" si="59"/>
        <v>11</v>
      </c>
      <c r="D944">
        <f t="shared" si="60"/>
        <v>2014</v>
      </c>
      <c r="E944">
        <f t="shared" si="61"/>
        <v>1</v>
      </c>
      <c r="F944" t="s">
        <v>428</v>
      </c>
      <c r="G944" t="s">
        <v>528</v>
      </c>
      <c r="H944" t="s">
        <v>529</v>
      </c>
      <c r="I944">
        <v>1</v>
      </c>
      <c r="J944">
        <v>17</v>
      </c>
      <c r="K944">
        <f t="shared" si="62"/>
        <v>77</v>
      </c>
      <c r="L944" t="s">
        <v>531</v>
      </c>
      <c r="R944" t="s">
        <v>1356</v>
      </c>
    </row>
    <row r="945" spans="1:18" x14ac:dyDescent="0.25">
      <c r="A945" t="s">
        <v>341</v>
      </c>
      <c r="B945" s="4">
        <v>41944</v>
      </c>
      <c r="C945" s="9">
        <f t="shared" si="59"/>
        <v>11</v>
      </c>
      <c r="D945">
        <f t="shared" si="60"/>
        <v>2014</v>
      </c>
      <c r="E945">
        <f t="shared" si="61"/>
        <v>0</v>
      </c>
      <c r="F945" t="s">
        <v>428</v>
      </c>
      <c r="G945" t="s">
        <v>528</v>
      </c>
      <c r="H945" t="s">
        <v>529</v>
      </c>
      <c r="I945">
        <v>2</v>
      </c>
      <c r="J945">
        <v>14</v>
      </c>
      <c r="K945">
        <f t="shared" si="62"/>
        <v>134</v>
      </c>
      <c r="L945" t="s">
        <v>531</v>
      </c>
      <c r="R945" t="s">
        <v>1356</v>
      </c>
    </row>
    <row r="946" spans="1:18" x14ac:dyDescent="0.25">
      <c r="A946" t="s">
        <v>341</v>
      </c>
      <c r="B946" s="4">
        <v>41945</v>
      </c>
      <c r="C946" s="9">
        <f t="shared" si="59"/>
        <v>11</v>
      </c>
      <c r="D946">
        <f t="shared" si="60"/>
        <v>2014</v>
      </c>
      <c r="E946">
        <f t="shared" si="61"/>
        <v>1</v>
      </c>
      <c r="F946" t="s">
        <v>428</v>
      </c>
      <c r="G946" t="s">
        <v>528</v>
      </c>
      <c r="H946" t="s">
        <v>529</v>
      </c>
      <c r="I946">
        <v>1</v>
      </c>
      <c r="J946">
        <v>15</v>
      </c>
      <c r="K946">
        <f t="shared" si="62"/>
        <v>75</v>
      </c>
      <c r="L946" t="s">
        <v>531</v>
      </c>
      <c r="R946" t="s">
        <v>1356</v>
      </c>
    </row>
    <row r="947" spans="1:18" x14ac:dyDescent="0.25">
      <c r="A947" t="s">
        <v>341</v>
      </c>
      <c r="B947" s="4">
        <v>41945</v>
      </c>
      <c r="C947" s="9">
        <f t="shared" si="59"/>
        <v>11</v>
      </c>
      <c r="D947">
        <f t="shared" si="60"/>
        <v>2014</v>
      </c>
      <c r="E947">
        <f t="shared" si="61"/>
        <v>0</v>
      </c>
      <c r="F947" t="s">
        <v>428</v>
      </c>
      <c r="G947" t="s">
        <v>528</v>
      </c>
      <c r="H947" t="s">
        <v>529</v>
      </c>
      <c r="I947">
        <v>1</v>
      </c>
      <c r="J947">
        <v>20</v>
      </c>
      <c r="K947">
        <f t="shared" si="62"/>
        <v>80</v>
      </c>
      <c r="L947" t="s">
        <v>531</v>
      </c>
      <c r="R947" t="s">
        <v>1356</v>
      </c>
    </row>
    <row r="948" spans="1:18" x14ac:dyDescent="0.25">
      <c r="A948" t="s">
        <v>341</v>
      </c>
      <c r="B948" s="4">
        <v>41951</v>
      </c>
      <c r="C948" s="9">
        <f t="shared" si="59"/>
        <v>11</v>
      </c>
      <c r="D948">
        <f t="shared" si="60"/>
        <v>2014</v>
      </c>
      <c r="E948">
        <f t="shared" si="61"/>
        <v>1</v>
      </c>
      <c r="F948" t="s">
        <v>516</v>
      </c>
      <c r="G948" t="s">
        <v>532</v>
      </c>
      <c r="H948" t="s">
        <v>398</v>
      </c>
      <c r="J948">
        <v>18</v>
      </c>
      <c r="K948">
        <f t="shared" si="62"/>
        <v>18</v>
      </c>
      <c r="R948" t="s">
        <v>1348</v>
      </c>
    </row>
    <row r="949" spans="1:18" x14ac:dyDescent="0.25">
      <c r="A949" t="s">
        <v>341</v>
      </c>
      <c r="B949" s="4">
        <v>41951</v>
      </c>
      <c r="C949" s="9">
        <f t="shared" si="59"/>
        <v>11</v>
      </c>
      <c r="D949">
        <f t="shared" si="60"/>
        <v>2014</v>
      </c>
      <c r="E949">
        <f t="shared" si="61"/>
        <v>0</v>
      </c>
      <c r="F949" t="s">
        <v>516</v>
      </c>
      <c r="G949" t="s">
        <v>447</v>
      </c>
      <c r="H949" t="s">
        <v>378</v>
      </c>
      <c r="J949">
        <v>11</v>
      </c>
      <c r="K949">
        <f t="shared" si="62"/>
        <v>11</v>
      </c>
      <c r="R949" t="s">
        <v>1348</v>
      </c>
    </row>
    <row r="950" spans="1:18" x14ac:dyDescent="0.25">
      <c r="A950" t="s">
        <v>341</v>
      </c>
      <c r="B950" s="4">
        <v>41964</v>
      </c>
      <c r="C950" s="9">
        <f t="shared" si="59"/>
        <v>11</v>
      </c>
      <c r="D950">
        <f t="shared" si="60"/>
        <v>2014</v>
      </c>
      <c r="E950">
        <f t="shared" si="61"/>
        <v>1</v>
      </c>
      <c r="F950" t="s">
        <v>516</v>
      </c>
      <c r="G950" t="s">
        <v>101</v>
      </c>
      <c r="H950" t="s">
        <v>244</v>
      </c>
      <c r="J950">
        <v>17</v>
      </c>
      <c r="K950">
        <f t="shared" si="62"/>
        <v>17</v>
      </c>
      <c r="L950" t="s">
        <v>533</v>
      </c>
      <c r="R950" t="s">
        <v>1348</v>
      </c>
    </row>
    <row r="951" spans="1:18" x14ac:dyDescent="0.25">
      <c r="A951" t="s">
        <v>341</v>
      </c>
      <c r="B951" s="4">
        <v>42073</v>
      </c>
      <c r="C951" s="9">
        <f t="shared" si="59"/>
        <v>3</v>
      </c>
      <c r="D951">
        <f t="shared" si="60"/>
        <v>2015</v>
      </c>
      <c r="E951">
        <f t="shared" si="61"/>
        <v>1</v>
      </c>
      <c r="F951" t="s">
        <v>516</v>
      </c>
      <c r="G951" t="s">
        <v>409</v>
      </c>
      <c r="H951" t="s">
        <v>244</v>
      </c>
      <c r="J951">
        <v>32</v>
      </c>
      <c r="K951">
        <f t="shared" si="62"/>
        <v>32</v>
      </c>
      <c r="R951" t="s">
        <v>1348</v>
      </c>
    </row>
    <row r="952" spans="1:18" x14ac:dyDescent="0.25">
      <c r="A952" t="s">
        <v>341</v>
      </c>
      <c r="B952" s="4">
        <v>42076</v>
      </c>
      <c r="C952" s="9">
        <f t="shared" si="59"/>
        <v>3</v>
      </c>
      <c r="D952">
        <f t="shared" si="60"/>
        <v>2015</v>
      </c>
      <c r="E952">
        <f t="shared" si="61"/>
        <v>1</v>
      </c>
      <c r="F952" t="s">
        <v>516</v>
      </c>
      <c r="G952" t="s">
        <v>409</v>
      </c>
      <c r="H952" t="s">
        <v>534</v>
      </c>
      <c r="J952">
        <v>43</v>
      </c>
      <c r="K952">
        <f t="shared" si="62"/>
        <v>43</v>
      </c>
      <c r="R952" t="s">
        <v>1348</v>
      </c>
    </row>
    <row r="953" spans="1:18" x14ac:dyDescent="0.25">
      <c r="A953" t="s">
        <v>341</v>
      </c>
      <c r="B953" s="4">
        <v>42104</v>
      </c>
      <c r="C953" s="9">
        <f t="shared" si="59"/>
        <v>4</v>
      </c>
      <c r="D953">
        <f t="shared" si="60"/>
        <v>2015</v>
      </c>
      <c r="E953">
        <f t="shared" si="61"/>
        <v>1</v>
      </c>
      <c r="F953" t="s">
        <v>516</v>
      </c>
      <c r="G953" t="s">
        <v>101</v>
      </c>
      <c r="H953" t="s">
        <v>101</v>
      </c>
      <c r="J953">
        <v>9</v>
      </c>
      <c r="K953">
        <f t="shared" si="62"/>
        <v>9</v>
      </c>
      <c r="M953" t="s">
        <v>535</v>
      </c>
      <c r="R953" t="s">
        <v>1348</v>
      </c>
    </row>
    <row r="954" spans="1:18" x14ac:dyDescent="0.25">
      <c r="A954" t="s">
        <v>341</v>
      </c>
      <c r="B954" s="4">
        <v>42106</v>
      </c>
      <c r="C954" s="9">
        <f t="shared" si="59"/>
        <v>4</v>
      </c>
      <c r="D954">
        <f t="shared" si="60"/>
        <v>2015</v>
      </c>
      <c r="E954">
        <f t="shared" si="61"/>
        <v>1</v>
      </c>
      <c r="F954" t="s">
        <v>516</v>
      </c>
      <c r="G954" t="s">
        <v>101</v>
      </c>
      <c r="H954" t="s">
        <v>273</v>
      </c>
      <c r="I954">
        <v>1</v>
      </c>
      <c r="J954">
        <v>18</v>
      </c>
      <c r="K954">
        <f t="shared" si="62"/>
        <v>78</v>
      </c>
      <c r="R954" t="s">
        <v>1348</v>
      </c>
    </row>
    <row r="955" spans="1:18" x14ac:dyDescent="0.25">
      <c r="A955" t="s">
        <v>341</v>
      </c>
      <c r="B955" s="4">
        <v>42118</v>
      </c>
      <c r="C955" s="9">
        <f t="shared" si="59"/>
        <v>4</v>
      </c>
      <c r="D955">
        <f t="shared" si="60"/>
        <v>2015</v>
      </c>
      <c r="E955">
        <f t="shared" si="61"/>
        <v>1</v>
      </c>
      <c r="F955" t="s">
        <v>516</v>
      </c>
      <c r="G955" t="s">
        <v>101</v>
      </c>
      <c r="H955" t="s">
        <v>244</v>
      </c>
      <c r="J955">
        <v>36</v>
      </c>
      <c r="K955">
        <f t="shared" si="62"/>
        <v>36</v>
      </c>
      <c r="R955" t="s">
        <v>1348</v>
      </c>
    </row>
    <row r="956" spans="1:18" x14ac:dyDescent="0.25">
      <c r="A956" t="s">
        <v>341</v>
      </c>
      <c r="B956" s="4">
        <v>42140</v>
      </c>
      <c r="C956" s="9">
        <f t="shared" si="59"/>
        <v>5</v>
      </c>
      <c r="D956">
        <f t="shared" si="60"/>
        <v>2015</v>
      </c>
      <c r="E956">
        <f t="shared" si="61"/>
        <v>1</v>
      </c>
      <c r="F956" t="s">
        <v>516</v>
      </c>
      <c r="G956" t="s">
        <v>101</v>
      </c>
      <c r="H956" t="s">
        <v>273</v>
      </c>
      <c r="J956">
        <v>11</v>
      </c>
      <c r="K956">
        <f t="shared" si="62"/>
        <v>11</v>
      </c>
      <c r="R956" t="s">
        <v>1348</v>
      </c>
    </row>
    <row r="957" spans="1:18" x14ac:dyDescent="0.25">
      <c r="A957" t="s">
        <v>341</v>
      </c>
      <c r="B957" s="4">
        <v>42140</v>
      </c>
      <c r="C957" s="9">
        <f t="shared" si="59"/>
        <v>5</v>
      </c>
      <c r="D957">
        <f t="shared" si="60"/>
        <v>2015</v>
      </c>
      <c r="E957">
        <f t="shared" si="61"/>
        <v>0</v>
      </c>
      <c r="F957" t="s">
        <v>516</v>
      </c>
      <c r="G957" t="s">
        <v>154</v>
      </c>
      <c r="H957" t="s">
        <v>273</v>
      </c>
      <c r="J957">
        <v>26</v>
      </c>
      <c r="K957">
        <f t="shared" si="62"/>
        <v>26</v>
      </c>
      <c r="R957" t="s">
        <v>1348</v>
      </c>
    </row>
    <row r="958" spans="1:18" x14ac:dyDescent="0.25">
      <c r="A958" t="s">
        <v>341</v>
      </c>
      <c r="B958" s="4">
        <v>42141</v>
      </c>
      <c r="C958" s="9">
        <f t="shared" si="59"/>
        <v>5</v>
      </c>
      <c r="D958">
        <f t="shared" si="60"/>
        <v>2015</v>
      </c>
      <c r="E958">
        <f t="shared" si="61"/>
        <v>1</v>
      </c>
      <c r="F958" t="s">
        <v>516</v>
      </c>
      <c r="G958" t="s">
        <v>154</v>
      </c>
      <c r="H958" t="s">
        <v>273</v>
      </c>
      <c r="J958">
        <v>55</v>
      </c>
      <c r="K958">
        <f t="shared" si="62"/>
        <v>55</v>
      </c>
      <c r="R958" t="s">
        <v>1348</v>
      </c>
    </row>
    <row r="959" spans="1:18" x14ac:dyDescent="0.25">
      <c r="A959" t="s">
        <v>341</v>
      </c>
      <c r="B959" s="4">
        <v>42147</v>
      </c>
      <c r="C959" s="9">
        <f t="shared" si="59"/>
        <v>5</v>
      </c>
      <c r="D959">
        <f t="shared" si="60"/>
        <v>2015</v>
      </c>
      <c r="E959">
        <f t="shared" si="61"/>
        <v>1</v>
      </c>
      <c r="F959" t="s">
        <v>516</v>
      </c>
      <c r="G959" t="s">
        <v>536</v>
      </c>
      <c r="H959" t="s">
        <v>536</v>
      </c>
      <c r="J959">
        <v>21</v>
      </c>
      <c r="K959">
        <f t="shared" si="62"/>
        <v>21</v>
      </c>
      <c r="L959" t="s">
        <v>509</v>
      </c>
      <c r="M959" t="s">
        <v>546</v>
      </c>
      <c r="R959" t="s">
        <v>1355</v>
      </c>
    </row>
    <row r="960" spans="1:18" x14ac:dyDescent="0.25">
      <c r="A960" t="s">
        <v>341</v>
      </c>
      <c r="B960" s="4">
        <v>42147</v>
      </c>
      <c r="C960" s="9">
        <f t="shared" si="59"/>
        <v>5</v>
      </c>
      <c r="D960">
        <f t="shared" si="60"/>
        <v>2015</v>
      </c>
      <c r="E960">
        <f t="shared" si="61"/>
        <v>0</v>
      </c>
      <c r="F960" t="s">
        <v>516</v>
      </c>
      <c r="G960" t="s">
        <v>511</v>
      </c>
      <c r="H960" t="s">
        <v>537</v>
      </c>
      <c r="J960">
        <v>53</v>
      </c>
      <c r="K960">
        <f t="shared" si="62"/>
        <v>53</v>
      </c>
      <c r="L960" t="s">
        <v>509</v>
      </c>
      <c r="R960" t="s">
        <v>1354</v>
      </c>
    </row>
    <row r="961" spans="1:18" x14ac:dyDescent="0.25">
      <c r="A961" t="s">
        <v>341</v>
      </c>
      <c r="B961" s="4">
        <v>42148</v>
      </c>
      <c r="C961" s="9">
        <f t="shared" si="59"/>
        <v>5</v>
      </c>
      <c r="D961">
        <f t="shared" si="60"/>
        <v>2015</v>
      </c>
      <c r="E961">
        <f t="shared" si="61"/>
        <v>1</v>
      </c>
      <c r="F961" t="s">
        <v>516</v>
      </c>
      <c r="G961" t="s">
        <v>511</v>
      </c>
      <c r="H961" t="s">
        <v>512</v>
      </c>
      <c r="J961">
        <v>28</v>
      </c>
      <c r="K961">
        <f t="shared" si="62"/>
        <v>28</v>
      </c>
      <c r="L961" t="s">
        <v>509</v>
      </c>
      <c r="R961" t="s">
        <v>1354</v>
      </c>
    </row>
    <row r="962" spans="1:18" x14ac:dyDescent="0.25">
      <c r="A962" t="s">
        <v>341</v>
      </c>
      <c r="B962" s="4">
        <v>42149</v>
      </c>
      <c r="C962" s="9">
        <f t="shared" si="59"/>
        <v>5</v>
      </c>
      <c r="D962">
        <f t="shared" si="60"/>
        <v>2015</v>
      </c>
      <c r="E962">
        <f t="shared" si="61"/>
        <v>1</v>
      </c>
      <c r="F962" t="s">
        <v>516</v>
      </c>
      <c r="G962" t="s">
        <v>536</v>
      </c>
      <c r="H962" t="s">
        <v>513</v>
      </c>
      <c r="I962">
        <v>1</v>
      </c>
      <c r="J962">
        <v>58</v>
      </c>
      <c r="K962">
        <f t="shared" si="62"/>
        <v>118</v>
      </c>
      <c r="L962" t="s">
        <v>509</v>
      </c>
      <c r="R962" t="s">
        <v>1355</v>
      </c>
    </row>
    <row r="963" spans="1:18" x14ac:dyDescent="0.25">
      <c r="A963" t="s">
        <v>341</v>
      </c>
      <c r="B963" s="4">
        <v>42150</v>
      </c>
      <c r="C963" s="9">
        <f t="shared" ref="C963:C1026" si="63">MONTH(B963)</f>
        <v>5</v>
      </c>
      <c r="D963">
        <f t="shared" si="60"/>
        <v>2015</v>
      </c>
      <c r="E963">
        <f t="shared" si="61"/>
        <v>1</v>
      </c>
      <c r="F963" t="s">
        <v>516</v>
      </c>
      <c r="G963" t="s">
        <v>536</v>
      </c>
      <c r="H963" t="s">
        <v>536</v>
      </c>
      <c r="J963">
        <v>11</v>
      </c>
      <c r="K963">
        <f t="shared" si="62"/>
        <v>11</v>
      </c>
      <c r="L963" t="s">
        <v>509</v>
      </c>
      <c r="R963" t="s">
        <v>1355</v>
      </c>
    </row>
    <row r="964" spans="1:18" x14ac:dyDescent="0.25">
      <c r="A964" t="s">
        <v>341</v>
      </c>
      <c r="B964" s="4">
        <v>42150</v>
      </c>
      <c r="C964" s="9">
        <f t="shared" si="63"/>
        <v>5</v>
      </c>
      <c r="D964">
        <f t="shared" si="60"/>
        <v>2015</v>
      </c>
      <c r="E964">
        <f t="shared" si="61"/>
        <v>0</v>
      </c>
      <c r="F964" t="s">
        <v>516</v>
      </c>
      <c r="G964" t="s">
        <v>511</v>
      </c>
      <c r="H964" t="s">
        <v>538</v>
      </c>
      <c r="J964">
        <v>42</v>
      </c>
      <c r="K964">
        <f t="shared" si="62"/>
        <v>42</v>
      </c>
      <c r="L964" t="s">
        <v>509</v>
      </c>
      <c r="M964" t="s">
        <v>539</v>
      </c>
      <c r="R964" t="s">
        <v>1354</v>
      </c>
    </row>
    <row r="965" spans="1:18" x14ac:dyDescent="0.25">
      <c r="A965" t="s">
        <v>341</v>
      </c>
      <c r="B965" s="4">
        <v>42152</v>
      </c>
      <c r="C965" s="9">
        <f t="shared" si="63"/>
        <v>5</v>
      </c>
      <c r="D965">
        <f t="shared" si="60"/>
        <v>2015</v>
      </c>
      <c r="E965">
        <f t="shared" si="61"/>
        <v>1</v>
      </c>
      <c r="F965" t="s">
        <v>516</v>
      </c>
      <c r="G965" t="s">
        <v>623</v>
      </c>
      <c r="H965" t="s">
        <v>541</v>
      </c>
      <c r="I965">
        <v>3</v>
      </c>
      <c r="J965">
        <v>12</v>
      </c>
      <c r="K965">
        <f t="shared" si="62"/>
        <v>192</v>
      </c>
      <c r="L965" t="s">
        <v>509</v>
      </c>
      <c r="M965" t="s">
        <v>543</v>
      </c>
      <c r="R965" t="s">
        <v>1355</v>
      </c>
    </row>
    <row r="966" spans="1:18" x14ac:dyDescent="0.25">
      <c r="A966" t="s">
        <v>341</v>
      </c>
      <c r="B966" s="4">
        <v>42153</v>
      </c>
      <c r="C966" s="9">
        <f t="shared" si="63"/>
        <v>5</v>
      </c>
      <c r="D966">
        <f t="shared" si="60"/>
        <v>2015</v>
      </c>
      <c r="E966">
        <f t="shared" si="61"/>
        <v>1</v>
      </c>
      <c r="F966" t="s">
        <v>516</v>
      </c>
      <c r="G966" t="s">
        <v>623</v>
      </c>
      <c r="H966" t="s">
        <v>541</v>
      </c>
      <c r="I966">
        <v>2</v>
      </c>
      <c r="J966">
        <v>10</v>
      </c>
      <c r="K966">
        <f t="shared" si="62"/>
        <v>130</v>
      </c>
      <c r="L966" t="s">
        <v>509</v>
      </c>
      <c r="M966" t="s">
        <v>542</v>
      </c>
      <c r="R966" t="s">
        <v>1355</v>
      </c>
    </row>
    <row r="967" spans="1:18" x14ac:dyDescent="0.25">
      <c r="A967" t="s">
        <v>341</v>
      </c>
      <c r="B967" s="4">
        <v>42154</v>
      </c>
      <c r="C967" s="9">
        <f t="shared" si="63"/>
        <v>5</v>
      </c>
      <c r="D967">
        <f t="shared" si="60"/>
        <v>2015</v>
      </c>
      <c r="E967">
        <f t="shared" si="61"/>
        <v>1</v>
      </c>
      <c r="F967" t="s">
        <v>516</v>
      </c>
      <c r="G967" t="s">
        <v>508</v>
      </c>
      <c r="H967" t="s">
        <v>508</v>
      </c>
      <c r="I967">
        <v>1</v>
      </c>
      <c r="J967">
        <v>25</v>
      </c>
      <c r="K967">
        <f t="shared" si="62"/>
        <v>85</v>
      </c>
      <c r="L967" t="s">
        <v>509</v>
      </c>
      <c r="R967" t="s">
        <v>1355</v>
      </c>
    </row>
    <row r="968" spans="1:18" x14ac:dyDescent="0.25">
      <c r="A968" t="s">
        <v>341</v>
      </c>
      <c r="B968" s="4">
        <v>42154</v>
      </c>
      <c r="C968" s="9">
        <f t="shared" si="63"/>
        <v>5</v>
      </c>
      <c r="D968">
        <f t="shared" si="60"/>
        <v>2015</v>
      </c>
      <c r="E968">
        <f t="shared" si="61"/>
        <v>0</v>
      </c>
      <c r="F968" t="s">
        <v>516</v>
      </c>
      <c r="G968" t="s">
        <v>508</v>
      </c>
      <c r="H968" t="s">
        <v>508</v>
      </c>
      <c r="J968">
        <v>38</v>
      </c>
      <c r="K968">
        <f t="shared" si="62"/>
        <v>38</v>
      </c>
      <c r="L968" t="s">
        <v>509</v>
      </c>
      <c r="R968" t="s">
        <v>1355</v>
      </c>
    </row>
    <row r="969" spans="1:18" x14ac:dyDescent="0.25">
      <c r="A969" t="s">
        <v>341</v>
      </c>
      <c r="B969" s="4">
        <v>42155</v>
      </c>
      <c r="C969" s="9">
        <f t="shared" si="63"/>
        <v>5</v>
      </c>
      <c r="D969">
        <f t="shared" si="60"/>
        <v>2015</v>
      </c>
      <c r="E969">
        <f t="shared" si="61"/>
        <v>1</v>
      </c>
      <c r="F969" t="s">
        <v>516</v>
      </c>
      <c r="G969" t="s">
        <v>508</v>
      </c>
      <c r="H969" t="s">
        <v>508</v>
      </c>
      <c r="J969">
        <v>15</v>
      </c>
      <c r="K969">
        <f t="shared" si="62"/>
        <v>15</v>
      </c>
      <c r="L969" t="s">
        <v>545</v>
      </c>
      <c r="M969" t="s">
        <v>547</v>
      </c>
      <c r="R969" t="s">
        <v>1355</v>
      </c>
    </row>
    <row r="970" spans="1:18" x14ac:dyDescent="0.25">
      <c r="A970" t="s">
        <v>341</v>
      </c>
      <c r="B970" s="4">
        <v>42155</v>
      </c>
      <c r="C970" s="9">
        <f t="shared" si="63"/>
        <v>5</v>
      </c>
      <c r="D970">
        <f t="shared" si="60"/>
        <v>2015</v>
      </c>
      <c r="E970">
        <f t="shared" si="61"/>
        <v>0</v>
      </c>
      <c r="F970" t="s">
        <v>516</v>
      </c>
      <c r="G970" t="s">
        <v>508</v>
      </c>
      <c r="H970" t="s">
        <v>508</v>
      </c>
      <c r="I970">
        <v>1</v>
      </c>
      <c r="J970">
        <v>1</v>
      </c>
      <c r="K970">
        <f t="shared" si="62"/>
        <v>61</v>
      </c>
      <c r="L970" t="s">
        <v>545</v>
      </c>
      <c r="R970" t="s">
        <v>1355</v>
      </c>
    </row>
    <row r="971" spans="1:18" x14ac:dyDescent="0.25">
      <c r="A971" t="s">
        <v>341</v>
      </c>
      <c r="B971" s="4">
        <v>42155</v>
      </c>
      <c r="C971" s="9">
        <f t="shared" si="63"/>
        <v>5</v>
      </c>
      <c r="D971">
        <f t="shared" si="60"/>
        <v>2015</v>
      </c>
      <c r="E971">
        <f t="shared" si="61"/>
        <v>0</v>
      </c>
      <c r="F971" t="s">
        <v>516</v>
      </c>
      <c r="G971" t="s">
        <v>508</v>
      </c>
      <c r="H971" t="s">
        <v>508</v>
      </c>
      <c r="I971">
        <v>1</v>
      </c>
      <c r="J971">
        <v>10</v>
      </c>
      <c r="K971">
        <f t="shared" si="62"/>
        <v>70</v>
      </c>
      <c r="L971" t="s">
        <v>545</v>
      </c>
      <c r="R971" t="s">
        <v>1355</v>
      </c>
    </row>
    <row r="972" spans="1:18" x14ac:dyDescent="0.25">
      <c r="A972" t="s">
        <v>341</v>
      </c>
      <c r="B972" s="4">
        <v>42156</v>
      </c>
      <c r="C972" s="9">
        <f t="shared" si="63"/>
        <v>6</v>
      </c>
      <c r="D972">
        <f t="shared" si="60"/>
        <v>2015</v>
      </c>
      <c r="E972">
        <f>IF(OR(A972 = "GS",A972 = "BP"),IF( OR(A970="GS",A970="BP"),IF(B970=B972,0,1),1),0)</f>
        <v>1</v>
      </c>
      <c r="F972" t="s">
        <v>516</v>
      </c>
      <c r="G972" t="s">
        <v>508</v>
      </c>
      <c r="H972" t="s">
        <v>508</v>
      </c>
      <c r="I972">
        <v>1</v>
      </c>
      <c r="J972">
        <v>14</v>
      </c>
      <c r="K972">
        <f t="shared" si="62"/>
        <v>74</v>
      </c>
      <c r="L972" t="s">
        <v>545</v>
      </c>
      <c r="R972" t="s">
        <v>1355</v>
      </c>
    </row>
    <row r="973" spans="1:18" x14ac:dyDescent="0.25">
      <c r="A973" t="s">
        <v>341</v>
      </c>
      <c r="B973" s="4">
        <v>42156</v>
      </c>
      <c r="C973" s="9">
        <f t="shared" si="63"/>
        <v>6</v>
      </c>
      <c r="D973">
        <f t="shared" si="60"/>
        <v>2015</v>
      </c>
      <c r="E973">
        <f t="shared" si="61"/>
        <v>0</v>
      </c>
      <c r="F973" t="s">
        <v>516</v>
      </c>
      <c r="G973" t="s">
        <v>508</v>
      </c>
      <c r="H973" t="s">
        <v>508</v>
      </c>
      <c r="J973">
        <v>49</v>
      </c>
      <c r="K973">
        <f t="shared" si="62"/>
        <v>49</v>
      </c>
      <c r="L973" t="s">
        <v>545</v>
      </c>
      <c r="R973" t="s">
        <v>1355</v>
      </c>
    </row>
    <row r="974" spans="1:18" x14ac:dyDescent="0.25">
      <c r="A974" t="s">
        <v>341</v>
      </c>
      <c r="B974" s="4">
        <v>42157</v>
      </c>
      <c r="C974" s="9">
        <f t="shared" si="63"/>
        <v>6</v>
      </c>
      <c r="D974">
        <f t="shared" si="60"/>
        <v>2015</v>
      </c>
      <c r="E974">
        <f t="shared" si="61"/>
        <v>1</v>
      </c>
      <c r="F974" t="s">
        <v>516</v>
      </c>
      <c r="G974" t="s">
        <v>540</v>
      </c>
      <c r="H974" t="s">
        <v>540</v>
      </c>
      <c r="J974">
        <v>41</v>
      </c>
      <c r="K974">
        <f t="shared" si="62"/>
        <v>41</v>
      </c>
      <c r="L974" t="s">
        <v>545</v>
      </c>
      <c r="R974" t="s">
        <v>1355</v>
      </c>
    </row>
    <row r="975" spans="1:18" x14ac:dyDescent="0.25">
      <c r="A975" t="s">
        <v>341</v>
      </c>
      <c r="B975" s="4">
        <v>42157</v>
      </c>
      <c r="C975" s="9">
        <f t="shared" si="63"/>
        <v>6</v>
      </c>
      <c r="D975">
        <f t="shared" si="60"/>
        <v>2015</v>
      </c>
      <c r="E975">
        <f t="shared" si="61"/>
        <v>0</v>
      </c>
      <c r="F975" t="s">
        <v>516</v>
      </c>
      <c r="G975" t="s">
        <v>508</v>
      </c>
      <c r="H975" t="s">
        <v>544</v>
      </c>
      <c r="J975">
        <v>54</v>
      </c>
      <c r="K975">
        <f t="shared" si="62"/>
        <v>54</v>
      </c>
      <c r="L975" t="s">
        <v>545</v>
      </c>
      <c r="R975" t="s">
        <v>1355</v>
      </c>
    </row>
    <row r="976" spans="1:18" x14ac:dyDescent="0.25">
      <c r="A976" t="s">
        <v>341</v>
      </c>
      <c r="B976" s="4">
        <v>42166</v>
      </c>
      <c r="C976" s="9">
        <f t="shared" si="63"/>
        <v>6</v>
      </c>
      <c r="D976">
        <f t="shared" si="60"/>
        <v>2015</v>
      </c>
      <c r="E976">
        <f t="shared" si="61"/>
        <v>1</v>
      </c>
      <c r="F976" t="s">
        <v>516</v>
      </c>
      <c r="G976" t="s">
        <v>101</v>
      </c>
      <c r="H976" t="s">
        <v>244</v>
      </c>
      <c r="J976">
        <v>12</v>
      </c>
      <c r="K976">
        <f t="shared" si="62"/>
        <v>12</v>
      </c>
      <c r="R976" t="s">
        <v>1348</v>
      </c>
    </row>
    <row r="977" spans="1:18" x14ac:dyDescent="0.25">
      <c r="A977" t="s">
        <v>341</v>
      </c>
      <c r="B977" s="4">
        <v>42179</v>
      </c>
      <c r="C977" s="9">
        <f t="shared" si="63"/>
        <v>6</v>
      </c>
      <c r="D977">
        <f t="shared" si="60"/>
        <v>2015</v>
      </c>
      <c r="E977">
        <f t="shared" si="61"/>
        <v>1</v>
      </c>
      <c r="F977" t="s">
        <v>516</v>
      </c>
      <c r="G977" t="s">
        <v>101</v>
      </c>
      <c r="H977" t="s">
        <v>153</v>
      </c>
      <c r="I977">
        <v>1</v>
      </c>
      <c r="J977">
        <v>21</v>
      </c>
      <c r="K977">
        <f t="shared" si="62"/>
        <v>81</v>
      </c>
      <c r="R977" t="s">
        <v>1348</v>
      </c>
    </row>
    <row r="978" spans="1:18" x14ac:dyDescent="0.25">
      <c r="A978" t="s">
        <v>341</v>
      </c>
      <c r="B978" s="4">
        <v>42181</v>
      </c>
      <c r="C978" s="9">
        <f t="shared" si="63"/>
        <v>6</v>
      </c>
      <c r="D978">
        <f t="shared" si="60"/>
        <v>2015</v>
      </c>
      <c r="E978">
        <f t="shared" si="61"/>
        <v>1</v>
      </c>
      <c r="F978" t="s">
        <v>516</v>
      </c>
      <c r="G978" t="s">
        <v>101</v>
      </c>
      <c r="H978" t="s">
        <v>153</v>
      </c>
      <c r="I978">
        <v>1</v>
      </c>
      <c r="J978">
        <v>23</v>
      </c>
      <c r="K978">
        <f t="shared" si="62"/>
        <v>83</v>
      </c>
      <c r="M978" t="s">
        <v>548</v>
      </c>
      <c r="R978" t="s">
        <v>1348</v>
      </c>
    </row>
    <row r="979" spans="1:18" x14ac:dyDescent="0.25">
      <c r="A979" t="s">
        <v>341</v>
      </c>
      <c r="B979" s="4">
        <v>42183</v>
      </c>
      <c r="C979" s="9">
        <f t="shared" si="63"/>
        <v>6</v>
      </c>
      <c r="D979">
        <f t="shared" ref="D979:D999" si="64">YEAR(B979)</f>
        <v>2015</v>
      </c>
      <c r="E979">
        <f t="shared" ref="E979:E999" si="65">IF(OR(A979 = "GS",A979 = "BP"),IF( OR(A978="GS",A978="BP"),IF(B978=B979,0,1),1),0)</f>
        <v>1</v>
      </c>
      <c r="F979" t="s">
        <v>516</v>
      </c>
      <c r="G979" t="s">
        <v>101</v>
      </c>
      <c r="H979" t="s">
        <v>273</v>
      </c>
      <c r="I979">
        <v>1</v>
      </c>
      <c r="J979">
        <v>56</v>
      </c>
      <c r="K979">
        <f t="shared" ref="K979:K999" si="66">I979*60+J979</f>
        <v>116</v>
      </c>
      <c r="R979" t="s">
        <v>1348</v>
      </c>
    </row>
    <row r="980" spans="1:18" x14ac:dyDescent="0.25">
      <c r="A980" t="s">
        <v>341</v>
      </c>
      <c r="B980" s="4">
        <v>42184</v>
      </c>
      <c r="C980" s="9">
        <f t="shared" si="63"/>
        <v>6</v>
      </c>
      <c r="D980">
        <f t="shared" si="64"/>
        <v>2015</v>
      </c>
      <c r="E980">
        <f t="shared" si="65"/>
        <v>1</v>
      </c>
      <c r="F980" t="s">
        <v>516</v>
      </c>
      <c r="G980" t="s">
        <v>101</v>
      </c>
      <c r="H980" t="s">
        <v>244</v>
      </c>
      <c r="J980">
        <v>51</v>
      </c>
      <c r="K980">
        <f t="shared" si="66"/>
        <v>51</v>
      </c>
      <c r="R980" t="s">
        <v>1348</v>
      </c>
    </row>
    <row r="981" spans="1:18" x14ac:dyDescent="0.25">
      <c r="A981" t="s">
        <v>341</v>
      </c>
      <c r="B981" s="4">
        <v>42185</v>
      </c>
      <c r="C981" s="9">
        <f t="shared" si="63"/>
        <v>6</v>
      </c>
      <c r="D981">
        <f t="shared" si="64"/>
        <v>2015</v>
      </c>
      <c r="E981">
        <f t="shared" si="65"/>
        <v>1</v>
      </c>
      <c r="F981" t="s">
        <v>516</v>
      </c>
      <c r="G981" t="s">
        <v>101</v>
      </c>
      <c r="H981" t="s">
        <v>244</v>
      </c>
      <c r="I981">
        <v>2</v>
      </c>
      <c r="J981">
        <v>25</v>
      </c>
      <c r="K981">
        <f t="shared" si="66"/>
        <v>145</v>
      </c>
      <c r="R981" t="s">
        <v>1348</v>
      </c>
    </row>
    <row r="982" spans="1:18" x14ac:dyDescent="0.25">
      <c r="A982" t="s">
        <v>341</v>
      </c>
      <c r="B982" s="4">
        <v>42188</v>
      </c>
      <c r="C982" s="9">
        <f t="shared" si="63"/>
        <v>7</v>
      </c>
      <c r="D982">
        <f t="shared" si="64"/>
        <v>2015</v>
      </c>
      <c r="E982">
        <f t="shared" si="65"/>
        <v>1</v>
      </c>
      <c r="F982" t="s">
        <v>516</v>
      </c>
      <c r="G982" t="s">
        <v>549</v>
      </c>
      <c r="H982" t="s">
        <v>549</v>
      </c>
      <c r="I982">
        <v>1</v>
      </c>
      <c r="J982">
        <v>33</v>
      </c>
      <c r="K982">
        <f t="shared" si="66"/>
        <v>93</v>
      </c>
      <c r="M982" t="s">
        <v>551</v>
      </c>
      <c r="R982" t="s">
        <v>1351</v>
      </c>
    </row>
    <row r="983" spans="1:18" x14ac:dyDescent="0.25">
      <c r="A983" t="s">
        <v>341</v>
      </c>
      <c r="B983" s="4">
        <v>42189</v>
      </c>
      <c r="C983" s="9">
        <f t="shared" si="63"/>
        <v>7</v>
      </c>
      <c r="D983">
        <f t="shared" si="64"/>
        <v>2015</v>
      </c>
      <c r="E983">
        <f t="shared" si="65"/>
        <v>1</v>
      </c>
      <c r="F983" t="s">
        <v>516</v>
      </c>
      <c r="G983" t="s">
        <v>549</v>
      </c>
      <c r="H983" t="s">
        <v>549</v>
      </c>
      <c r="J983">
        <v>33</v>
      </c>
      <c r="K983">
        <f t="shared" si="66"/>
        <v>33</v>
      </c>
      <c r="R983" t="s">
        <v>1351</v>
      </c>
    </row>
    <row r="984" spans="1:18" x14ac:dyDescent="0.25">
      <c r="A984" t="s">
        <v>341</v>
      </c>
      <c r="B984" s="4">
        <v>42189</v>
      </c>
      <c r="C984" s="9">
        <f t="shared" si="63"/>
        <v>7</v>
      </c>
      <c r="D984">
        <f t="shared" si="64"/>
        <v>2015</v>
      </c>
      <c r="E984">
        <f t="shared" si="65"/>
        <v>0</v>
      </c>
      <c r="F984" t="s">
        <v>516</v>
      </c>
      <c r="G984" t="s">
        <v>549</v>
      </c>
      <c r="H984" t="s">
        <v>549</v>
      </c>
      <c r="J984">
        <v>28</v>
      </c>
      <c r="K984">
        <f t="shared" si="66"/>
        <v>28</v>
      </c>
      <c r="R984" t="s">
        <v>1351</v>
      </c>
    </row>
    <row r="985" spans="1:18" x14ac:dyDescent="0.25">
      <c r="A985" t="s">
        <v>341</v>
      </c>
      <c r="B985" s="4">
        <v>42190</v>
      </c>
      <c r="C985" s="9">
        <f t="shared" si="63"/>
        <v>7</v>
      </c>
      <c r="D985">
        <f t="shared" si="64"/>
        <v>2015</v>
      </c>
      <c r="E985">
        <f t="shared" si="65"/>
        <v>1</v>
      </c>
      <c r="F985" t="s">
        <v>516</v>
      </c>
      <c r="G985" t="s">
        <v>549</v>
      </c>
      <c r="H985" t="s">
        <v>549</v>
      </c>
      <c r="J985">
        <v>29</v>
      </c>
      <c r="K985">
        <f t="shared" si="66"/>
        <v>29</v>
      </c>
      <c r="R985" t="s">
        <v>1351</v>
      </c>
    </row>
    <row r="986" spans="1:18" x14ac:dyDescent="0.25">
      <c r="A986" t="s">
        <v>341</v>
      </c>
      <c r="B986" s="4">
        <v>42196</v>
      </c>
      <c r="C986" s="9">
        <f t="shared" si="63"/>
        <v>7</v>
      </c>
      <c r="D986">
        <f t="shared" si="64"/>
        <v>2015</v>
      </c>
      <c r="E986">
        <f t="shared" si="65"/>
        <v>1</v>
      </c>
      <c r="F986" t="s">
        <v>516</v>
      </c>
      <c r="G986" t="s">
        <v>101</v>
      </c>
      <c r="H986" t="s">
        <v>153</v>
      </c>
      <c r="J986">
        <v>57</v>
      </c>
      <c r="K986">
        <f t="shared" si="66"/>
        <v>57</v>
      </c>
      <c r="R986" t="s">
        <v>1348</v>
      </c>
    </row>
    <row r="987" spans="1:18" x14ac:dyDescent="0.25">
      <c r="A987" t="s">
        <v>341</v>
      </c>
      <c r="B987" s="4">
        <v>42203</v>
      </c>
      <c r="C987" s="9">
        <f t="shared" si="63"/>
        <v>7</v>
      </c>
      <c r="D987">
        <f t="shared" si="64"/>
        <v>2015</v>
      </c>
      <c r="E987">
        <f t="shared" si="65"/>
        <v>1</v>
      </c>
      <c r="F987" t="s">
        <v>516</v>
      </c>
      <c r="G987" t="s">
        <v>101</v>
      </c>
      <c r="H987" t="s">
        <v>273</v>
      </c>
      <c r="J987">
        <v>12</v>
      </c>
      <c r="K987">
        <f t="shared" si="66"/>
        <v>12</v>
      </c>
      <c r="M987" t="s">
        <v>550</v>
      </c>
      <c r="R987" t="s">
        <v>1348</v>
      </c>
    </row>
    <row r="988" spans="1:18" x14ac:dyDescent="0.25">
      <c r="A988" t="s">
        <v>341</v>
      </c>
      <c r="B988" s="4">
        <v>42205</v>
      </c>
      <c r="C988" s="9">
        <f t="shared" si="63"/>
        <v>7</v>
      </c>
      <c r="D988">
        <f t="shared" si="64"/>
        <v>2015</v>
      </c>
      <c r="E988">
        <f t="shared" si="65"/>
        <v>1</v>
      </c>
      <c r="F988" t="s">
        <v>516</v>
      </c>
      <c r="G988" t="s">
        <v>101</v>
      </c>
      <c r="H988" t="s">
        <v>153</v>
      </c>
      <c r="I988">
        <v>1</v>
      </c>
      <c r="J988">
        <v>22</v>
      </c>
      <c r="K988">
        <f t="shared" si="66"/>
        <v>82</v>
      </c>
      <c r="R988" t="s">
        <v>1348</v>
      </c>
    </row>
    <row r="989" spans="1:18" x14ac:dyDescent="0.25">
      <c r="A989" t="s">
        <v>341</v>
      </c>
      <c r="B989" s="4">
        <v>42206</v>
      </c>
      <c r="C989" s="9">
        <f t="shared" si="63"/>
        <v>7</v>
      </c>
      <c r="D989">
        <f t="shared" si="64"/>
        <v>2015</v>
      </c>
      <c r="E989">
        <f t="shared" si="65"/>
        <v>1</v>
      </c>
      <c r="F989" t="s">
        <v>516</v>
      </c>
      <c r="G989" t="s">
        <v>406</v>
      </c>
      <c r="H989" t="s">
        <v>244</v>
      </c>
      <c r="I989">
        <v>2</v>
      </c>
      <c r="J989">
        <v>20</v>
      </c>
      <c r="K989">
        <f t="shared" si="66"/>
        <v>140</v>
      </c>
      <c r="R989" t="s">
        <v>1348</v>
      </c>
    </row>
    <row r="990" spans="1:18" x14ac:dyDescent="0.25">
      <c r="A990" t="s">
        <v>341</v>
      </c>
      <c r="B990" s="4">
        <v>42216</v>
      </c>
      <c r="C990" s="9">
        <f t="shared" si="63"/>
        <v>7</v>
      </c>
      <c r="D990">
        <f t="shared" si="64"/>
        <v>2015</v>
      </c>
      <c r="E990">
        <f t="shared" si="65"/>
        <v>1</v>
      </c>
      <c r="F990" t="s">
        <v>516</v>
      </c>
      <c r="G990" t="s">
        <v>101</v>
      </c>
      <c r="H990" t="s">
        <v>153</v>
      </c>
      <c r="J990">
        <v>54</v>
      </c>
      <c r="K990">
        <f t="shared" si="66"/>
        <v>54</v>
      </c>
      <c r="R990" t="s">
        <v>1348</v>
      </c>
    </row>
    <row r="991" spans="1:18" x14ac:dyDescent="0.25">
      <c r="A991" t="s">
        <v>341</v>
      </c>
      <c r="B991" s="4">
        <v>42219</v>
      </c>
      <c r="C991" s="9">
        <f t="shared" si="63"/>
        <v>8</v>
      </c>
      <c r="D991">
        <f t="shared" si="64"/>
        <v>2015</v>
      </c>
      <c r="E991">
        <f t="shared" si="65"/>
        <v>1</v>
      </c>
      <c r="F991" t="s">
        <v>516</v>
      </c>
      <c r="G991" t="s">
        <v>552</v>
      </c>
      <c r="H991" t="s">
        <v>552</v>
      </c>
      <c r="J991">
        <v>34</v>
      </c>
      <c r="K991">
        <f t="shared" si="66"/>
        <v>34</v>
      </c>
      <c r="R991" t="s">
        <v>1348</v>
      </c>
    </row>
    <row r="992" spans="1:18" x14ac:dyDescent="0.25">
      <c r="A992" t="s">
        <v>341</v>
      </c>
      <c r="B992" s="4">
        <v>42224</v>
      </c>
      <c r="C992" s="9">
        <f t="shared" si="63"/>
        <v>8</v>
      </c>
      <c r="D992">
        <f t="shared" si="64"/>
        <v>2015</v>
      </c>
      <c r="E992">
        <f t="shared" si="65"/>
        <v>1</v>
      </c>
      <c r="F992" t="s">
        <v>516</v>
      </c>
      <c r="G992" t="s">
        <v>7</v>
      </c>
      <c r="H992" t="s">
        <v>55</v>
      </c>
      <c r="I992">
        <v>1</v>
      </c>
      <c r="J992">
        <v>1</v>
      </c>
      <c r="K992">
        <f t="shared" si="66"/>
        <v>61</v>
      </c>
      <c r="R992" t="s">
        <v>1348</v>
      </c>
    </row>
    <row r="993" spans="1:18" x14ac:dyDescent="0.25">
      <c r="A993" t="s">
        <v>341</v>
      </c>
      <c r="B993" s="4">
        <v>42237</v>
      </c>
      <c r="C993" s="9">
        <f t="shared" si="63"/>
        <v>8</v>
      </c>
      <c r="D993">
        <f t="shared" si="64"/>
        <v>2015</v>
      </c>
      <c r="E993">
        <f t="shared" si="65"/>
        <v>1</v>
      </c>
      <c r="F993" t="s">
        <v>516</v>
      </c>
      <c r="G993" t="s">
        <v>406</v>
      </c>
      <c r="H993" t="s">
        <v>153</v>
      </c>
      <c r="I993">
        <v>1</v>
      </c>
      <c r="J993">
        <v>32</v>
      </c>
      <c r="K993">
        <f t="shared" si="66"/>
        <v>92</v>
      </c>
      <c r="R993" t="s">
        <v>1348</v>
      </c>
    </row>
    <row r="994" spans="1:18" x14ac:dyDescent="0.25">
      <c r="A994" t="s">
        <v>341</v>
      </c>
      <c r="B994" s="4">
        <v>42238</v>
      </c>
      <c r="C994" s="9">
        <f t="shared" si="63"/>
        <v>8</v>
      </c>
      <c r="D994">
        <f t="shared" si="64"/>
        <v>2015</v>
      </c>
      <c r="E994">
        <f t="shared" si="65"/>
        <v>1</v>
      </c>
      <c r="F994" t="s">
        <v>516</v>
      </c>
      <c r="G994" t="s">
        <v>406</v>
      </c>
      <c r="H994" t="s">
        <v>273</v>
      </c>
      <c r="I994">
        <v>1</v>
      </c>
      <c r="J994">
        <v>59</v>
      </c>
      <c r="K994">
        <f t="shared" si="66"/>
        <v>119</v>
      </c>
      <c r="R994" t="s">
        <v>1348</v>
      </c>
    </row>
    <row r="995" spans="1:18" x14ac:dyDescent="0.25">
      <c r="A995" t="s">
        <v>341</v>
      </c>
      <c r="B995" s="4">
        <v>42244</v>
      </c>
      <c r="C995" s="9">
        <f t="shared" si="63"/>
        <v>8</v>
      </c>
      <c r="D995">
        <f t="shared" si="64"/>
        <v>2015</v>
      </c>
      <c r="E995">
        <f t="shared" si="65"/>
        <v>1</v>
      </c>
      <c r="F995" t="s">
        <v>516</v>
      </c>
      <c r="G995" t="s">
        <v>231</v>
      </c>
      <c r="H995" t="s">
        <v>273</v>
      </c>
      <c r="J995">
        <v>41</v>
      </c>
      <c r="K995">
        <f t="shared" si="66"/>
        <v>41</v>
      </c>
      <c r="R995" t="s">
        <v>1348</v>
      </c>
    </row>
    <row r="996" spans="1:18" x14ac:dyDescent="0.25">
      <c r="A996" t="s">
        <v>341</v>
      </c>
      <c r="B996" s="4">
        <v>42245</v>
      </c>
      <c r="C996" s="9">
        <f t="shared" si="63"/>
        <v>8</v>
      </c>
      <c r="D996">
        <f t="shared" si="64"/>
        <v>2015</v>
      </c>
      <c r="E996">
        <f t="shared" si="65"/>
        <v>1</v>
      </c>
      <c r="F996" t="s">
        <v>516</v>
      </c>
      <c r="G996" t="s">
        <v>406</v>
      </c>
      <c r="H996" t="s">
        <v>273</v>
      </c>
      <c r="I996">
        <v>2</v>
      </c>
      <c r="J996">
        <v>22</v>
      </c>
      <c r="K996">
        <f t="shared" si="66"/>
        <v>142</v>
      </c>
      <c r="R996" t="s">
        <v>1348</v>
      </c>
    </row>
    <row r="997" spans="1:18" x14ac:dyDescent="0.25">
      <c r="A997" t="s">
        <v>341</v>
      </c>
      <c r="B997" s="4">
        <v>42246</v>
      </c>
      <c r="C997" s="9">
        <f t="shared" si="63"/>
        <v>8</v>
      </c>
      <c r="D997">
        <f t="shared" si="64"/>
        <v>2015</v>
      </c>
      <c r="E997">
        <f t="shared" si="65"/>
        <v>1</v>
      </c>
      <c r="F997" t="s">
        <v>516</v>
      </c>
      <c r="G997" t="s">
        <v>553</v>
      </c>
      <c r="H997" t="s">
        <v>554</v>
      </c>
      <c r="I997">
        <v>1</v>
      </c>
      <c r="J997">
        <v>30</v>
      </c>
      <c r="K997">
        <f t="shared" si="66"/>
        <v>90</v>
      </c>
      <c r="L997" t="s">
        <v>1249</v>
      </c>
      <c r="M997" t="s">
        <v>560</v>
      </c>
      <c r="R997" t="s">
        <v>1249</v>
      </c>
    </row>
    <row r="998" spans="1:18" x14ac:dyDescent="0.25">
      <c r="A998" t="s">
        <v>341</v>
      </c>
      <c r="B998" s="4">
        <v>42247</v>
      </c>
      <c r="C998" s="9">
        <f t="shared" si="63"/>
        <v>8</v>
      </c>
      <c r="D998">
        <f t="shared" si="64"/>
        <v>2015</v>
      </c>
      <c r="E998">
        <f t="shared" si="65"/>
        <v>1</v>
      </c>
      <c r="F998" t="s">
        <v>516</v>
      </c>
      <c r="G998" t="s">
        <v>556</v>
      </c>
      <c r="H998" t="s">
        <v>555</v>
      </c>
      <c r="I998">
        <v>1</v>
      </c>
      <c r="J998">
        <v>29</v>
      </c>
      <c r="K998">
        <f t="shared" si="66"/>
        <v>89</v>
      </c>
      <c r="L998" t="s">
        <v>1249</v>
      </c>
      <c r="R998" t="s">
        <v>1249</v>
      </c>
    </row>
    <row r="999" spans="1:18" x14ac:dyDescent="0.25">
      <c r="A999" t="s">
        <v>341</v>
      </c>
      <c r="B999" s="4">
        <v>42247</v>
      </c>
      <c r="C999" s="9">
        <f t="shared" si="63"/>
        <v>8</v>
      </c>
      <c r="D999">
        <f t="shared" si="64"/>
        <v>2015</v>
      </c>
      <c r="E999">
        <f t="shared" si="65"/>
        <v>0</v>
      </c>
      <c r="F999" t="s">
        <v>516</v>
      </c>
      <c r="G999" t="s">
        <v>556</v>
      </c>
      <c r="H999" t="s">
        <v>555</v>
      </c>
      <c r="I999">
        <v>1</v>
      </c>
      <c r="J999">
        <v>48</v>
      </c>
      <c r="K999">
        <f t="shared" si="66"/>
        <v>108</v>
      </c>
      <c r="L999" t="s">
        <v>1249</v>
      </c>
      <c r="R999" t="s">
        <v>1249</v>
      </c>
    </row>
    <row r="1000" spans="1:18" x14ac:dyDescent="0.25">
      <c r="A1000" t="s">
        <v>341</v>
      </c>
      <c r="B1000" s="4">
        <v>42248</v>
      </c>
      <c r="C1000" s="9">
        <f t="shared" si="63"/>
        <v>9</v>
      </c>
      <c r="D1000">
        <f t="shared" ref="D1000:D1063" si="67">YEAR(B1000)</f>
        <v>2015</v>
      </c>
      <c r="E1000">
        <f t="shared" ref="E1000:E1063" si="68">IF(OR(A1000 = "GS",A1000 = "BP"),IF( OR(A999="GS",A999="BP"),IF(B999=B1000,0,1),1),0)</f>
        <v>1</v>
      </c>
      <c r="F1000" t="s">
        <v>516</v>
      </c>
      <c r="G1000" t="s">
        <v>557</v>
      </c>
      <c r="H1000" t="s">
        <v>557</v>
      </c>
      <c r="I1000">
        <v>1</v>
      </c>
      <c r="J1000">
        <v>10</v>
      </c>
      <c r="K1000">
        <f t="shared" ref="K1000:K1063" si="69">I1000*60+J1000</f>
        <v>70</v>
      </c>
      <c r="L1000" t="s">
        <v>1249</v>
      </c>
      <c r="R1000" t="s">
        <v>1249</v>
      </c>
    </row>
    <row r="1001" spans="1:18" x14ac:dyDescent="0.25">
      <c r="A1001" t="s">
        <v>341</v>
      </c>
      <c r="B1001" s="4">
        <v>42248</v>
      </c>
      <c r="C1001" s="9">
        <f t="shared" si="63"/>
        <v>9</v>
      </c>
      <c r="D1001">
        <f t="shared" si="67"/>
        <v>2015</v>
      </c>
      <c r="E1001">
        <f t="shared" si="68"/>
        <v>0</v>
      </c>
      <c r="F1001" t="s">
        <v>516</v>
      </c>
      <c r="G1001" t="s">
        <v>557</v>
      </c>
      <c r="H1001" t="s">
        <v>557</v>
      </c>
      <c r="I1001">
        <v>1</v>
      </c>
      <c r="J1001">
        <v>17</v>
      </c>
      <c r="K1001">
        <f t="shared" si="69"/>
        <v>77</v>
      </c>
      <c r="L1001" t="s">
        <v>1249</v>
      </c>
      <c r="R1001" t="s">
        <v>1249</v>
      </c>
    </row>
    <row r="1002" spans="1:18" x14ac:dyDescent="0.25">
      <c r="A1002" t="s">
        <v>341</v>
      </c>
      <c r="B1002" s="4">
        <v>42249</v>
      </c>
      <c r="C1002" s="9">
        <f t="shared" si="63"/>
        <v>9</v>
      </c>
      <c r="D1002">
        <f t="shared" si="67"/>
        <v>2015</v>
      </c>
      <c r="E1002">
        <f t="shared" si="68"/>
        <v>1</v>
      </c>
      <c r="F1002" t="s">
        <v>516</v>
      </c>
      <c r="G1002" t="s">
        <v>559</v>
      </c>
      <c r="H1002" t="s">
        <v>558</v>
      </c>
      <c r="J1002">
        <v>38</v>
      </c>
      <c r="K1002">
        <f t="shared" si="69"/>
        <v>38</v>
      </c>
      <c r="L1002" t="s">
        <v>1249</v>
      </c>
      <c r="R1002" t="s">
        <v>1249</v>
      </c>
    </row>
    <row r="1003" spans="1:18" x14ac:dyDescent="0.25">
      <c r="A1003" t="s">
        <v>341</v>
      </c>
      <c r="B1003" s="4">
        <v>42249</v>
      </c>
      <c r="C1003" s="9">
        <f t="shared" si="63"/>
        <v>9</v>
      </c>
      <c r="D1003">
        <f t="shared" si="67"/>
        <v>2015</v>
      </c>
      <c r="E1003">
        <f t="shared" si="68"/>
        <v>0</v>
      </c>
      <c r="F1003" t="s">
        <v>516</v>
      </c>
      <c r="G1003" t="s">
        <v>556</v>
      </c>
      <c r="H1003" t="s">
        <v>555</v>
      </c>
      <c r="J1003">
        <v>12</v>
      </c>
      <c r="K1003">
        <f t="shared" si="69"/>
        <v>12</v>
      </c>
      <c r="L1003" t="s">
        <v>1249</v>
      </c>
      <c r="R1003" t="s">
        <v>1249</v>
      </c>
    </row>
    <row r="1004" spans="1:18" x14ac:dyDescent="0.25">
      <c r="A1004" t="s">
        <v>341</v>
      </c>
      <c r="B1004" s="4">
        <v>42250</v>
      </c>
      <c r="C1004" s="9">
        <f t="shared" si="63"/>
        <v>9</v>
      </c>
      <c r="D1004">
        <f t="shared" si="67"/>
        <v>2015</v>
      </c>
      <c r="E1004">
        <f t="shared" si="68"/>
        <v>1</v>
      </c>
      <c r="F1004" t="s">
        <v>516</v>
      </c>
      <c r="G1004" t="s">
        <v>557</v>
      </c>
      <c r="H1004" t="s">
        <v>557</v>
      </c>
      <c r="J1004">
        <v>50</v>
      </c>
      <c r="K1004">
        <f t="shared" si="69"/>
        <v>50</v>
      </c>
      <c r="L1004" t="s">
        <v>1249</v>
      </c>
      <c r="R1004" t="s">
        <v>1249</v>
      </c>
    </row>
    <row r="1005" spans="1:18" x14ac:dyDescent="0.25">
      <c r="A1005" t="s">
        <v>341</v>
      </c>
      <c r="B1005" s="4">
        <v>42250</v>
      </c>
      <c r="C1005" s="9">
        <f t="shared" si="63"/>
        <v>9</v>
      </c>
      <c r="D1005">
        <f t="shared" si="67"/>
        <v>2015</v>
      </c>
      <c r="E1005">
        <f t="shared" si="68"/>
        <v>0</v>
      </c>
      <c r="F1005" t="s">
        <v>516</v>
      </c>
      <c r="G1005" t="s">
        <v>557</v>
      </c>
      <c r="H1005" t="s">
        <v>557</v>
      </c>
      <c r="I1005">
        <v>1</v>
      </c>
      <c r="J1005">
        <v>25</v>
      </c>
      <c r="K1005">
        <f t="shared" si="69"/>
        <v>85</v>
      </c>
      <c r="L1005" t="s">
        <v>1249</v>
      </c>
      <c r="R1005" t="s">
        <v>1249</v>
      </c>
    </row>
    <row r="1006" spans="1:18" x14ac:dyDescent="0.25">
      <c r="A1006" t="s">
        <v>341</v>
      </c>
      <c r="B1006" s="4">
        <v>42251</v>
      </c>
      <c r="C1006" s="9">
        <f t="shared" si="63"/>
        <v>9</v>
      </c>
      <c r="D1006">
        <f t="shared" si="67"/>
        <v>2015</v>
      </c>
      <c r="E1006">
        <f t="shared" si="68"/>
        <v>1</v>
      </c>
      <c r="F1006" t="s">
        <v>516</v>
      </c>
      <c r="G1006" t="s">
        <v>556</v>
      </c>
      <c r="H1006" t="s">
        <v>555</v>
      </c>
      <c r="J1006">
        <v>12</v>
      </c>
      <c r="K1006">
        <f t="shared" si="69"/>
        <v>12</v>
      </c>
      <c r="L1006" t="s">
        <v>1249</v>
      </c>
      <c r="R1006" t="s">
        <v>1249</v>
      </c>
    </row>
    <row r="1007" spans="1:18" x14ac:dyDescent="0.25">
      <c r="A1007" t="s">
        <v>341</v>
      </c>
      <c r="B1007" s="4">
        <v>42281</v>
      </c>
      <c r="C1007" s="9">
        <f t="shared" si="63"/>
        <v>10</v>
      </c>
      <c r="D1007">
        <f t="shared" si="67"/>
        <v>2015</v>
      </c>
      <c r="E1007">
        <f t="shared" si="68"/>
        <v>1</v>
      </c>
      <c r="F1007" t="s">
        <v>516</v>
      </c>
      <c r="G1007" t="s">
        <v>561</v>
      </c>
      <c r="H1007" t="s">
        <v>561</v>
      </c>
      <c r="I1007">
        <v>1</v>
      </c>
      <c r="J1007">
        <v>28</v>
      </c>
      <c r="K1007">
        <f t="shared" si="69"/>
        <v>88</v>
      </c>
      <c r="L1007" t="s">
        <v>1203</v>
      </c>
      <c r="M1007" t="s">
        <v>572</v>
      </c>
      <c r="R1007" t="s">
        <v>1351</v>
      </c>
    </row>
    <row r="1008" spans="1:18" x14ac:dyDescent="0.25">
      <c r="A1008" t="s">
        <v>341</v>
      </c>
      <c r="B1008" s="4">
        <v>42282</v>
      </c>
      <c r="C1008" s="9">
        <f t="shared" si="63"/>
        <v>10</v>
      </c>
      <c r="D1008">
        <f t="shared" si="67"/>
        <v>2015</v>
      </c>
      <c r="E1008">
        <f t="shared" si="68"/>
        <v>1</v>
      </c>
      <c r="F1008" t="s">
        <v>516</v>
      </c>
      <c r="G1008" t="s">
        <v>562</v>
      </c>
      <c r="H1008" t="s">
        <v>276</v>
      </c>
      <c r="J1008">
        <v>12</v>
      </c>
      <c r="K1008">
        <f t="shared" si="69"/>
        <v>12</v>
      </c>
      <c r="L1008" t="s">
        <v>1203</v>
      </c>
      <c r="R1008" t="s">
        <v>1351</v>
      </c>
    </row>
    <row r="1009" spans="1:18" x14ac:dyDescent="0.25">
      <c r="A1009" t="s">
        <v>341</v>
      </c>
      <c r="B1009" s="4">
        <v>42282</v>
      </c>
      <c r="C1009" s="9">
        <f t="shared" si="63"/>
        <v>10</v>
      </c>
      <c r="D1009">
        <f t="shared" si="67"/>
        <v>2015</v>
      </c>
      <c r="E1009">
        <f t="shared" si="68"/>
        <v>0</v>
      </c>
      <c r="F1009" t="s">
        <v>516</v>
      </c>
      <c r="G1009" t="s">
        <v>562</v>
      </c>
      <c r="H1009" t="s">
        <v>276</v>
      </c>
      <c r="J1009">
        <v>14</v>
      </c>
      <c r="K1009">
        <f t="shared" si="69"/>
        <v>14</v>
      </c>
      <c r="L1009" t="s">
        <v>1203</v>
      </c>
      <c r="R1009" t="s">
        <v>1351</v>
      </c>
    </row>
    <row r="1010" spans="1:18" x14ac:dyDescent="0.25">
      <c r="A1010" t="s">
        <v>341</v>
      </c>
      <c r="B1010" s="4">
        <v>42282</v>
      </c>
      <c r="C1010" s="9">
        <f t="shared" si="63"/>
        <v>10</v>
      </c>
      <c r="D1010">
        <f t="shared" si="67"/>
        <v>2015</v>
      </c>
      <c r="E1010">
        <f t="shared" si="68"/>
        <v>0</v>
      </c>
      <c r="F1010" t="s">
        <v>516</v>
      </c>
      <c r="G1010" t="s">
        <v>563</v>
      </c>
      <c r="H1010" t="s">
        <v>276</v>
      </c>
      <c r="J1010">
        <v>9</v>
      </c>
      <c r="K1010">
        <f t="shared" si="69"/>
        <v>9</v>
      </c>
      <c r="L1010" t="s">
        <v>1203</v>
      </c>
      <c r="R1010" t="s">
        <v>1351</v>
      </c>
    </row>
    <row r="1011" spans="1:18" x14ac:dyDescent="0.25">
      <c r="A1011" t="s">
        <v>341</v>
      </c>
      <c r="B1011" s="4">
        <v>42283</v>
      </c>
      <c r="C1011" s="9">
        <f t="shared" si="63"/>
        <v>10</v>
      </c>
      <c r="D1011">
        <f t="shared" si="67"/>
        <v>2015</v>
      </c>
      <c r="E1011">
        <f t="shared" si="68"/>
        <v>1</v>
      </c>
      <c r="F1011" t="s">
        <v>516</v>
      </c>
      <c r="G1011" t="s">
        <v>563</v>
      </c>
      <c r="H1011" t="s">
        <v>276</v>
      </c>
      <c r="J1011">
        <v>14</v>
      </c>
      <c r="K1011">
        <f t="shared" si="69"/>
        <v>14</v>
      </c>
      <c r="L1011" t="s">
        <v>1203</v>
      </c>
      <c r="R1011" t="s">
        <v>1351</v>
      </c>
    </row>
    <row r="1012" spans="1:18" x14ac:dyDescent="0.25">
      <c r="A1012" t="s">
        <v>341</v>
      </c>
      <c r="B1012" s="4">
        <v>42283</v>
      </c>
      <c r="C1012" s="9">
        <f t="shared" si="63"/>
        <v>10</v>
      </c>
      <c r="D1012">
        <f t="shared" si="67"/>
        <v>2015</v>
      </c>
      <c r="E1012">
        <f t="shared" si="68"/>
        <v>0</v>
      </c>
      <c r="F1012" t="s">
        <v>516</v>
      </c>
      <c r="G1012" t="s">
        <v>563</v>
      </c>
      <c r="H1012" t="s">
        <v>276</v>
      </c>
      <c r="J1012">
        <v>16</v>
      </c>
      <c r="K1012">
        <f t="shared" si="69"/>
        <v>16</v>
      </c>
      <c r="L1012" t="s">
        <v>1203</v>
      </c>
      <c r="R1012" t="s">
        <v>1351</v>
      </c>
    </row>
    <row r="1013" spans="1:18" x14ac:dyDescent="0.25">
      <c r="A1013" t="s">
        <v>341</v>
      </c>
      <c r="B1013" s="4">
        <v>42283</v>
      </c>
      <c r="C1013" s="9">
        <f t="shared" si="63"/>
        <v>10</v>
      </c>
      <c r="D1013">
        <f t="shared" si="67"/>
        <v>2015</v>
      </c>
      <c r="E1013">
        <f t="shared" si="68"/>
        <v>0</v>
      </c>
      <c r="F1013" t="s">
        <v>516</v>
      </c>
      <c r="G1013" t="s">
        <v>563</v>
      </c>
      <c r="H1013" t="s">
        <v>276</v>
      </c>
      <c r="J1013">
        <v>11</v>
      </c>
      <c r="K1013">
        <f t="shared" si="69"/>
        <v>11</v>
      </c>
      <c r="L1013" t="s">
        <v>1203</v>
      </c>
      <c r="R1013" t="s">
        <v>1351</v>
      </c>
    </row>
    <row r="1014" spans="1:18" x14ac:dyDescent="0.25">
      <c r="A1014" t="s">
        <v>341</v>
      </c>
      <c r="B1014" s="4">
        <v>42284</v>
      </c>
      <c r="C1014" s="9">
        <f t="shared" si="63"/>
        <v>10</v>
      </c>
      <c r="D1014">
        <f t="shared" si="67"/>
        <v>2015</v>
      </c>
      <c r="E1014">
        <f t="shared" si="68"/>
        <v>1</v>
      </c>
      <c r="F1014" t="s">
        <v>516</v>
      </c>
      <c r="G1014" t="s">
        <v>564</v>
      </c>
      <c r="H1014" t="s">
        <v>564</v>
      </c>
      <c r="J1014">
        <v>54</v>
      </c>
      <c r="K1014">
        <f t="shared" si="69"/>
        <v>54</v>
      </c>
      <c r="L1014" t="s">
        <v>1203</v>
      </c>
      <c r="R1014" t="s">
        <v>1351</v>
      </c>
    </row>
    <row r="1015" spans="1:18" x14ac:dyDescent="0.25">
      <c r="A1015" t="s">
        <v>341</v>
      </c>
      <c r="B1015" s="4">
        <v>42284</v>
      </c>
      <c r="C1015" s="9">
        <f t="shared" si="63"/>
        <v>10</v>
      </c>
      <c r="D1015">
        <f t="shared" si="67"/>
        <v>2015</v>
      </c>
      <c r="E1015">
        <f t="shared" si="68"/>
        <v>0</v>
      </c>
      <c r="F1015" t="s">
        <v>516</v>
      </c>
      <c r="G1015" t="s">
        <v>564</v>
      </c>
      <c r="H1015" t="s">
        <v>564</v>
      </c>
      <c r="I1015">
        <v>1</v>
      </c>
      <c r="J1015">
        <v>35</v>
      </c>
      <c r="K1015">
        <f t="shared" si="69"/>
        <v>95</v>
      </c>
      <c r="L1015" t="s">
        <v>1203</v>
      </c>
      <c r="R1015" t="s">
        <v>1351</v>
      </c>
    </row>
    <row r="1016" spans="1:18" x14ac:dyDescent="0.25">
      <c r="A1016" t="s">
        <v>341</v>
      </c>
      <c r="B1016" s="4">
        <v>42284</v>
      </c>
      <c r="C1016" s="9">
        <f t="shared" si="63"/>
        <v>10</v>
      </c>
      <c r="D1016">
        <f t="shared" si="67"/>
        <v>2015</v>
      </c>
      <c r="E1016">
        <f t="shared" si="68"/>
        <v>0</v>
      </c>
      <c r="F1016" t="s">
        <v>516</v>
      </c>
      <c r="G1016" t="s">
        <v>564</v>
      </c>
      <c r="H1016" t="s">
        <v>564</v>
      </c>
      <c r="J1016">
        <v>53</v>
      </c>
      <c r="K1016">
        <f t="shared" si="69"/>
        <v>53</v>
      </c>
      <c r="L1016" t="s">
        <v>1203</v>
      </c>
      <c r="R1016" t="s">
        <v>1351</v>
      </c>
    </row>
    <row r="1017" spans="1:18" x14ac:dyDescent="0.25">
      <c r="A1017" t="s">
        <v>341</v>
      </c>
      <c r="B1017" s="4">
        <v>42285</v>
      </c>
      <c r="C1017" s="9">
        <f t="shared" si="63"/>
        <v>10</v>
      </c>
      <c r="D1017">
        <f t="shared" si="67"/>
        <v>2015</v>
      </c>
      <c r="E1017">
        <f t="shared" si="68"/>
        <v>1</v>
      </c>
      <c r="F1017" t="s">
        <v>516</v>
      </c>
      <c r="G1017" t="s">
        <v>562</v>
      </c>
      <c r="H1017" t="s">
        <v>565</v>
      </c>
      <c r="I1017">
        <v>1</v>
      </c>
      <c r="J1017">
        <v>43</v>
      </c>
      <c r="K1017">
        <f t="shared" si="69"/>
        <v>103</v>
      </c>
      <c r="L1017" t="s">
        <v>1203</v>
      </c>
      <c r="R1017" t="s">
        <v>1351</v>
      </c>
    </row>
    <row r="1018" spans="1:18" x14ac:dyDescent="0.25">
      <c r="A1018" t="s">
        <v>341</v>
      </c>
      <c r="B1018" s="4">
        <v>42286</v>
      </c>
      <c r="C1018" s="9">
        <f t="shared" si="63"/>
        <v>10</v>
      </c>
      <c r="D1018">
        <f t="shared" si="67"/>
        <v>2015</v>
      </c>
      <c r="E1018">
        <f t="shared" si="68"/>
        <v>1</v>
      </c>
      <c r="F1018" t="s">
        <v>516</v>
      </c>
      <c r="G1018" t="s">
        <v>563</v>
      </c>
      <c r="H1018" t="s">
        <v>276</v>
      </c>
      <c r="J1018">
        <v>50</v>
      </c>
      <c r="K1018">
        <f t="shared" si="69"/>
        <v>50</v>
      </c>
      <c r="L1018" t="s">
        <v>1203</v>
      </c>
      <c r="R1018" t="s">
        <v>1351</v>
      </c>
    </row>
    <row r="1019" spans="1:18" x14ac:dyDescent="0.25">
      <c r="A1019" t="s">
        <v>341</v>
      </c>
      <c r="B1019" s="4">
        <v>42286</v>
      </c>
      <c r="C1019" s="9">
        <f t="shared" si="63"/>
        <v>10</v>
      </c>
      <c r="D1019">
        <f t="shared" si="67"/>
        <v>2015</v>
      </c>
      <c r="E1019">
        <f t="shared" si="68"/>
        <v>0</v>
      </c>
      <c r="F1019" t="s">
        <v>516</v>
      </c>
      <c r="G1019" t="s">
        <v>563</v>
      </c>
      <c r="H1019" t="s">
        <v>276</v>
      </c>
      <c r="I1019">
        <v>1</v>
      </c>
      <c r="J1019">
        <v>11</v>
      </c>
      <c r="K1019">
        <f t="shared" si="69"/>
        <v>71</v>
      </c>
      <c r="L1019" t="s">
        <v>1203</v>
      </c>
      <c r="R1019" t="s">
        <v>1351</v>
      </c>
    </row>
    <row r="1020" spans="1:18" x14ac:dyDescent="0.25">
      <c r="A1020" t="s">
        <v>341</v>
      </c>
      <c r="B1020" s="4">
        <v>42287</v>
      </c>
      <c r="C1020" s="9">
        <f t="shared" si="63"/>
        <v>10</v>
      </c>
      <c r="D1020">
        <f t="shared" si="67"/>
        <v>2015</v>
      </c>
      <c r="E1020">
        <f t="shared" si="68"/>
        <v>1</v>
      </c>
      <c r="F1020" t="s">
        <v>516</v>
      </c>
      <c r="G1020" t="s">
        <v>566</v>
      </c>
      <c r="H1020" t="s">
        <v>567</v>
      </c>
      <c r="I1020">
        <v>2</v>
      </c>
      <c r="J1020">
        <v>18</v>
      </c>
      <c r="K1020">
        <f t="shared" si="69"/>
        <v>138</v>
      </c>
      <c r="L1020" t="s">
        <v>1203</v>
      </c>
      <c r="R1020" t="s">
        <v>1351</v>
      </c>
    </row>
    <row r="1021" spans="1:18" x14ac:dyDescent="0.25">
      <c r="A1021" t="s">
        <v>341</v>
      </c>
      <c r="B1021" s="4">
        <v>42287</v>
      </c>
      <c r="C1021" s="9">
        <f t="shared" si="63"/>
        <v>10</v>
      </c>
      <c r="D1021">
        <f t="shared" si="67"/>
        <v>2015</v>
      </c>
      <c r="E1021">
        <f t="shared" si="68"/>
        <v>0</v>
      </c>
      <c r="F1021" t="s">
        <v>516</v>
      </c>
      <c r="G1021" t="s">
        <v>566</v>
      </c>
      <c r="H1021" t="s">
        <v>566</v>
      </c>
      <c r="J1021">
        <v>10</v>
      </c>
      <c r="K1021">
        <f t="shared" si="69"/>
        <v>10</v>
      </c>
      <c r="L1021" t="s">
        <v>1203</v>
      </c>
      <c r="R1021" t="s">
        <v>1351</v>
      </c>
    </row>
    <row r="1022" spans="1:18" x14ac:dyDescent="0.25">
      <c r="A1022" t="s">
        <v>341</v>
      </c>
      <c r="B1022" s="4">
        <v>42287</v>
      </c>
      <c r="C1022" s="9">
        <f t="shared" si="63"/>
        <v>10</v>
      </c>
      <c r="D1022">
        <f t="shared" si="67"/>
        <v>2015</v>
      </c>
      <c r="E1022">
        <f t="shared" si="68"/>
        <v>0</v>
      </c>
      <c r="F1022" t="s">
        <v>516</v>
      </c>
      <c r="G1022" t="s">
        <v>568</v>
      </c>
      <c r="H1022" t="s">
        <v>569</v>
      </c>
      <c r="J1022">
        <v>7</v>
      </c>
      <c r="K1022">
        <f t="shared" si="69"/>
        <v>7</v>
      </c>
      <c r="L1022" t="s">
        <v>1203</v>
      </c>
      <c r="R1022" t="s">
        <v>1351</v>
      </c>
    </row>
    <row r="1023" spans="1:18" x14ac:dyDescent="0.25">
      <c r="A1023" t="s">
        <v>341</v>
      </c>
      <c r="B1023" s="4">
        <v>42288</v>
      </c>
      <c r="C1023" s="9">
        <f t="shared" si="63"/>
        <v>10</v>
      </c>
      <c r="D1023">
        <f t="shared" si="67"/>
        <v>2015</v>
      </c>
      <c r="E1023">
        <f t="shared" si="68"/>
        <v>1</v>
      </c>
      <c r="F1023" t="s">
        <v>516</v>
      </c>
      <c r="G1023" t="s">
        <v>570</v>
      </c>
      <c r="H1023" t="s">
        <v>571</v>
      </c>
      <c r="I1023">
        <v>1</v>
      </c>
      <c r="J1023">
        <v>11</v>
      </c>
      <c r="K1023">
        <f t="shared" si="69"/>
        <v>71</v>
      </c>
      <c r="L1023" t="s">
        <v>1203</v>
      </c>
      <c r="R1023" t="s">
        <v>1351</v>
      </c>
    </row>
    <row r="1024" spans="1:18" x14ac:dyDescent="0.25">
      <c r="A1024" t="s">
        <v>341</v>
      </c>
      <c r="B1024" s="4">
        <v>42302</v>
      </c>
      <c r="C1024" s="9">
        <f t="shared" si="63"/>
        <v>10</v>
      </c>
      <c r="D1024">
        <f t="shared" si="67"/>
        <v>2015</v>
      </c>
      <c r="E1024">
        <f t="shared" si="68"/>
        <v>1</v>
      </c>
      <c r="F1024" t="s">
        <v>516</v>
      </c>
      <c r="G1024" t="s">
        <v>528</v>
      </c>
      <c r="H1024" t="s">
        <v>529</v>
      </c>
      <c r="J1024">
        <v>28</v>
      </c>
      <c r="K1024">
        <f t="shared" si="69"/>
        <v>28</v>
      </c>
      <c r="L1024" t="s">
        <v>531</v>
      </c>
      <c r="M1024" t="s">
        <v>573</v>
      </c>
      <c r="R1024" t="s">
        <v>1356</v>
      </c>
    </row>
    <row r="1025" spans="1:18" x14ac:dyDescent="0.25">
      <c r="A1025" t="s">
        <v>341</v>
      </c>
      <c r="B1025" s="4">
        <v>42302</v>
      </c>
      <c r="C1025" s="9">
        <f t="shared" si="63"/>
        <v>10</v>
      </c>
      <c r="D1025">
        <f t="shared" si="67"/>
        <v>2015</v>
      </c>
      <c r="E1025">
        <f t="shared" si="68"/>
        <v>0</v>
      </c>
      <c r="F1025" t="s">
        <v>516</v>
      </c>
      <c r="G1025" t="s">
        <v>528</v>
      </c>
      <c r="H1025" t="s">
        <v>529</v>
      </c>
      <c r="I1025">
        <v>1</v>
      </c>
      <c r="J1025">
        <v>12</v>
      </c>
      <c r="K1025">
        <f t="shared" si="69"/>
        <v>72</v>
      </c>
      <c r="L1025" t="s">
        <v>531</v>
      </c>
      <c r="R1025" t="s">
        <v>1356</v>
      </c>
    </row>
    <row r="1026" spans="1:18" x14ac:dyDescent="0.25">
      <c r="A1026" t="s">
        <v>341</v>
      </c>
      <c r="B1026" s="4">
        <v>42303</v>
      </c>
      <c r="C1026" s="9">
        <f t="shared" si="63"/>
        <v>10</v>
      </c>
      <c r="D1026">
        <f t="shared" si="67"/>
        <v>2015</v>
      </c>
      <c r="E1026">
        <f t="shared" si="68"/>
        <v>1</v>
      </c>
      <c r="F1026" t="s">
        <v>516</v>
      </c>
      <c r="G1026" t="s">
        <v>528</v>
      </c>
      <c r="H1026" t="s">
        <v>529</v>
      </c>
      <c r="I1026">
        <v>1</v>
      </c>
      <c r="J1026">
        <v>54</v>
      </c>
      <c r="K1026">
        <f t="shared" si="69"/>
        <v>114</v>
      </c>
      <c r="L1026" t="s">
        <v>531</v>
      </c>
      <c r="R1026" t="s">
        <v>1356</v>
      </c>
    </row>
    <row r="1027" spans="1:18" x14ac:dyDescent="0.25">
      <c r="A1027" t="s">
        <v>341</v>
      </c>
      <c r="B1027" s="4">
        <v>42303</v>
      </c>
      <c r="C1027" s="9">
        <f t="shared" ref="C1027:C1090" si="70">MONTH(B1027)</f>
        <v>10</v>
      </c>
      <c r="D1027">
        <f t="shared" si="67"/>
        <v>2015</v>
      </c>
      <c r="E1027">
        <f t="shared" si="68"/>
        <v>0</v>
      </c>
      <c r="F1027" t="s">
        <v>516</v>
      </c>
      <c r="G1027" t="s">
        <v>528</v>
      </c>
      <c r="H1027" t="s">
        <v>529</v>
      </c>
      <c r="I1027">
        <v>1</v>
      </c>
      <c r="J1027">
        <v>11</v>
      </c>
      <c r="K1027">
        <f t="shared" si="69"/>
        <v>71</v>
      </c>
      <c r="L1027" t="s">
        <v>531</v>
      </c>
      <c r="R1027" t="s">
        <v>1356</v>
      </c>
    </row>
    <row r="1028" spans="1:18" x14ac:dyDescent="0.25">
      <c r="A1028" t="s">
        <v>341</v>
      </c>
      <c r="B1028" s="4">
        <v>42304</v>
      </c>
      <c r="C1028" s="9">
        <f t="shared" si="70"/>
        <v>10</v>
      </c>
      <c r="D1028">
        <f t="shared" si="67"/>
        <v>2015</v>
      </c>
      <c r="E1028">
        <f t="shared" si="68"/>
        <v>1</v>
      </c>
      <c r="F1028" t="s">
        <v>516</v>
      </c>
      <c r="G1028" t="s">
        <v>528</v>
      </c>
      <c r="H1028" t="s">
        <v>529</v>
      </c>
      <c r="I1028">
        <v>1</v>
      </c>
      <c r="J1028">
        <v>24</v>
      </c>
      <c r="K1028">
        <f t="shared" si="69"/>
        <v>84</v>
      </c>
      <c r="L1028" t="s">
        <v>531</v>
      </c>
      <c r="R1028" t="s">
        <v>1356</v>
      </c>
    </row>
    <row r="1029" spans="1:18" x14ac:dyDescent="0.25">
      <c r="A1029" t="s">
        <v>341</v>
      </c>
      <c r="B1029" s="4">
        <v>42304</v>
      </c>
      <c r="C1029" s="9">
        <f t="shared" si="70"/>
        <v>10</v>
      </c>
      <c r="D1029">
        <f t="shared" si="67"/>
        <v>2015</v>
      </c>
      <c r="E1029">
        <f t="shared" si="68"/>
        <v>0</v>
      </c>
      <c r="F1029" t="s">
        <v>516</v>
      </c>
      <c r="G1029" t="s">
        <v>528</v>
      </c>
      <c r="H1029" t="s">
        <v>529</v>
      </c>
      <c r="I1029">
        <v>1</v>
      </c>
      <c r="J1029">
        <v>26</v>
      </c>
      <c r="K1029">
        <f t="shared" si="69"/>
        <v>86</v>
      </c>
      <c r="L1029" t="s">
        <v>531</v>
      </c>
      <c r="R1029" t="s">
        <v>1356</v>
      </c>
    </row>
    <row r="1030" spans="1:18" x14ac:dyDescent="0.25">
      <c r="A1030" t="s">
        <v>341</v>
      </c>
      <c r="B1030" s="4">
        <v>42305</v>
      </c>
      <c r="C1030" s="9">
        <f t="shared" si="70"/>
        <v>10</v>
      </c>
      <c r="D1030">
        <f t="shared" si="67"/>
        <v>2015</v>
      </c>
      <c r="E1030">
        <f t="shared" si="68"/>
        <v>1</v>
      </c>
      <c r="F1030" t="s">
        <v>516</v>
      </c>
      <c r="G1030" t="s">
        <v>528</v>
      </c>
      <c r="H1030" t="s">
        <v>529</v>
      </c>
      <c r="I1030">
        <v>1</v>
      </c>
      <c r="J1030">
        <v>9</v>
      </c>
      <c r="K1030">
        <f t="shared" si="69"/>
        <v>69</v>
      </c>
      <c r="L1030" t="s">
        <v>531</v>
      </c>
      <c r="R1030" t="s">
        <v>1356</v>
      </c>
    </row>
    <row r="1031" spans="1:18" x14ac:dyDescent="0.25">
      <c r="A1031" t="s">
        <v>341</v>
      </c>
      <c r="B1031" s="4">
        <v>42305</v>
      </c>
      <c r="C1031" s="9">
        <f t="shared" si="70"/>
        <v>10</v>
      </c>
      <c r="D1031">
        <f t="shared" si="67"/>
        <v>2015</v>
      </c>
      <c r="E1031">
        <f t="shared" si="68"/>
        <v>0</v>
      </c>
      <c r="F1031" t="s">
        <v>516</v>
      </c>
      <c r="G1031" t="s">
        <v>528</v>
      </c>
      <c r="H1031" t="s">
        <v>529</v>
      </c>
      <c r="I1031">
        <v>1</v>
      </c>
      <c r="J1031">
        <v>7</v>
      </c>
      <c r="K1031">
        <f t="shared" si="69"/>
        <v>67</v>
      </c>
      <c r="L1031" t="s">
        <v>531</v>
      </c>
      <c r="R1031" t="s">
        <v>1356</v>
      </c>
    </row>
    <row r="1032" spans="1:18" x14ac:dyDescent="0.25">
      <c r="A1032" t="s">
        <v>341</v>
      </c>
      <c r="B1032" s="4">
        <v>42306</v>
      </c>
      <c r="C1032" s="9">
        <f t="shared" si="70"/>
        <v>10</v>
      </c>
      <c r="D1032">
        <f t="shared" si="67"/>
        <v>2015</v>
      </c>
      <c r="E1032">
        <f t="shared" si="68"/>
        <v>1</v>
      </c>
      <c r="F1032" t="s">
        <v>516</v>
      </c>
      <c r="G1032" t="s">
        <v>528</v>
      </c>
      <c r="H1032" t="s">
        <v>529</v>
      </c>
      <c r="I1032">
        <v>1</v>
      </c>
      <c r="J1032">
        <v>42</v>
      </c>
      <c r="K1032">
        <f t="shared" si="69"/>
        <v>102</v>
      </c>
      <c r="L1032" t="s">
        <v>531</v>
      </c>
      <c r="R1032" t="s">
        <v>1356</v>
      </c>
    </row>
    <row r="1033" spans="1:18" x14ac:dyDescent="0.25">
      <c r="A1033" t="s">
        <v>341</v>
      </c>
      <c r="B1033" s="4">
        <v>42306</v>
      </c>
      <c r="C1033" s="9">
        <f t="shared" si="70"/>
        <v>10</v>
      </c>
      <c r="D1033">
        <f t="shared" si="67"/>
        <v>2015</v>
      </c>
      <c r="E1033">
        <f t="shared" si="68"/>
        <v>0</v>
      </c>
      <c r="F1033" t="s">
        <v>516</v>
      </c>
      <c r="G1033" t="s">
        <v>528</v>
      </c>
      <c r="H1033" t="s">
        <v>529</v>
      </c>
      <c r="I1033">
        <v>1</v>
      </c>
      <c r="J1033">
        <v>43</v>
      </c>
      <c r="K1033">
        <f t="shared" si="69"/>
        <v>103</v>
      </c>
      <c r="L1033" t="s">
        <v>531</v>
      </c>
      <c r="R1033" t="s">
        <v>1356</v>
      </c>
    </row>
    <row r="1034" spans="1:18" x14ac:dyDescent="0.25">
      <c r="A1034" t="s">
        <v>341</v>
      </c>
      <c r="B1034" s="4">
        <v>42307</v>
      </c>
      <c r="C1034" s="9">
        <f t="shared" si="70"/>
        <v>10</v>
      </c>
      <c r="D1034">
        <f t="shared" si="67"/>
        <v>2015</v>
      </c>
      <c r="E1034">
        <f t="shared" si="68"/>
        <v>1</v>
      </c>
      <c r="F1034" t="s">
        <v>516</v>
      </c>
      <c r="G1034" t="s">
        <v>528</v>
      </c>
      <c r="H1034" t="s">
        <v>530</v>
      </c>
      <c r="I1034">
        <v>1</v>
      </c>
      <c r="J1034">
        <v>54</v>
      </c>
      <c r="K1034">
        <f t="shared" si="69"/>
        <v>114</v>
      </c>
      <c r="L1034" t="s">
        <v>531</v>
      </c>
      <c r="R1034" t="s">
        <v>1356</v>
      </c>
    </row>
    <row r="1035" spans="1:18" x14ac:dyDescent="0.25">
      <c r="A1035" t="s">
        <v>341</v>
      </c>
      <c r="B1035" s="4">
        <v>42308</v>
      </c>
      <c r="C1035" s="9">
        <f t="shared" si="70"/>
        <v>10</v>
      </c>
      <c r="D1035">
        <f t="shared" si="67"/>
        <v>2015</v>
      </c>
      <c r="E1035">
        <f t="shared" si="68"/>
        <v>1</v>
      </c>
      <c r="F1035" t="s">
        <v>516</v>
      </c>
      <c r="G1035" t="s">
        <v>528</v>
      </c>
      <c r="H1035" t="s">
        <v>529</v>
      </c>
      <c r="I1035">
        <v>1</v>
      </c>
      <c r="J1035">
        <v>12</v>
      </c>
      <c r="K1035">
        <f t="shared" si="69"/>
        <v>72</v>
      </c>
      <c r="L1035" t="s">
        <v>531</v>
      </c>
      <c r="R1035" t="s">
        <v>1356</v>
      </c>
    </row>
    <row r="1036" spans="1:18" x14ac:dyDescent="0.25">
      <c r="A1036" t="s">
        <v>341</v>
      </c>
      <c r="B1036" s="4">
        <v>42308</v>
      </c>
      <c r="C1036" s="9">
        <f t="shared" si="70"/>
        <v>10</v>
      </c>
      <c r="D1036">
        <f t="shared" si="67"/>
        <v>2015</v>
      </c>
      <c r="E1036">
        <f t="shared" si="68"/>
        <v>0</v>
      </c>
      <c r="F1036" t="s">
        <v>516</v>
      </c>
      <c r="G1036" t="s">
        <v>528</v>
      </c>
      <c r="H1036" t="s">
        <v>529</v>
      </c>
      <c r="J1036">
        <v>54</v>
      </c>
      <c r="K1036">
        <f t="shared" si="69"/>
        <v>54</v>
      </c>
      <c r="L1036" t="s">
        <v>531</v>
      </c>
      <c r="R1036" t="s">
        <v>1356</v>
      </c>
    </row>
    <row r="1037" spans="1:18" x14ac:dyDescent="0.25">
      <c r="A1037" t="s">
        <v>341</v>
      </c>
      <c r="B1037" s="4">
        <v>42309</v>
      </c>
      <c r="C1037" s="9">
        <f t="shared" si="70"/>
        <v>11</v>
      </c>
      <c r="D1037">
        <f t="shared" si="67"/>
        <v>2015</v>
      </c>
      <c r="E1037">
        <f t="shared" si="68"/>
        <v>1</v>
      </c>
      <c r="F1037" t="s">
        <v>516</v>
      </c>
      <c r="G1037" t="s">
        <v>528</v>
      </c>
      <c r="H1037" t="s">
        <v>529</v>
      </c>
      <c r="I1037">
        <v>1</v>
      </c>
      <c r="J1037">
        <v>50</v>
      </c>
      <c r="K1037">
        <f t="shared" si="69"/>
        <v>110</v>
      </c>
      <c r="L1037" t="s">
        <v>531</v>
      </c>
      <c r="R1037" t="s">
        <v>1356</v>
      </c>
    </row>
    <row r="1038" spans="1:18" x14ac:dyDescent="0.25">
      <c r="A1038" t="s">
        <v>341</v>
      </c>
      <c r="B1038" s="4">
        <v>42309</v>
      </c>
      <c r="C1038" s="9">
        <f t="shared" si="70"/>
        <v>11</v>
      </c>
      <c r="D1038">
        <f t="shared" si="67"/>
        <v>2015</v>
      </c>
      <c r="E1038">
        <f t="shared" si="68"/>
        <v>0</v>
      </c>
      <c r="F1038" t="s">
        <v>516</v>
      </c>
      <c r="G1038" t="s">
        <v>528</v>
      </c>
      <c r="H1038" t="s">
        <v>529</v>
      </c>
      <c r="I1038">
        <v>2</v>
      </c>
      <c r="J1038">
        <v>3</v>
      </c>
      <c r="K1038">
        <f t="shared" si="69"/>
        <v>123</v>
      </c>
      <c r="L1038" t="s">
        <v>531</v>
      </c>
      <c r="R1038" t="s">
        <v>1356</v>
      </c>
    </row>
    <row r="1039" spans="1:18" x14ac:dyDescent="0.25">
      <c r="A1039" t="s">
        <v>341</v>
      </c>
      <c r="B1039" s="4">
        <v>42315</v>
      </c>
      <c r="C1039" s="9">
        <f t="shared" si="70"/>
        <v>11</v>
      </c>
      <c r="D1039">
        <f t="shared" si="67"/>
        <v>2015</v>
      </c>
      <c r="E1039">
        <f t="shared" si="68"/>
        <v>1</v>
      </c>
      <c r="F1039" t="s">
        <v>516</v>
      </c>
      <c r="G1039" t="s">
        <v>101</v>
      </c>
      <c r="H1039" t="s">
        <v>244</v>
      </c>
      <c r="J1039">
        <v>46</v>
      </c>
      <c r="K1039">
        <f t="shared" si="69"/>
        <v>46</v>
      </c>
      <c r="R1039" t="s">
        <v>1348</v>
      </c>
    </row>
    <row r="1040" spans="1:18" x14ac:dyDescent="0.25">
      <c r="A1040" t="s">
        <v>341</v>
      </c>
      <c r="B1040" s="4">
        <v>42316</v>
      </c>
      <c r="C1040" s="9">
        <f t="shared" si="70"/>
        <v>11</v>
      </c>
      <c r="D1040">
        <f t="shared" si="67"/>
        <v>2015</v>
      </c>
      <c r="E1040">
        <f t="shared" si="68"/>
        <v>1</v>
      </c>
      <c r="F1040" t="s">
        <v>516</v>
      </c>
      <c r="G1040" t="s">
        <v>101</v>
      </c>
      <c r="H1040" t="s">
        <v>244</v>
      </c>
      <c r="I1040">
        <v>1</v>
      </c>
      <c r="J1040">
        <v>32</v>
      </c>
      <c r="K1040">
        <f t="shared" si="69"/>
        <v>92</v>
      </c>
      <c r="R1040" t="s">
        <v>1348</v>
      </c>
    </row>
    <row r="1041" spans="1:18" x14ac:dyDescent="0.25">
      <c r="A1041" t="s">
        <v>341</v>
      </c>
      <c r="B1041" s="4">
        <v>42321</v>
      </c>
      <c r="C1041" s="9">
        <f t="shared" si="70"/>
        <v>11</v>
      </c>
      <c r="D1041">
        <f t="shared" si="67"/>
        <v>2015</v>
      </c>
      <c r="E1041">
        <f t="shared" si="68"/>
        <v>1</v>
      </c>
      <c r="F1041" t="s">
        <v>516</v>
      </c>
      <c r="G1041" t="s">
        <v>101</v>
      </c>
      <c r="H1041" t="s">
        <v>244</v>
      </c>
      <c r="J1041">
        <v>34</v>
      </c>
      <c r="K1041">
        <f t="shared" si="69"/>
        <v>34</v>
      </c>
      <c r="R1041" t="s">
        <v>1348</v>
      </c>
    </row>
    <row r="1042" spans="1:18" x14ac:dyDescent="0.25">
      <c r="A1042" t="s">
        <v>341</v>
      </c>
      <c r="B1042" s="4">
        <v>42342</v>
      </c>
      <c r="C1042" s="9">
        <f t="shared" si="70"/>
        <v>12</v>
      </c>
      <c r="D1042">
        <f t="shared" si="67"/>
        <v>2015</v>
      </c>
      <c r="E1042">
        <f t="shared" si="68"/>
        <v>1</v>
      </c>
      <c r="F1042" t="s">
        <v>574</v>
      </c>
      <c r="G1042" t="s">
        <v>154</v>
      </c>
      <c r="H1042" t="s">
        <v>244</v>
      </c>
      <c r="J1042">
        <v>10</v>
      </c>
      <c r="K1042">
        <f t="shared" si="69"/>
        <v>10</v>
      </c>
      <c r="R1042" t="s">
        <v>1348</v>
      </c>
    </row>
    <row r="1043" spans="1:18" x14ac:dyDescent="0.25">
      <c r="A1043" t="s">
        <v>341</v>
      </c>
      <c r="B1043" s="4">
        <v>42343</v>
      </c>
      <c r="C1043" s="9">
        <f t="shared" si="70"/>
        <v>12</v>
      </c>
      <c r="D1043">
        <f t="shared" si="67"/>
        <v>2015</v>
      </c>
      <c r="E1043">
        <f t="shared" si="68"/>
        <v>1</v>
      </c>
      <c r="F1043" t="s">
        <v>516</v>
      </c>
      <c r="G1043" t="s">
        <v>101</v>
      </c>
      <c r="H1043" t="s">
        <v>244</v>
      </c>
      <c r="J1043">
        <v>39</v>
      </c>
      <c r="K1043">
        <f t="shared" si="69"/>
        <v>39</v>
      </c>
      <c r="R1043" t="s">
        <v>1348</v>
      </c>
    </row>
    <row r="1044" spans="1:18" x14ac:dyDescent="0.25">
      <c r="A1044" t="s">
        <v>341</v>
      </c>
      <c r="B1044" s="4">
        <v>42344</v>
      </c>
      <c r="C1044" s="9">
        <f t="shared" si="70"/>
        <v>12</v>
      </c>
      <c r="D1044">
        <f t="shared" si="67"/>
        <v>2015</v>
      </c>
      <c r="E1044">
        <f t="shared" si="68"/>
        <v>1</v>
      </c>
      <c r="F1044" t="s">
        <v>516</v>
      </c>
      <c r="G1044" t="s">
        <v>101</v>
      </c>
      <c r="H1044" t="s">
        <v>575</v>
      </c>
      <c r="I1044">
        <v>1</v>
      </c>
      <c r="J1044">
        <v>30</v>
      </c>
      <c r="K1044">
        <f t="shared" si="69"/>
        <v>90</v>
      </c>
      <c r="R1044" t="s">
        <v>1348</v>
      </c>
    </row>
    <row r="1045" spans="1:18" x14ac:dyDescent="0.25">
      <c r="A1045" t="s">
        <v>341</v>
      </c>
      <c r="B1045" s="4">
        <v>42356</v>
      </c>
      <c r="C1045" s="9">
        <f t="shared" si="70"/>
        <v>12</v>
      </c>
      <c r="D1045">
        <f t="shared" si="67"/>
        <v>2015</v>
      </c>
      <c r="E1045">
        <f t="shared" si="68"/>
        <v>1</v>
      </c>
      <c r="F1045" t="s">
        <v>574</v>
      </c>
      <c r="G1045" t="s">
        <v>154</v>
      </c>
      <c r="H1045" t="s">
        <v>244</v>
      </c>
      <c r="J1045">
        <v>10</v>
      </c>
      <c r="K1045">
        <f t="shared" si="69"/>
        <v>10</v>
      </c>
      <c r="R1045" t="s">
        <v>1348</v>
      </c>
    </row>
    <row r="1046" spans="1:18" x14ac:dyDescent="0.25">
      <c r="A1046" t="s">
        <v>341</v>
      </c>
      <c r="B1046" s="4">
        <v>42357</v>
      </c>
      <c r="C1046" s="9">
        <f t="shared" si="70"/>
        <v>12</v>
      </c>
      <c r="D1046">
        <f t="shared" si="67"/>
        <v>2015</v>
      </c>
      <c r="E1046">
        <f t="shared" si="68"/>
        <v>1</v>
      </c>
      <c r="F1046" t="s">
        <v>516</v>
      </c>
      <c r="G1046" t="s">
        <v>101</v>
      </c>
      <c r="H1046" t="s">
        <v>153</v>
      </c>
      <c r="I1046">
        <v>1</v>
      </c>
      <c r="J1046">
        <v>55</v>
      </c>
      <c r="K1046">
        <f t="shared" si="69"/>
        <v>115</v>
      </c>
      <c r="M1046" t="s">
        <v>577</v>
      </c>
      <c r="R1046" t="s">
        <v>1348</v>
      </c>
    </row>
    <row r="1047" spans="1:18" x14ac:dyDescent="0.25">
      <c r="A1047" t="s">
        <v>341</v>
      </c>
      <c r="B1047" s="4">
        <v>42358</v>
      </c>
      <c r="C1047" s="9">
        <f t="shared" si="70"/>
        <v>12</v>
      </c>
      <c r="D1047">
        <f t="shared" si="67"/>
        <v>2015</v>
      </c>
      <c r="E1047">
        <f t="shared" si="68"/>
        <v>1</v>
      </c>
      <c r="F1047" t="s">
        <v>516</v>
      </c>
      <c r="G1047" t="s">
        <v>101</v>
      </c>
      <c r="H1047" t="s">
        <v>153</v>
      </c>
      <c r="I1047">
        <v>1</v>
      </c>
      <c r="J1047">
        <v>20</v>
      </c>
      <c r="K1047">
        <f t="shared" si="69"/>
        <v>80</v>
      </c>
      <c r="M1047" t="s">
        <v>577</v>
      </c>
      <c r="R1047" t="s">
        <v>1348</v>
      </c>
    </row>
    <row r="1048" spans="1:18" x14ac:dyDescent="0.25">
      <c r="A1048" t="s">
        <v>341</v>
      </c>
      <c r="B1048" s="4">
        <v>42360</v>
      </c>
      <c r="C1048" s="9">
        <f t="shared" si="70"/>
        <v>12</v>
      </c>
      <c r="D1048">
        <f t="shared" si="67"/>
        <v>2015</v>
      </c>
      <c r="E1048">
        <f t="shared" si="68"/>
        <v>1</v>
      </c>
      <c r="F1048" t="s">
        <v>516</v>
      </c>
      <c r="G1048" t="s">
        <v>101</v>
      </c>
      <c r="H1048" t="s">
        <v>244</v>
      </c>
      <c r="J1048">
        <v>56</v>
      </c>
      <c r="K1048">
        <f t="shared" si="69"/>
        <v>56</v>
      </c>
      <c r="R1048" t="s">
        <v>1348</v>
      </c>
    </row>
    <row r="1049" spans="1:18" x14ac:dyDescent="0.25">
      <c r="A1049" t="s">
        <v>341</v>
      </c>
      <c r="B1049" s="4">
        <v>42360</v>
      </c>
      <c r="C1049" s="9">
        <f t="shared" si="70"/>
        <v>12</v>
      </c>
      <c r="D1049">
        <f t="shared" si="67"/>
        <v>2015</v>
      </c>
      <c r="E1049">
        <f t="shared" si="68"/>
        <v>0</v>
      </c>
      <c r="F1049" t="s">
        <v>574</v>
      </c>
      <c r="G1049" t="s">
        <v>409</v>
      </c>
      <c r="H1049" t="s">
        <v>576</v>
      </c>
      <c r="J1049">
        <v>10</v>
      </c>
      <c r="K1049">
        <f t="shared" si="69"/>
        <v>10</v>
      </c>
      <c r="R1049" t="s">
        <v>1348</v>
      </c>
    </row>
    <row r="1050" spans="1:18" x14ac:dyDescent="0.25">
      <c r="A1050" t="s">
        <v>341</v>
      </c>
      <c r="B1050" s="4">
        <v>42361</v>
      </c>
      <c r="C1050" s="9">
        <f t="shared" si="70"/>
        <v>12</v>
      </c>
      <c r="D1050">
        <f t="shared" si="67"/>
        <v>2015</v>
      </c>
      <c r="E1050">
        <f t="shared" si="68"/>
        <v>1</v>
      </c>
      <c r="F1050" t="s">
        <v>516</v>
      </c>
      <c r="G1050" t="s">
        <v>101</v>
      </c>
      <c r="H1050" t="s">
        <v>153</v>
      </c>
      <c r="I1050">
        <v>1</v>
      </c>
      <c r="J1050">
        <v>43</v>
      </c>
      <c r="K1050">
        <f t="shared" si="69"/>
        <v>103</v>
      </c>
      <c r="M1050" t="s">
        <v>591</v>
      </c>
      <c r="R1050" t="s">
        <v>1348</v>
      </c>
    </row>
    <row r="1051" spans="1:18" x14ac:dyDescent="0.25">
      <c r="A1051" t="s">
        <v>341</v>
      </c>
      <c r="B1051" s="4">
        <v>42362</v>
      </c>
      <c r="C1051" s="9">
        <f t="shared" si="70"/>
        <v>12</v>
      </c>
      <c r="D1051">
        <f t="shared" si="67"/>
        <v>2015</v>
      </c>
      <c r="E1051">
        <f t="shared" si="68"/>
        <v>1</v>
      </c>
      <c r="F1051" t="s">
        <v>516</v>
      </c>
      <c r="G1051" t="s">
        <v>101</v>
      </c>
      <c r="H1051" t="s">
        <v>153</v>
      </c>
      <c r="I1051">
        <v>1</v>
      </c>
      <c r="J1051">
        <v>6</v>
      </c>
      <c r="K1051">
        <f t="shared" si="69"/>
        <v>66</v>
      </c>
      <c r="M1051" t="s">
        <v>592</v>
      </c>
      <c r="R1051" t="s">
        <v>1348</v>
      </c>
    </row>
    <row r="1052" spans="1:18" x14ac:dyDescent="0.25">
      <c r="A1052" t="s">
        <v>341</v>
      </c>
      <c r="B1052" s="4">
        <v>42363</v>
      </c>
      <c r="C1052" s="9">
        <f t="shared" si="70"/>
        <v>12</v>
      </c>
      <c r="D1052">
        <f t="shared" si="67"/>
        <v>2015</v>
      </c>
      <c r="E1052">
        <f t="shared" si="68"/>
        <v>1</v>
      </c>
      <c r="F1052" t="s">
        <v>516</v>
      </c>
      <c r="G1052" t="s">
        <v>101</v>
      </c>
      <c r="H1052" t="s">
        <v>153</v>
      </c>
      <c r="I1052">
        <v>1</v>
      </c>
      <c r="J1052">
        <v>57</v>
      </c>
      <c r="K1052">
        <f t="shared" si="69"/>
        <v>117</v>
      </c>
      <c r="M1052" t="s">
        <v>593</v>
      </c>
      <c r="R1052" t="s">
        <v>1348</v>
      </c>
    </row>
    <row r="1053" spans="1:18" x14ac:dyDescent="0.25">
      <c r="A1053" t="s">
        <v>341</v>
      </c>
      <c r="B1053" s="4">
        <v>42364</v>
      </c>
      <c r="C1053" s="9">
        <f t="shared" si="70"/>
        <v>12</v>
      </c>
      <c r="D1053">
        <f t="shared" si="67"/>
        <v>2015</v>
      </c>
      <c r="E1053">
        <f t="shared" si="68"/>
        <v>1</v>
      </c>
      <c r="F1053" t="s">
        <v>516</v>
      </c>
      <c r="G1053" t="s">
        <v>101</v>
      </c>
      <c r="H1053" t="s">
        <v>153</v>
      </c>
      <c r="I1053">
        <v>1</v>
      </c>
      <c r="J1053">
        <v>13</v>
      </c>
      <c r="K1053">
        <f t="shared" si="69"/>
        <v>73</v>
      </c>
      <c r="M1053" t="s">
        <v>594</v>
      </c>
      <c r="R1053" t="s">
        <v>1348</v>
      </c>
    </row>
    <row r="1054" spans="1:18" x14ac:dyDescent="0.25">
      <c r="A1054" t="s">
        <v>341</v>
      </c>
      <c r="B1054" s="4">
        <v>42365</v>
      </c>
      <c r="C1054" s="9">
        <f t="shared" si="70"/>
        <v>12</v>
      </c>
      <c r="D1054">
        <f t="shared" si="67"/>
        <v>2015</v>
      </c>
      <c r="E1054">
        <f t="shared" si="68"/>
        <v>1</v>
      </c>
      <c r="F1054" t="s">
        <v>516</v>
      </c>
      <c r="G1054" t="s">
        <v>595</v>
      </c>
      <c r="H1054" t="s">
        <v>153</v>
      </c>
      <c r="I1054">
        <v>1</v>
      </c>
      <c r="J1054">
        <v>17</v>
      </c>
      <c r="K1054">
        <f t="shared" si="69"/>
        <v>77</v>
      </c>
      <c r="R1054" t="s">
        <v>1348</v>
      </c>
    </row>
    <row r="1055" spans="1:18" x14ac:dyDescent="0.25">
      <c r="A1055" t="s">
        <v>341</v>
      </c>
      <c r="B1055" s="4">
        <v>42366</v>
      </c>
      <c r="C1055" s="9">
        <f t="shared" si="70"/>
        <v>12</v>
      </c>
      <c r="D1055">
        <f t="shared" si="67"/>
        <v>2015</v>
      </c>
      <c r="E1055">
        <f t="shared" si="68"/>
        <v>1</v>
      </c>
      <c r="F1055" t="s">
        <v>516</v>
      </c>
      <c r="G1055" t="s">
        <v>595</v>
      </c>
      <c r="H1055" t="s">
        <v>153</v>
      </c>
      <c r="I1055">
        <v>1</v>
      </c>
      <c r="J1055">
        <v>4</v>
      </c>
      <c r="K1055">
        <f t="shared" si="69"/>
        <v>64</v>
      </c>
      <c r="R1055" t="s">
        <v>1348</v>
      </c>
    </row>
    <row r="1056" spans="1:18" x14ac:dyDescent="0.25">
      <c r="A1056" t="s">
        <v>341</v>
      </c>
      <c r="B1056" s="4">
        <v>42367</v>
      </c>
      <c r="C1056" s="9">
        <f t="shared" si="70"/>
        <v>12</v>
      </c>
      <c r="D1056">
        <f t="shared" si="67"/>
        <v>2015</v>
      </c>
      <c r="E1056">
        <f t="shared" si="68"/>
        <v>1</v>
      </c>
      <c r="F1056" t="s">
        <v>516</v>
      </c>
      <c r="G1056" t="s">
        <v>517</v>
      </c>
      <c r="H1056" t="s">
        <v>273</v>
      </c>
      <c r="J1056">
        <v>20</v>
      </c>
      <c r="K1056">
        <f t="shared" si="69"/>
        <v>20</v>
      </c>
      <c r="M1056" t="s">
        <v>596</v>
      </c>
      <c r="R1056" t="s">
        <v>1348</v>
      </c>
    </row>
    <row r="1057" spans="1:18" x14ac:dyDescent="0.25">
      <c r="A1057" t="s">
        <v>341</v>
      </c>
      <c r="B1057" s="4">
        <v>42368</v>
      </c>
      <c r="C1057" s="9">
        <f t="shared" si="70"/>
        <v>12</v>
      </c>
      <c r="D1057">
        <f t="shared" si="67"/>
        <v>2015</v>
      </c>
      <c r="E1057">
        <f t="shared" si="68"/>
        <v>1</v>
      </c>
      <c r="F1057" t="s">
        <v>516</v>
      </c>
      <c r="G1057" t="s">
        <v>595</v>
      </c>
      <c r="H1057" t="s">
        <v>153</v>
      </c>
      <c r="J1057">
        <v>41</v>
      </c>
      <c r="K1057">
        <f t="shared" si="69"/>
        <v>41</v>
      </c>
      <c r="R1057" t="s">
        <v>1348</v>
      </c>
    </row>
    <row r="1058" spans="1:18" x14ac:dyDescent="0.25">
      <c r="A1058" t="s">
        <v>341</v>
      </c>
      <c r="B1058" s="4">
        <v>42393</v>
      </c>
      <c r="C1058" s="9">
        <f t="shared" si="70"/>
        <v>1</v>
      </c>
      <c r="D1058">
        <f t="shared" si="67"/>
        <v>2016</v>
      </c>
      <c r="E1058">
        <f t="shared" si="68"/>
        <v>1</v>
      </c>
      <c r="F1058" t="s">
        <v>516</v>
      </c>
      <c r="G1058" t="s">
        <v>597</v>
      </c>
      <c r="H1058" t="s">
        <v>598</v>
      </c>
      <c r="I1058">
        <v>1</v>
      </c>
      <c r="J1058">
        <v>51</v>
      </c>
      <c r="K1058">
        <f t="shared" si="69"/>
        <v>111</v>
      </c>
      <c r="L1058" t="s">
        <v>611</v>
      </c>
      <c r="M1058" t="s">
        <v>612</v>
      </c>
      <c r="R1058" t="s">
        <v>1357</v>
      </c>
    </row>
    <row r="1059" spans="1:18" x14ac:dyDescent="0.25">
      <c r="A1059" t="s">
        <v>341</v>
      </c>
      <c r="B1059" s="4">
        <v>42394</v>
      </c>
      <c r="C1059" s="9">
        <f t="shared" si="70"/>
        <v>1</v>
      </c>
      <c r="D1059">
        <f t="shared" si="67"/>
        <v>2016</v>
      </c>
      <c r="E1059">
        <f t="shared" si="68"/>
        <v>1</v>
      </c>
      <c r="F1059" t="s">
        <v>516</v>
      </c>
      <c r="G1059" t="s">
        <v>597</v>
      </c>
      <c r="H1059" t="s">
        <v>597</v>
      </c>
      <c r="I1059">
        <v>2</v>
      </c>
      <c r="J1059">
        <v>8</v>
      </c>
      <c r="K1059">
        <f t="shared" si="69"/>
        <v>128</v>
      </c>
      <c r="L1059" t="s">
        <v>611</v>
      </c>
      <c r="R1059" t="s">
        <v>1357</v>
      </c>
    </row>
    <row r="1060" spans="1:18" x14ac:dyDescent="0.25">
      <c r="A1060" t="s">
        <v>341</v>
      </c>
      <c r="B1060" s="4">
        <v>42395</v>
      </c>
      <c r="C1060" s="9">
        <f t="shared" si="70"/>
        <v>1</v>
      </c>
      <c r="D1060">
        <f t="shared" si="67"/>
        <v>2016</v>
      </c>
      <c r="E1060">
        <f t="shared" si="68"/>
        <v>1</v>
      </c>
      <c r="F1060" t="s">
        <v>516</v>
      </c>
      <c r="G1060" t="s">
        <v>597</v>
      </c>
      <c r="H1060" t="s">
        <v>599</v>
      </c>
      <c r="I1060">
        <v>1</v>
      </c>
      <c r="J1060">
        <v>49</v>
      </c>
      <c r="K1060">
        <f t="shared" si="69"/>
        <v>109</v>
      </c>
      <c r="L1060" t="s">
        <v>611</v>
      </c>
      <c r="R1060" t="s">
        <v>1357</v>
      </c>
    </row>
    <row r="1061" spans="1:18" x14ac:dyDescent="0.25">
      <c r="A1061" t="s">
        <v>341</v>
      </c>
      <c r="B1061" s="4">
        <v>42396</v>
      </c>
      <c r="C1061" s="9">
        <f t="shared" si="70"/>
        <v>1</v>
      </c>
      <c r="D1061">
        <f t="shared" si="67"/>
        <v>2016</v>
      </c>
      <c r="E1061">
        <f t="shared" si="68"/>
        <v>1</v>
      </c>
      <c r="F1061" t="s">
        <v>516</v>
      </c>
      <c r="G1061" t="s">
        <v>600</v>
      </c>
      <c r="H1061" t="s">
        <v>601</v>
      </c>
      <c r="I1061">
        <v>1</v>
      </c>
      <c r="J1061">
        <v>10</v>
      </c>
      <c r="K1061">
        <f t="shared" si="69"/>
        <v>70</v>
      </c>
      <c r="L1061" t="s">
        <v>611</v>
      </c>
      <c r="M1061" t="s">
        <v>602</v>
      </c>
      <c r="R1061" t="s">
        <v>1357</v>
      </c>
    </row>
    <row r="1062" spans="1:18" x14ac:dyDescent="0.25">
      <c r="A1062" t="s">
        <v>341</v>
      </c>
      <c r="B1062" s="4">
        <v>42397</v>
      </c>
      <c r="C1062" s="9">
        <f t="shared" si="70"/>
        <v>1</v>
      </c>
      <c r="D1062">
        <f t="shared" si="67"/>
        <v>2016</v>
      </c>
      <c r="E1062">
        <f t="shared" si="68"/>
        <v>1</v>
      </c>
      <c r="F1062" t="s">
        <v>516</v>
      </c>
      <c r="G1062" t="s">
        <v>600</v>
      </c>
      <c r="H1062" t="s">
        <v>603</v>
      </c>
      <c r="I1062">
        <v>4</v>
      </c>
      <c r="J1062">
        <v>26</v>
      </c>
      <c r="K1062">
        <f t="shared" si="69"/>
        <v>266</v>
      </c>
      <c r="L1062" t="s">
        <v>611</v>
      </c>
      <c r="M1062" t="s">
        <v>604</v>
      </c>
      <c r="R1062" t="s">
        <v>1357</v>
      </c>
    </row>
    <row r="1063" spans="1:18" x14ac:dyDescent="0.25">
      <c r="A1063" t="s">
        <v>341</v>
      </c>
      <c r="B1063" s="4">
        <v>42398</v>
      </c>
      <c r="C1063" s="9">
        <f t="shared" si="70"/>
        <v>1</v>
      </c>
      <c r="D1063">
        <f t="shared" si="67"/>
        <v>2016</v>
      </c>
      <c r="E1063">
        <f t="shared" si="68"/>
        <v>1</v>
      </c>
      <c r="F1063" t="s">
        <v>516</v>
      </c>
      <c r="G1063" t="s">
        <v>600</v>
      </c>
      <c r="H1063" t="s">
        <v>605</v>
      </c>
      <c r="I1063">
        <v>4</v>
      </c>
      <c r="J1063">
        <v>12</v>
      </c>
      <c r="K1063">
        <f t="shared" si="69"/>
        <v>252</v>
      </c>
      <c r="L1063" t="s">
        <v>611</v>
      </c>
      <c r="Q1063">
        <v>95</v>
      </c>
      <c r="R1063" t="s">
        <v>1357</v>
      </c>
    </row>
    <row r="1064" spans="1:18" x14ac:dyDescent="0.25">
      <c r="A1064" t="s">
        <v>341</v>
      </c>
      <c r="B1064" s="4">
        <v>42399</v>
      </c>
      <c r="C1064" s="9">
        <f t="shared" si="70"/>
        <v>1</v>
      </c>
      <c r="D1064">
        <f t="shared" ref="D1064:D1127" si="71">YEAR(B1064)</f>
        <v>2016</v>
      </c>
      <c r="E1064">
        <f t="shared" ref="E1064:E1127" si="72">IF(OR(A1064 = "GS",A1064 = "BP"),IF( OR(A1063="GS",A1063="BP"),IF(B1063=B1064,0,1),1),0)</f>
        <v>1</v>
      </c>
      <c r="F1064" t="s">
        <v>516</v>
      </c>
      <c r="G1064" t="s">
        <v>605</v>
      </c>
      <c r="H1064" t="s">
        <v>605</v>
      </c>
      <c r="I1064">
        <v>1</v>
      </c>
      <c r="J1064">
        <v>15</v>
      </c>
      <c r="K1064">
        <f t="shared" ref="K1064:K1127" si="73">I1064*60+J1064</f>
        <v>75</v>
      </c>
      <c r="L1064" t="s">
        <v>611</v>
      </c>
      <c r="R1064" t="s">
        <v>1357</v>
      </c>
    </row>
    <row r="1065" spans="1:18" x14ac:dyDescent="0.25">
      <c r="A1065" t="s">
        <v>341</v>
      </c>
      <c r="B1065" s="4">
        <v>42400</v>
      </c>
      <c r="C1065" s="9">
        <f t="shared" si="70"/>
        <v>1</v>
      </c>
      <c r="D1065">
        <f t="shared" si="71"/>
        <v>2016</v>
      </c>
      <c r="E1065">
        <f t="shared" si="72"/>
        <v>1</v>
      </c>
      <c r="F1065" t="s">
        <v>516</v>
      </c>
      <c r="G1065" t="s">
        <v>605</v>
      </c>
      <c r="H1065" t="s">
        <v>606</v>
      </c>
      <c r="I1065">
        <v>2</v>
      </c>
      <c r="J1065">
        <v>20</v>
      </c>
      <c r="K1065">
        <f t="shared" si="73"/>
        <v>140</v>
      </c>
      <c r="L1065" t="s">
        <v>611</v>
      </c>
      <c r="R1065" t="s">
        <v>1357</v>
      </c>
    </row>
    <row r="1066" spans="1:18" x14ac:dyDescent="0.25">
      <c r="A1066" t="s">
        <v>341</v>
      </c>
      <c r="B1066" s="4">
        <v>42401</v>
      </c>
      <c r="C1066" s="9">
        <f t="shared" si="70"/>
        <v>2</v>
      </c>
      <c r="D1066">
        <f t="shared" si="71"/>
        <v>2016</v>
      </c>
      <c r="E1066">
        <f t="shared" si="72"/>
        <v>1</v>
      </c>
      <c r="F1066" t="s">
        <v>516</v>
      </c>
      <c r="G1066" t="s">
        <v>605</v>
      </c>
      <c r="H1066" t="s">
        <v>605</v>
      </c>
      <c r="J1066">
        <v>30</v>
      </c>
      <c r="K1066">
        <f t="shared" si="73"/>
        <v>30</v>
      </c>
      <c r="L1066" t="s">
        <v>611</v>
      </c>
      <c r="R1066" t="s">
        <v>1357</v>
      </c>
    </row>
    <row r="1067" spans="1:18" x14ac:dyDescent="0.25">
      <c r="A1067" t="s">
        <v>341</v>
      </c>
      <c r="B1067" s="4">
        <v>42402</v>
      </c>
      <c r="C1067" s="9">
        <f t="shared" si="70"/>
        <v>2</v>
      </c>
      <c r="D1067">
        <f t="shared" si="71"/>
        <v>2016</v>
      </c>
      <c r="E1067">
        <f t="shared" si="72"/>
        <v>1</v>
      </c>
      <c r="F1067" t="s">
        <v>516</v>
      </c>
      <c r="G1067" t="s">
        <v>605</v>
      </c>
      <c r="H1067" t="s">
        <v>607</v>
      </c>
      <c r="I1067">
        <v>2</v>
      </c>
      <c r="J1067">
        <v>30</v>
      </c>
      <c r="K1067">
        <f t="shared" si="73"/>
        <v>150</v>
      </c>
      <c r="L1067" t="s">
        <v>611</v>
      </c>
      <c r="R1067" t="s">
        <v>1357</v>
      </c>
    </row>
    <row r="1068" spans="1:18" x14ac:dyDescent="0.25">
      <c r="A1068" t="s">
        <v>341</v>
      </c>
      <c r="B1068" s="4">
        <v>42403</v>
      </c>
      <c r="C1068" s="9">
        <f t="shared" si="70"/>
        <v>2</v>
      </c>
      <c r="D1068">
        <f t="shared" si="71"/>
        <v>2016</v>
      </c>
      <c r="E1068">
        <f t="shared" si="72"/>
        <v>1</v>
      </c>
      <c r="F1068" t="s">
        <v>516</v>
      </c>
      <c r="G1068" t="s">
        <v>608</v>
      </c>
      <c r="H1068" t="s">
        <v>609</v>
      </c>
      <c r="I1068">
        <v>1</v>
      </c>
      <c r="J1068">
        <v>9</v>
      </c>
      <c r="K1068">
        <f t="shared" si="73"/>
        <v>69</v>
      </c>
      <c r="L1068" t="s">
        <v>611</v>
      </c>
      <c r="R1068" t="s">
        <v>1357</v>
      </c>
    </row>
    <row r="1069" spans="1:18" x14ac:dyDescent="0.25">
      <c r="A1069" t="s">
        <v>341</v>
      </c>
      <c r="B1069" s="4">
        <v>42404</v>
      </c>
      <c r="C1069" s="9">
        <f t="shared" si="70"/>
        <v>2</v>
      </c>
      <c r="D1069">
        <f t="shared" si="71"/>
        <v>2016</v>
      </c>
      <c r="E1069">
        <f t="shared" si="72"/>
        <v>1</v>
      </c>
      <c r="F1069" t="s">
        <v>516</v>
      </c>
      <c r="G1069" t="s">
        <v>608</v>
      </c>
      <c r="H1069" t="s">
        <v>610</v>
      </c>
      <c r="I1069">
        <v>1</v>
      </c>
      <c r="J1069">
        <v>24</v>
      </c>
      <c r="K1069">
        <f t="shared" si="73"/>
        <v>84</v>
      </c>
      <c r="L1069" t="s">
        <v>611</v>
      </c>
      <c r="R1069" t="s">
        <v>1357</v>
      </c>
    </row>
    <row r="1070" spans="1:18" x14ac:dyDescent="0.25">
      <c r="A1070" t="s">
        <v>341</v>
      </c>
      <c r="B1070" s="4">
        <v>42405</v>
      </c>
      <c r="C1070" s="9">
        <f t="shared" si="70"/>
        <v>2</v>
      </c>
      <c r="D1070">
        <f t="shared" si="71"/>
        <v>2016</v>
      </c>
      <c r="E1070">
        <f t="shared" si="72"/>
        <v>1</v>
      </c>
      <c r="F1070" t="s">
        <v>516</v>
      </c>
      <c r="G1070" t="s">
        <v>608</v>
      </c>
      <c r="H1070" t="s">
        <v>609</v>
      </c>
      <c r="J1070">
        <v>51</v>
      </c>
      <c r="K1070">
        <f t="shared" si="73"/>
        <v>51</v>
      </c>
      <c r="L1070" t="s">
        <v>611</v>
      </c>
      <c r="R1070" t="s">
        <v>1357</v>
      </c>
    </row>
    <row r="1071" spans="1:18" x14ac:dyDescent="0.25">
      <c r="A1071" t="s">
        <v>341</v>
      </c>
      <c r="B1071" s="4">
        <v>42443</v>
      </c>
      <c r="C1071" s="9">
        <f t="shared" si="70"/>
        <v>3</v>
      </c>
      <c r="D1071">
        <f t="shared" si="71"/>
        <v>2016</v>
      </c>
      <c r="E1071">
        <f t="shared" si="72"/>
        <v>1</v>
      </c>
      <c r="F1071" t="s">
        <v>516</v>
      </c>
      <c r="G1071" t="s">
        <v>409</v>
      </c>
      <c r="H1071" t="s">
        <v>153</v>
      </c>
      <c r="J1071">
        <v>36</v>
      </c>
      <c r="K1071">
        <f t="shared" si="73"/>
        <v>36</v>
      </c>
      <c r="R1071" t="s">
        <v>1348</v>
      </c>
    </row>
    <row r="1072" spans="1:18" x14ac:dyDescent="0.25">
      <c r="A1072" t="s">
        <v>341</v>
      </c>
      <c r="B1072" s="4">
        <v>42446</v>
      </c>
      <c r="C1072" s="9">
        <f t="shared" si="70"/>
        <v>3</v>
      </c>
      <c r="D1072">
        <f t="shared" si="71"/>
        <v>2016</v>
      </c>
      <c r="E1072">
        <f t="shared" si="72"/>
        <v>1</v>
      </c>
      <c r="F1072" t="s">
        <v>516</v>
      </c>
      <c r="G1072" t="s">
        <v>409</v>
      </c>
      <c r="H1072" t="s">
        <v>153</v>
      </c>
      <c r="J1072">
        <v>33</v>
      </c>
      <c r="K1072">
        <f t="shared" si="73"/>
        <v>33</v>
      </c>
      <c r="R1072" t="s">
        <v>1348</v>
      </c>
    </row>
    <row r="1073" spans="1:19" x14ac:dyDescent="0.25">
      <c r="A1073" t="s">
        <v>341</v>
      </c>
      <c r="B1073" s="4">
        <v>42447</v>
      </c>
      <c r="C1073" s="9">
        <f t="shared" si="70"/>
        <v>3</v>
      </c>
      <c r="D1073">
        <f t="shared" si="71"/>
        <v>2016</v>
      </c>
      <c r="E1073">
        <f t="shared" si="72"/>
        <v>1</v>
      </c>
      <c r="F1073" t="s">
        <v>516</v>
      </c>
      <c r="G1073" t="s">
        <v>101</v>
      </c>
      <c r="H1073" t="s">
        <v>244</v>
      </c>
      <c r="I1073">
        <v>1</v>
      </c>
      <c r="J1073">
        <v>35</v>
      </c>
      <c r="K1073">
        <f t="shared" si="73"/>
        <v>95</v>
      </c>
      <c r="M1073" t="s">
        <v>325</v>
      </c>
      <c r="R1073" t="s">
        <v>1348</v>
      </c>
    </row>
    <row r="1074" spans="1:19" x14ac:dyDescent="0.25">
      <c r="A1074" t="s">
        <v>341</v>
      </c>
      <c r="B1074" s="4">
        <v>42448</v>
      </c>
      <c r="C1074" s="9">
        <f t="shared" si="70"/>
        <v>3</v>
      </c>
      <c r="D1074">
        <f t="shared" si="71"/>
        <v>2016</v>
      </c>
      <c r="E1074">
        <f t="shared" si="72"/>
        <v>1</v>
      </c>
      <c r="F1074" t="s">
        <v>516</v>
      </c>
      <c r="G1074" t="s">
        <v>101</v>
      </c>
      <c r="H1074" t="s">
        <v>244</v>
      </c>
      <c r="J1074">
        <v>43</v>
      </c>
      <c r="K1074">
        <f t="shared" si="73"/>
        <v>43</v>
      </c>
      <c r="M1074" t="s">
        <v>325</v>
      </c>
      <c r="R1074" t="s">
        <v>1348</v>
      </c>
    </row>
    <row r="1075" spans="1:19" x14ac:dyDescent="0.25">
      <c r="A1075" t="s">
        <v>341</v>
      </c>
      <c r="B1075" s="4">
        <v>42449</v>
      </c>
      <c r="C1075" s="9">
        <f t="shared" si="70"/>
        <v>3</v>
      </c>
      <c r="D1075">
        <f t="shared" si="71"/>
        <v>2016</v>
      </c>
      <c r="E1075">
        <f t="shared" si="72"/>
        <v>1</v>
      </c>
      <c r="F1075" t="s">
        <v>516</v>
      </c>
      <c r="G1075" t="s">
        <v>101</v>
      </c>
      <c r="H1075" t="s">
        <v>153</v>
      </c>
      <c r="J1075">
        <v>47</v>
      </c>
      <c r="K1075">
        <f t="shared" si="73"/>
        <v>47</v>
      </c>
      <c r="M1075" t="s">
        <v>325</v>
      </c>
      <c r="R1075" t="s">
        <v>1348</v>
      </c>
    </row>
    <row r="1076" spans="1:19" x14ac:dyDescent="0.25">
      <c r="A1076" t="s">
        <v>341</v>
      </c>
      <c r="B1076" s="4">
        <v>42451</v>
      </c>
      <c r="C1076" s="9">
        <f t="shared" si="70"/>
        <v>3</v>
      </c>
      <c r="D1076">
        <f t="shared" si="71"/>
        <v>2016</v>
      </c>
      <c r="E1076">
        <f t="shared" si="72"/>
        <v>1</v>
      </c>
      <c r="F1076" t="s">
        <v>516</v>
      </c>
      <c r="G1076" t="s">
        <v>409</v>
      </c>
      <c r="H1076" t="s">
        <v>273</v>
      </c>
      <c r="I1076">
        <v>1</v>
      </c>
      <c r="J1076">
        <v>5</v>
      </c>
      <c r="K1076">
        <f t="shared" si="73"/>
        <v>65</v>
      </c>
      <c r="R1076" t="s">
        <v>1348</v>
      </c>
    </row>
    <row r="1077" spans="1:19" x14ac:dyDescent="0.25">
      <c r="A1077" t="s">
        <v>341</v>
      </c>
      <c r="B1077" s="4">
        <v>42455</v>
      </c>
      <c r="C1077" s="9">
        <f t="shared" si="70"/>
        <v>3</v>
      </c>
      <c r="D1077">
        <f t="shared" si="71"/>
        <v>2016</v>
      </c>
      <c r="E1077">
        <f t="shared" si="72"/>
        <v>1</v>
      </c>
      <c r="F1077" t="s">
        <v>613</v>
      </c>
      <c r="G1077" t="s">
        <v>614</v>
      </c>
      <c r="H1077" t="s">
        <v>273</v>
      </c>
      <c r="J1077">
        <v>15</v>
      </c>
      <c r="K1077">
        <f t="shared" si="73"/>
        <v>15</v>
      </c>
      <c r="R1077" t="s">
        <v>1348</v>
      </c>
    </row>
    <row r="1078" spans="1:19" x14ac:dyDescent="0.25">
      <c r="A1078" t="s">
        <v>341</v>
      </c>
      <c r="B1078" s="4">
        <v>42480</v>
      </c>
      <c r="C1078" s="9">
        <f t="shared" si="70"/>
        <v>4</v>
      </c>
      <c r="D1078">
        <f t="shared" si="71"/>
        <v>2016</v>
      </c>
      <c r="E1078">
        <f t="shared" si="72"/>
        <v>1</v>
      </c>
      <c r="F1078" t="s">
        <v>516</v>
      </c>
      <c r="G1078" t="s">
        <v>101</v>
      </c>
      <c r="H1078" t="s">
        <v>244</v>
      </c>
      <c r="I1078">
        <v>1</v>
      </c>
      <c r="J1078">
        <v>30</v>
      </c>
      <c r="K1078">
        <f t="shared" si="73"/>
        <v>90</v>
      </c>
      <c r="R1078" t="s">
        <v>1348</v>
      </c>
    </row>
    <row r="1079" spans="1:19" x14ac:dyDescent="0.25">
      <c r="A1079" t="s">
        <v>341</v>
      </c>
      <c r="B1079" s="4">
        <v>42488</v>
      </c>
      <c r="C1079" s="9">
        <f t="shared" si="70"/>
        <v>4</v>
      </c>
      <c r="D1079">
        <f t="shared" si="71"/>
        <v>2016</v>
      </c>
      <c r="E1079">
        <v>1</v>
      </c>
      <c r="F1079" t="s">
        <v>516</v>
      </c>
      <c r="G1079" t="s">
        <v>493</v>
      </c>
      <c r="H1079" t="s">
        <v>493</v>
      </c>
      <c r="J1079">
        <v>44</v>
      </c>
      <c r="K1079">
        <f t="shared" si="73"/>
        <v>44</v>
      </c>
      <c r="L1079" t="s">
        <v>617</v>
      </c>
      <c r="R1079" t="s">
        <v>1349</v>
      </c>
      <c r="S1079" t="s">
        <v>1367</v>
      </c>
    </row>
    <row r="1080" spans="1:19" x14ac:dyDescent="0.25">
      <c r="A1080" t="s">
        <v>341</v>
      </c>
      <c r="B1080" s="4">
        <v>42488</v>
      </c>
      <c r="C1080" s="9">
        <f t="shared" si="70"/>
        <v>4</v>
      </c>
      <c r="D1080">
        <f t="shared" si="71"/>
        <v>2016</v>
      </c>
      <c r="E1080">
        <f t="shared" si="72"/>
        <v>0</v>
      </c>
      <c r="F1080" t="s">
        <v>516</v>
      </c>
      <c r="G1080" t="s">
        <v>493</v>
      </c>
      <c r="H1080" t="s">
        <v>498</v>
      </c>
      <c r="J1080">
        <v>24</v>
      </c>
      <c r="K1080">
        <f t="shared" si="73"/>
        <v>24</v>
      </c>
      <c r="L1080" t="s">
        <v>617</v>
      </c>
      <c r="R1080" t="s">
        <v>1349</v>
      </c>
      <c r="S1080" t="s">
        <v>1367</v>
      </c>
    </row>
    <row r="1081" spans="1:19" x14ac:dyDescent="0.25">
      <c r="A1081" t="s">
        <v>341</v>
      </c>
      <c r="B1081" s="4">
        <v>42489</v>
      </c>
      <c r="C1081" s="9">
        <f t="shared" si="70"/>
        <v>4</v>
      </c>
      <c r="D1081">
        <f t="shared" si="71"/>
        <v>2016</v>
      </c>
      <c r="E1081">
        <v>1</v>
      </c>
      <c r="F1081" t="s">
        <v>516</v>
      </c>
      <c r="G1081" t="s">
        <v>493</v>
      </c>
      <c r="H1081" t="s">
        <v>493</v>
      </c>
      <c r="J1081">
        <v>7</v>
      </c>
      <c r="K1081">
        <f t="shared" si="73"/>
        <v>7</v>
      </c>
      <c r="L1081" t="s">
        <v>617</v>
      </c>
      <c r="R1081" t="s">
        <v>1349</v>
      </c>
      <c r="S1081" t="s">
        <v>1367</v>
      </c>
    </row>
    <row r="1082" spans="1:19" x14ac:dyDescent="0.25">
      <c r="A1082" t="s">
        <v>341</v>
      </c>
      <c r="B1082" s="4">
        <v>42489</v>
      </c>
      <c r="C1082" s="9">
        <f t="shared" si="70"/>
        <v>4</v>
      </c>
      <c r="D1082">
        <f t="shared" si="71"/>
        <v>2016</v>
      </c>
      <c r="E1082">
        <f t="shared" si="72"/>
        <v>0</v>
      </c>
      <c r="F1082" t="s">
        <v>516</v>
      </c>
      <c r="G1082" t="s">
        <v>493</v>
      </c>
      <c r="H1082" t="s">
        <v>618</v>
      </c>
      <c r="J1082">
        <v>11</v>
      </c>
      <c r="K1082">
        <f t="shared" si="73"/>
        <v>11</v>
      </c>
      <c r="L1082" t="s">
        <v>617</v>
      </c>
      <c r="R1082" t="s">
        <v>1349</v>
      </c>
      <c r="S1082" t="s">
        <v>1367</v>
      </c>
    </row>
    <row r="1083" spans="1:19" x14ac:dyDescent="0.25">
      <c r="A1083" t="s">
        <v>341</v>
      </c>
      <c r="B1083" s="4">
        <v>42489</v>
      </c>
      <c r="C1083" s="9">
        <f t="shared" si="70"/>
        <v>4</v>
      </c>
      <c r="D1083">
        <f t="shared" si="71"/>
        <v>2016</v>
      </c>
      <c r="E1083">
        <f t="shared" si="72"/>
        <v>0</v>
      </c>
      <c r="F1083" t="s">
        <v>516</v>
      </c>
      <c r="G1083" t="s">
        <v>493</v>
      </c>
      <c r="H1083" t="s">
        <v>493</v>
      </c>
      <c r="J1083">
        <v>26</v>
      </c>
      <c r="K1083">
        <f t="shared" si="73"/>
        <v>26</v>
      </c>
      <c r="L1083" t="s">
        <v>617</v>
      </c>
      <c r="M1083" t="s">
        <v>620</v>
      </c>
      <c r="R1083" t="s">
        <v>1349</v>
      </c>
      <c r="S1083" t="s">
        <v>1367</v>
      </c>
    </row>
    <row r="1084" spans="1:19" x14ac:dyDescent="0.25">
      <c r="A1084" t="s">
        <v>341</v>
      </c>
      <c r="B1084" s="4">
        <v>42489</v>
      </c>
      <c r="C1084" s="9">
        <f t="shared" si="70"/>
        <v>4</v>
      </c>
      <c r="D1084">
        <f t="shared" si="71"/>
        <v>2016</v>
      </c>
      <c r="E1084">
        <f t="shared" si="72"/>
        <v>0</v>
      </c>
      <c r="F1084" t="s">
        <v>516</v>
      </c>
      <c r="G1084" t="s">
        <v>493</v>
      </c>
      <c r="H1084" t="s">
        <v>498</v>
      </c>
      <c r="J1084">
        <v>22</v>
      </c>
      <c r="K1084">
        <f t="shared" si="73"/>
        <v>22</v>
      </c>
      <c r="L1084" t="s">
        <v>617</v>
      </c>
      <c r="R1084" t="s">
        <v>1349</v>
      </c>
      <c r="S1084" t="s">
        <v>1367</v>
      </c>
    </row>
    <row r="1085" spans="1:19" x14ac:dyDescent="0.25">
      <c r="A1085" t="s">
        <v>341</v>
      </c>
      <c r="B1085" s="4">
        <v>42490</v>
      </c>
      <c r="C1085" s="9">
        <f t="shared" si="70"/>
        <v>4</v>
      </c>
      <c r="D1085">
        <f t="shared" si="71"/>
        <v>2016</v>
      </c>
      <c r="E1085">
        <v>1</v>
      </c>
      <c r="F1085" t="s">
        <v>516</v>
      </c>
      <c r="G1085" t="s">
        <v>493</v>
      </c>
      <c r="H1085" t="s">
        <v>493</v>
      </c>
      <c r="I1085">
        <v>1</v>
      </c>
      <c r="J1085">
        <v>9</v>
      </c>
      <c r="K1085">
        <f t="shared" si="73"/>
        <v>69</v>
      </c>
      <c r="L1085" t="s">
        <v>617</v>
      </c>
      <c r="M1085" t="s">
        <v>619</v>
      </c>
      <c r="R1085" t="s">
        <v>1349</v>
      </c>
      <c r="S1085" t="s">
        <v>1367</v>
      </c>
    </row>
    <row r="1086" spans="1:19" x14ac:dyDescent="0.25">
      <c r="A1086" t="s">
        <v>341</v>
      </c>
      <c r="B1086" s="4">
        <v>42507</v>
      </c>
      <c r="C1086" s="9">
        <f t="shared" si="70"/>
        <v>5</v>
      </c>
      <c r="D1086">
        <f t="shared" si="71"/>
        <v>2016</v>
      </c>
      <c r="E1086">
        <f t="shared" si="72"/>
        <v>1</v>
      </c>
      <c r="F1086" t="s">
        <v>516</v>
      </c>
      <c r="G1086" t="s">
        <v>101</v>
      </c>
      <c r="H1086" t="s">
        <v>244</v>
      </c>
      <c r="J1086">
        <v>59</v>
      </c>
      <c r="K1086">
        <f t="shared" si="73"/>
        <v>59</v>
      </c>
      <c r="R1086" t="s">
        <v>1348</v>
      </c>
    </row>
    <row r="1087" spans="1:19" x14ac:dyDescent="0.25">
      <c r="A1087" t="s">
        <v>341</v>
      </c>
      <c r="B1087" s="4">
        <v>42511</v>
      </c>
      <c r="C1087" s="9">
        <f t="shared" si="70"/>
        <v>5</v>
      </c>
      <c r="D1087">
        <f t="shared" si="71"/>
        <v>2016</v>
      </c>
      <c r="E1087">
        <f t="shared" si="72"/>
        <v>1</v>
      </c>
      <c r="F1087" t="s">
        <v>516</v>
      </c>
      <c r="G1087" t="s">
        <v>621</v>
      </c>
      <c r="H1087" t="s">
        <v>273</v>
      </c>
      <c r="J1087">
        <v>57</v>
      </c>
      <c r="K1087">
        <f t="shared" si="73"/>
        <v>57</v>
      </c>
      <c r="R1087" t="s">
        <v>1348</v>
      </c>
    </row>
    <row r="1088" spans="1:19" x14ac:dyDescent="0.25">
      <c r="A1088" t="s">
        <v>341</v>
      </c>
      <c r="B1088" s="4">
        <v>42519</v>
      </c>
      <c r="C1088" s="9">
        <f t="shared" si="70"/>
        <v>5</v>
      </c>
      <c r="D1088">
        <f t="shared" si="71"/>
        <v>2016</v>
      </c>
      <c r="E1088">
        <f t="shared" si="72"/>
        <v>1</v>
      </c>
      <c r="F1088" t="s">
        <v>516</v>
      </c>
      <c r="G1088" t="s">
        <v>622</v>
      </c>
      <c r="H1088" t="s">
        <v>622</v>
      </c>
      <c r="I1088">
        <v>1</v>
      </c>
      <c r="J1088">
        <v>37</v>
      </c>
      <c r="K1088">
        <f t="shared" si="73"/>
        <v>97</v>
      </c>
      <c r="L1088" t="s">
        <v>509</v>
      </c>
      <c r="M1088" t="s">
        <v>630</v>
      </c>
      <c r="R1088" t="s">
        <v>1355</v>
      </c>
    </row>
    <row r="1089" spans="1:18" x14ac:dyDescent="0.25">
      <c r="A1089" t="s">
        <v>341</v>
      </c>
      <c r="B1089" s="4">
        <v>42519</v>
      </c>
      <c r="C1089" s="9">
        <f t="shared" si="70"/>
        <v>5</v>
      </c>
      <c r="D1089">
        <f t="shared" si="71"/>
        <v>2016</v>
      </c>
      <c r="E1089">
        <f t="shared" si="72"/>
        <v>0</v>
      </c>
      <c r="F1089" t="s">
        <v>516</v>
      </c>
      <c r="G1089" t="s">
        <v>622</v>
      </c>
      <c r="H1089" t="s">
        <v>622</v>
      </c>
      <c r="I1089">
        <v>1</v>
      </c>
      <c r="J1089">
        <v>21</v>
      </c>
      <c r="K1089">
        <f t="shared" si="73"/>
        <v>81</v>
      </c>
      <c r="L1089" t="s">
        <v>509</v>
      </c>
      <c r="R1089" t="s">
        <v>1355</v>
      </c>
    </row>
    <row r="1090" spans="1:18" x14ac:dyDescent="0.25">
      <c r="A1090" t="s">
        <v>341</v>
      </c>
      <c r="B1090" s="4">
        <v>42520</v>
      </c>
      <c r="C1090" s="9">
        <f t="shared" si="70"/>
        <v>5</v>
      </c>
      <c r="D1090">
        <f t="shared" si="71"/>
        <v>2016</v>
      </c>
      <c r="E1090">
        <f t="shared" si="72"/>
        <v>1</v>
      </c>
      <c r="F1090" t="s">
        <v>516</v>
      </c>
      <c r="G1090" t="s">
        <v>508</v>
      </c>
      <c r="H1090" t="s">
        <v>508</v>
      </c>
      <c r="J1090">
        <v>36</v>
      </c>
      <c r="K1090">
        <f t="shared" si="73"/>
        <v>36</v>
      </c>
      <c r="L1090" t="s">
        <v>509</v>
      </c>
      <c r="R1090" t="s">
        <v>1355</v>
      </c>
    </row>
    <row r="1091" spans="1:18" x14ac:dyDescent="0.25">
      <c r="A1091" t="s">
        <v>341</v>
      </c>
      <c r="B1091" s="4">
        <v>42520</v>
      </c>
      <c r="C1091" s="9">
        <f t="shared" ref="C1091:C1154" si="74">MONTH(B1091)</f>
        <v>5</v>
      </c>
      <c r="D1091">
        <f t="shared" si="71"/>
        <v>2016</v>
      </c>
      <c r="E1091">
        <f t="shared" si="72"/>
        <v>0</v>
      </c>
      <c r="F1091" t="s">
        <v>516</v>
      </c>
      <c r="G1091" t="s">
        <v>508</v>
      </c>
      <c r="H1091" t="s">
        <v>508</v>
      </c>
      <c r="J1091">
        <v>23</v>
      </c>
      <c r="K1091">
        <f t="shared" si="73"/>
        <v>23</v>
      </c>
      <c r="L1091" t="s">
        <v>509</v>
      </c>
      <c r="R1091" t="s">
        <v>1355</v>
      </c>
    </row>
    <row r="1092" spans="1:18" x14ac:dyDescent="0.25">
      <c r="A1092" t="s">
        <v>341</v>
      </c>
      <c r="B1092" s="4">
        <v>42520</v>
      </c>
      <c r="C1092" s="9">
        <f t="shared" si="74"/>
        <v>5</v>
      </c>
      <c r="D1092">
        <f t="shared" si="71"/>
        <v>2016</v>
      </c>
      <c r="E1092">
        <f t="shared" si="72"/>
        <v>0</v>
      </c>
      <c r="F1092" t="s">
        <v>516</v>
      </c>
      <c r="G1092" t="s">
        <v>508</v>
      </c>
      <c r="H1092" t="s">
        <v>508</v>
      </c>
      <c r="I1092">
        <v>1</v>
      </c>
      <c r="J1092">
        <v>13</v>
      </c>
      <c r="K1092">
        <f t="shared" si="73"/>
        <v>73</v>
      </c>
      <c r="L1092" t="s">
        <v>509</v>
      </c>
      <c r="R1092" t="s">
        <v>1355</v>
      </c>
    </row>
    <row r="1093" spans="1:18" x14ac:dyDescent="0.25">
      <c r="A1093" t="s">
        <v>341</v>
      </c>
      <c r="B1093" s="4">
        <v>42520</v>
      </c>
      <c r="C1093" s="9">
        <f t="shared" si="74"/>
        <v>5</v>
      </c>
      <c r="D1093">
        <f t="shared" si="71"/>
        <v>2016</v>
      </c>
      <c r="E1093">
        <f t="shared" si="72"/>
        <v>0</v>
      </c>
      <c r="F1093" t="s">
        <v>516</v>
      </c>
      <c r="G1093" t="s">
        <v>508</v>
      </c>
      <c r="H1093" t="s">
        <v>508</v>
      </c>
      <c r="J1093">
        <v>46</v>
      </c>
      <c r="K1093">
        <f t="shared" si="73"/>
        <v>46</v>
      </c>
      <c r="L1093" t="s">
        <v>509</v>
      </c>
      <c r="R1093" t="s">
        <v>1355</v>
      </c>
    </row>
    <row r="1094" spans="1:18" x14ac:dyDescent="0.25">
      <c r="A1094" t="s">
        <v>341</v>
      </c>
      <c r="B1094" s="4">
        <v>42521</v>
      </c>
      <c r="C1094" s="9">
        <f t="shared" si="74"/>
        <v>5</v>
      </c>
      <c r="D1094">
        <f t="shared" si="71"/>
        <v>2016</v>
      </c>
      <c r="E1094">
        <f t="shared" si="72"/>
        <v>1</v>
      </c>
      <c r="F1094" t="s">
        <v>516</v>
      </c>
      <c r="G1094" t="s">
        <v>623</v>
      </c>
      <c r="H1094" t="s">
        <v>624</v>
      </c>
      <c r="I1094">
        <v>2</v>
      </c>
      <c r="J1094">
        <v>17</v>
      </c>
      <c r="K1094">
        <f t="shared" si="73"/>
        <v>137</v>
      </c>
      <c r="L1094" t="s">
        <v>509</v>
      </c>
      <c r="R1094" t="s">
        <v>1355</v>
      </c>
    </row>
    <row r="1095" spans="1:18" x14ac:dyDescent="0.25">
      <c r="A1095" t="s">
        <v>341</v>
      </c>
      <c r="B1095" s="4">
        <v>42521</v>
      </c>
      <c r="C1095" s="9">
        <f t="shared" si="74"/>
        <v>5</v>
      </c>
      <c r="D1095">
        <f t="shared" si="71"/>
        <v>2016</v>
      </c>
      <c r="E1095">
        <f t="shared" si="72"/>
        <v>0</v>
      </c>
      <c r="F1095" t="s">
        <v>516</v>
      </c>
      <c r="G1095" t="s">
        <v>508</v>
      </c>
      <c r="H1095" t="s">
        <v>508</v>
      </c>
      <c r="J1095">
        <v>13</v>
      </c>
      <c r="K1095">
        <f t="shared" si="73"/>
        <v>13</v>
      </c>
      <c r="L1095" t="s">
        <v>509</v>
      </c>
      <c r="R1095" t="s">
        <v>1355</v>
      </c>
    </row>
    <row r="1096" spans="1:18" x14ac:dyDescent="0.25">
      <c r="A1096" t="s">
        <v>341</v>
      </c>
      <c r="B1096" s="4">
        <v>42522</v>
      </c>
      <c r="C1096" s="9">
        <f t="shared" si="74"/>
        <v>6</v>
      </c>
      <c r="D1096">
        <f t="shared" si="71"/>
        <v>2016</v>
      </c>
      <c r="E1096">
        <f t="shared" si="72"/>
        <v>1</v>
      </c>
      <c r="F1096" t="s">
        <v>516</v>
      </c>
      <c r="G1096" t="s">
        <v>536</v>
      </c>
      <c r="H1096" t="s">
        <v>625</v>
      </c>
      <c r="I1096">
        <v>1</v>
      </c>
      <c r="J1096">
        <v>6</v>
      </c>
      <c r="K1096">
        <f t="shared" si="73"/>
        <v>66</v>
      </c>
      <c r="L1096" t="s">
        <v>509</v>
      </c>
      <c r="R1096" t="s">
        <v>1355</v>
      </c>
    </row>
    <row r="1097" spans="1:18" x14ac:dyDescent="0.25">
      <c r="A1097" t="s">
        <v>341</v>
      </c>
      <c r="B1097" s="4">
        <v>42522</v>
      </c>
      <c r="C1097" s="9">
        <f t="shared" si="74"/>
        <v>6</v>
      </c>
      <c r="D1097">
        <f t="shared" si="71"/>
        <v>2016</v>
      </c>
      <c r="E1097">
        <f t="shared" si="72"/>
        <v>0</v>
      </c>
      <c r="F1097" t="s">
        <v>516</v>
      </c>
      <c r="G1097" t="s">
        <v>511</v>
      </c>
      <c r="H1097" t="s">
        <v>626</v>
      </c>
      <c r="J1097">
        <v>52</v>
      </c>
      <c r="K1097">
        <f t="shared" si="73"/>
        <v>52</v>
      </c>
      <c r="L1097" t="s">
        <v>509</v>
      </c>
      <c r="R1097" t="s">
        <v>1354</v>
      </c>
    </row>
    <row r="1098" spans="1:18" x14ac:dyDescent="0.25">
      <c r="A1098" t="s">
        <v>341</v>
      </c>
      <c r="B1098" s="4">
        <v>42523</v>
      </c>
      <c r="C1098" s="9">
        <f t="shared" si="74"/>
        <v>6</v>
      </c>
      <c r="D1098">
        <f t="shared" si="71"/>
        <v>2016</v>
      </c>
      <c r="E1098">
        <f t="shared" si="72"/>
        <v>1</v>
      </c>
      <c r="F1098" t="s">
        <v>516</v>
      </c>
      <c r="G1098" t="s">
        <v>627</v>
      </c>
      <c r="H1098" t="s">
        <v>628</v>
      </c>
      <c r="J1098">
        <v>29</v>
      </c>
      <c r="K1098">
        <f t="shared" si="73"/>
        <v>29</v>
      </c>
      <c r="L1098" t="s">
        <v>509</v>
      </c>
      <c r="R1098" t="s">
        <v>1355</v>
      </c>
    </row>
    <row r="1099" spans="1:18" x14ac:dyDescent="0.25">
      <c r="A1099" t="s">
        <v>341</v>
      </c>
      <c r="B1099" s="4">
        <v>42524</v>
      </c>
      <c r="C1099" s="9">
        <f t="shared" si="74"/>
        <v>6</v>
      </c>
      <c r="D1099">
        <f t="shared" si="71"/>
        <v>2016</v>
      </c>
      <c r="E1099">
        <f t="shared" si="72"/>
        <v>1</v>
      </c>
      <c r="F1099" t="s">
        <v>516</v>
      </c>
      <c r="G1099" t="s">
        <v>629</v>
      </c>
      <c r="H1099" t="s">
        <v>629</v>
      </c>
      <c r="I1099">
        <v>3</v>
      </c>
      <c r="J1099">
        <v>6</v>
      </c>
      <c r="K1099">
        <f t="shared" si="73"/>
        <v>186</v>
      </c>
      <c r="L1099" t="s">
        <v>509</v>
      </c>
      <c r="R1099" t="s">
        <v>1355</v>
      </c>
    </row>
    <row r="1100" spans="1:18" x14ac:dyDescent="0.25">
      <c r="A1100" t="s">
        <v>341</v>
      </c>
      <c r="B1100" s="4">
        <v>42531</v>
      </c>
      <c r="C1100" s="9">
        <f t="shared" si="74"/>
        <v>6</v>
      </c>
      <c r="D1100">
        <f t="shared" si="71"/>
        <v>2016</v>
      </c>
      <c r="E1100">
        <f t="shared" si="72"/>
        <v>1</v>
      </c>
      <c r="F1100" t="s">
        <v>516</v>
      </c>
      <c r="G1100" t="s">
        <v>154</v>
      </c>
      <c r="H1100" t="s">
        <v>153</v>
      </c>
      <c r="J1100">
        <v>54</v>
      </c>
      <c r="K1100">
        <f t="shared" si="73"/>
        <v>54</v>
      </c>
      <c r="R1100" t="s">
        <v>1348</v>
      </c>
    </row>
    <row r="1101" spans="1:18" x14ac:dyDescent="0.25">
      <c r="A1101" t="s">
        <v>341</v>
      </c>
      <c r="B1101" s="4">
        <v>42552</v>
      </c>
      <c r="C1101" s="9">
        <f t="shared" si="74"/>
        <v>7</v>
      </c>
      <c r="D1101">
        <f t="shared" si="71"/>
        <v>2016</v>
      </c>
      <c r="E1101">
        <f t="shared" si="72"/>
        <v>1</v>
      </c>
      <c r="F1101" t="s">
        <v>516</v>
      </c>
      <c r="G1101" t="s">
        <v>101</v>
      </c>
      <c r="H1101" t="s">
        <v>153</v>
      </c>
      <c r="I1101">
        <v>1</v>
      </c>
      <c r="J1101">
        <v>12</v>
      </c>
      <c r="K1101">
        <f t="shared" si="73"/>
        <v>72</v>
      </c>
      <c r="R1101" t="s">
        <v>1348</v>
      </c>
    </row>
    <row r="1102" spans="1:18" x14ac:dyDescent="0.25">
      <c r="A1102" t="s">
        <v>341</v>
      </c>
      <c r="B1102" s="4">
        <v>42558</v>
      </c>
      <c r="C1102" s="9">
        <f t="shared" si="74"/>
        <v>7</v>
      </c>
      <c r="D1102">
        <f t="shared" si="71"/>
        <v>2016</v>
      </c>
      <c r="E1102">
        <f t="shared" si="72"/>
        <v>1</v>
      </c>
      <c r="F1102" t="s">
        <v>516</v>
      </c>
      <c r="G1102" t="s">
        <v>154</v>
      </c>
      <c r="H1102" t="s">
        <v>153</v>
      </c>
      <c r="J1102">
        <v>55</v>
      </c>
      <c r="K1102">
        <f t="shared" si="73"/>
        <v>55</v>
      </c>
      <c r="R1102" t="s">
        <v>1348</v>
      </c>
    </row>
    <row r="1103" spans="1:18" x14ac:dyDescent="0.25">
      <c r="A1103" t="s">
        <v>341</v>
      </c>
      <c r="B1103" s="4">
        <v>42559</v>
      </c>
      <c r="C1103" s="9">
        <f t="shared" si="74"/>
        <v>7</v>
      </c>
      <c r="D1103">
        <f t="shared" si="71"/>
        <v>2016</v>
      </c>
      <c r="E1103">
        <f t="shared" si="72"/>
        <v>1</v>
      </c>
      <c r="F1103" t="s">
        <v>516</v>
      </c>
      <c r="G1103" t="s">
        <v>101</v>
      </c>
      <c r="H1103" t="s">
        <v>244</v>
      </c>
      <c r="J1103">
        <v>18</v>
      </c>
      <c r="K1103">
        <f t="shared" si="73"/>
        <v>18</v>
      </c>
      <c r="M1103" t="s">
        <v>631</v>
      </c>
      <c r="R1103" t="s">
        <v>1348</v>
      </c>
    </row>
    <row r="1104" spans="1:18" x14ac:dyDescent="0.25">
      <c r="A1104" t="s">
        <v>341</v>
      </c>
      <c r="B1104" s="4">
        <v>42560</v>
      </c>
      <c r="C1104" s="9">
        <f t="shared" si="74"/>
        <v>7</v>
      </c>
      <c r="D1104">
        <f t="shared" si="71"/>
        <v>2016</v>
      </c>
      <c r="E1104">
        <f t="shared" si="72"/>
        <v>1</v>
      </c>
      <c r="F1104" t="s">
        <v>516</v>
      </c>
      <c r="G1104" t="s">
        <v>101</v>
      </c>
      <c r="H1104" t="s">
        <v>244</v>
      </c>
      <c r="J1104">
        <v>55</v>
      </c>
      <c r="K1104">
        <f t="shared" si="73"/>
        <v>55</v>
      </c>
      <c r="R1104" t="s">
        <v>1348</v>
      </c>
    </row>
    <row r="1105" spans="1:18" x14ac:dyDescent="0.25">
      <c r="A1105" t="s">
        <v>341</v>
      </c>
      <c r="B1105" s="4">
        <v>42561</v>
      </c>
      <c r="C1105" s="9">
        <f t="shared" si="74"/>
        <v>7</v>
      </c>
      <c r="D1105">
        <f t="shared" si="71"/>
        <v>2016</v>
      </c>
      <c r="E1105">
        <f t="shared" si="72"/>
        <v>1</v>
      </c>
      <c r="F1105" t="s">
        <v>516</v>
      </c>
      <c r="G1105" t="s">
        <v>406</v>
      </c>
      <c r="H1105" t="s">
        <v>273</v>
      </c>
      <c r="I1105">
        <v>1</v>
      </c>
      <c r="J1105">
        <v>12</v>
      </c>
      <c r="K1105">
        <f t="shared" si="73"/>
        <v>72</v>
      </c>
      <c r="R1105" t="s">
        <v>1348</v>
      </c>
    </row>
    <row r="1106" spans="1:18" x14ac:dyDescent="0.25">
      <c r="A1106" t="s">
        <v>341</v>
      </c>
      <c r="B1106" s="4">
        <v>42568</v>
      </c>
      <c r="C1106" s="9">
        <f t="shared" si="74"/>
        <v>7</v>
      </c>
      <c r="D1106">
        <f t="shared" si="71"/>
        <v>2016</v>
      </c>
      <c r="E1106">
        <f t="shared" si="72"/>
        <v>1</v>
      </c>
      <c r="F1106" t="s">
        <v>516</v>
      </c>
      <c r="G1106" t="s">
        <v>632</v>
      </c>
      <c r="H1106" t="s">
        <v>438</v>
      </c>
      <c r="I1106">
        <v>1</v>
      </c>
      <c r="J1106">
        <v>54</v>
      </c>
      <c r="K1106">
        <f t="shared" si="73"/>
        <v>114</v>
      </c>
      <c r="R1106" t="s">
        <v>1348</v>
      </c>
    </row>
    <row r="1107" spans="1:18" x14ac:dyDescent="0.25">
      <c r="A1107" t="s">
        <v>341</v>
      </c>
      <c r="B1107" s="4">
        <v>42570</v>
      </c>
      <c r="C1107" s="9">
        <f t="shared" si="74"/>
        <v>7</v>
      </c>
      <c r="D1107">
        <f t="shared" si="71"/>
        <v>2016</v>
      </c>
      <c r="E1107">
        <f t="shared" si="72"/>
        <v>1</v>
      </c>
      <c r="F1107" t="s">
        <v>516</v>
      </c>
      <c r="G1107" t="s">
        <v>595</v>
      </c>
      <c r="H1107" t="s">
        <v>319</v>
      </c>
      <c r="I1107">
        <v>1</v>
      </c>
      <c r="J1107">
        <v>40</v>
      </c>
      <c r="K1107">
        <f t="shared" si="73"/>
        <v>100</v>
      </c>
      <c r="R1107" t="s">
        <v>1348</v>
      </c>
    </row>
    <row r="1108" spans="1:18" x14ac:dyDescent="0.25">
      <c r="A1108" t="s">
        <v>341</v>
      </c>
      <c r="B1108" s="4">
        <v>42571</v>
      </c>
      <c r="C1108" s="9">
        <f t="shared" si="74"/>
        <v>7</v>
      </c>
      <c r="D1108">
        <f t="shared" si="71"/>
        <v>2016</v>
      </c>
      <c r="E1108">
        <f t="shared" si="72"/>
        <v>1</v>
      </c>
      <c r="F1108" t="s">
        <v>516</v>
      </c>
      <c r="G1108" t="s">
        <v>595</v>
      </c>
      <c r="H1108" t="s">
        <v>244</v>
      </c>
      <c r="I1108">
        <v>2</v>
      </c>
      <c r="J1108">
        <v>28</v>
      </c>
      <c r="K1108">
        <f t="shared" si="73"/>
        <v>148</v>
      </c>
      <c r="M1108" t="s">
        <v>633</v>
      </c>
      <c r="R1108" t="s">
        <v>1348</v>
      </c>
    </row>
    <row r="1109" spans="1:18" x14ac:dyDescent="0.25">
      <c r="A1109" t="s">
        <v>341</v>
      </c>
      <c r="B1109" s="4">
        <v>42575</v>
      </c>
      <c r="C1109" s="9">
        <f t="shared" si="74"/>
        <v>7</v>
      </c>
      <c r="D1109">
        <f t="shared" si="71"/>
        <v>2016</v>
      </c>
      <c r="E1109">
        <f t="shared" si="72"/>
        <v>1</v>
      </c>
      <c r="F1109" t="s">
        <v>516</v>
      </c>
      <c r="G1109" t="s">
        <v>595</v>
      </c>
      <c r="H1109" t="s">
        <v>534</v>
      </c>
      <c r="I1109">
        <v>1</v>
      </c>
      <c r="J1109">
        <v>50</v>
      </c>
      <c r="K1109">
        <f t="shared" si="73"/>
        <v>110</v>
      </c>
      <c r="R1109" t="s">
        <v>1348</v>
      </c>
    </row>
    <row r="1110" spans="1:18" x14ac:dyDescent="0.25">
      <c r="A1110" t="s">
        <v>341</v>
      </c>
      <c r="B1110" s="4">
        <v>42578</v>
      </c>
      <c r="C1110" s="9">
        <f t="shared" si="74"/>
        <v>7</v>
      </c>
      <c r="D1110">
        <f t="shared" si="71"/>
        <v>2016</v>
      </c>
      <c r="E1110">
        <f t="shared" si="72"/>
        <v>1</v>
      </c>
      <c r="F1110" t="s">
        <v>516</v>
      </c>
      <c r="G1110" t="s">
        <v>595</v>
      </c>
      <c r="H1110" t="s">
        <v>244</v>
      </c>
      <c r="J1110">
        <v>18</v>
      </c>
      <c r="K1110">
        <f t="shared" si="73"/>
        <v>18</v>
      </c>
      <c r="R1110" t="s">
        <v>1348</v>
      </c>
    </row>
    <row r="1111" spans="1:18" x14ac:dyDescent="0.25">
      <c r="A1111" t="s">
        <v>341</v>
      </c>
      <c r="B1111" s="4">
        <v>42579</v>
      </c>
      <c r="C1111" s="9">
        <f t="shared" si="74"/>
        <v>7</v>
      </c>
      <c r="D1111">
        <f t="shared" si="71"/>
        <v>2016</v>
      </c>
      <c r="E1111">
        <f t="shared" si="72"/>
        <v>1</v>
      </c>
      <c r="F1111" t="s">
        <v>516</v>
      </c>
      <c r="G1111" t="s">
        <v>595</v>
      </c>
      <c r="H1111" t="s">
        <v>153</v>
      </c>
      <c r="J1111">
        <v>42</v>
      </c>
      <c r="K1111">
        <f t="shared" si="73"/>
        <v>42</v>
      </c>
      <c r="R1111" t="s">
        <v>1348</v>
      </c>
    </row>
    <row r="1112" spans="1:18" x14ac:dyDescent="0.25">
      <c r="A1112" t="s">
        <v>341</v>
      </c>
      <c r="B1112" s="4">
        <v>42580</v>
      </c>
      <c r="C1112" s="9">
        <f t="shared" si="74"/>
        <v>7</v>
      </c>
      <c r="D1112">
        <f t="shared" si="71"/>
        <v>2016</v>
      </c>
      <c r="E1112">
        <f t="shared" si="72"/>
        <v>1</v>
      </c>
      <c r="F1112" t="s">
        <v>516</v>
      </c>
      <c r="G1112" t="s">
        <v>406</v>
      </c>
      <c r="H1112" t="s">
        <v>153</v>
      </c>
      <c r="I1112">
        <v>1</v>
      </c>
      <c r="J1112">
        <v>10</v>
      </c>
      <c r="K1112">
        <f t="shared" si="73"/>
        <v>70</v>
      </c>
      <c r="R1112" t="s">
        <v>1348</v>
      </c>
    </row>
    <row r="1113" spans="1:18" x14ac:dyDescent="0.25">
      <c r="A1113" t="s">
        <v>341</v>
      </c>
      <c r="B1113" s="4">
        <v>42581</v>
      </c>
      <c r="C1113" s="9">
        <f t="shared" si="74"/>
        <v>7</v>
      </c>
      <c r="D1113">
        <f t="shared" si="71"/>
        <v>2016</v>
      </c>
      <c r="E1113">
        <f t="shared" si="72"/>
        <v>1</v>
      </c>
      <c r="F1113" t="s">
        <v>613</v>
      </c>
      <c r="G1113" t="s">
        <v>634</v>
      </c>
      <c r="H1113" t="s">
        <v>244</v>
      </c>
      <c r="J1113">
        <v>10</v>
      </c>
      <c r="K1113">
        <f t="shared" si="73"/>
        <v>10</v>
      </c>
      <c r="R1113" t="s">
        <v>1348</v>
      </c>
    </row>
    <row r="1114" spans="1:18" x14ac:dyDescent="0.25">
      <c r="A1114" t="s">
        <v>341</v>
      </c>
      <c r="B1114" s="4">
        <v>42585</v>
      </c>
      <c r="C1114" s="9">
        <f t="shared" si="74"/>
        <v>8</v>
      </c>
      <c r="D1114">
        <f t="shared" si="71"/>
        <v>2016</v>
      </c>
      <c r="E1114">
        <f t="shared" si="72"/>
        <v>1</v>
      </c>
      <c r="F1114" t="s">
        <v>516</v>
      </c>
      <c r="G1114" t="s">
        <v>595</v>
      </c>
      <c r="H1114" t="s">
        <v>635</v>
      </c>
      <c r="J1114">
        <v>27</v>
      </c>
      <c r="K1114">
        <f t="shared" si="73"/>
        <v>27</v>
      </c>
      <c r="R1114" t="s">
        <v>1348</v>
      </c>
    </row>
    <row r="1115" spans="1:18" x14ac:dyDescent="0.25">
      <c r="A1115" t="s">
        <v>341</v>
      </c>
      <c r="B1115" s="4">
        <v>42586</v>
      </c>
      <c r="C1115" s="9">
        <f t="shared" si="74"/>
        <v>8</v>
      </c>
      <c r="D1115">
        <f t="shared" si="71"/>
        <v>2016</v>
      </c>
      <c r="E1115">
        <f t="shared" si="72"/>
        <v>1</v>
      </c>
      <c r="F1115" t="s">
        <v>516</v>
      </c>
      <c r="G1115" t="s">
        <v>409</v>
      </c>
      <c r="H1115" t="s">
        <v>153</v>
      </c>
      <c r="J1115">
        <v>54</v>
      </c>
      <c r="K1115">
        <f t="shared" si="73"/>
        <v>54</v>
      </c>
      <c r="R1115" t="s">
        <v>1348</v>
      </c>
    </row>
    <row r="1116" spans="1:18" x14ac:dyDescent="0.25">
      <c r="A1116" t="s">
        <v>341</v>
      </c>
      <c r="B1116" s="4">
        <v>42589</v>
      </c>
      <c r="C1116" s="9">
        <f t="shared" si="74"/>
        <v>8</v>
      </c>
      <c r="D1116">
        <f t="shared" si="71"/>
        <v>2016</v>
      </c>
      <c r="E1116">
        <f t="shared" si="72"/>
        <v>1</v>
      </c>
      <c r="F1116" t="s">
        <v>516</v>
      </c>
      <c r="G1116" t="s">
        <v>7</v>
      </c>
      <c r="H1116" t="s">
        <v>55</v>
      </c>
      <c r="I1116">
        <v>1</v>
      </c>
      <c r="J1116">
        <v>1</v>
      </c>
      <c r="K1116">
        <f t="shared" si="73"/>
        <v>61</v>
      </c>
      <c r="R1116" t="s">
        <v>1348</v>
      </c>
    </row>
    <row r="1117" spans="1:18" x14ac:dyDescent="0.25">
      <c r="A1117" t="s">
        <v>341</v>
      </c>
      <c r="B1117" s="4">
        <v>42590</v>
      </c>
      <c r="C1117" s="9">
        <f t="shared" si="74"/>
        <v>8</v>
      </c>
      <c r="D1117">
        <f t="shared" si="71"/>
        <v>2016</v>
      </c>
      <c r="E1117">
        <f t="shared" si="72"/>
        <v>1</v>
      </c>
      <c r="F1117" t="s">
        <v>516</v>
      </c>
      <c r="G1117" t="s">
        <v>409</v>
      </c>
      <c r="H1117" t="s">
        <v>244</v>
      </c>
      <c r="I1117">
        <v>2</v>
      </c>
      <c r="J1117">
        <v>15</v>
      </c>
      <c r="K1117">
        <f t="shared" si="73"/>
        <v>135</v>
      </c>
      <c r="R1117" t="s">
        <v>1348</v>
      </c>
    </row>
    <row r="1118" spans="1:18" x14ac:dyDescent="0.25">
      <c r="A1118" t="s">
        <v>341</v>
      </c>
      <c r="B1118" s="4">
        <v>42593</v>
      </c>
      <c r="C1118" s="9">
        <f t="shared" si="74"/>
        <v>8</v>
      </c>
      <c r="D1118">
        <f t="shared" si="71"/>
        <v>2016</v>
      </c>
      <c r="E1118">
        <f t="shared" si="72"/>
        <v>1</v>
      </c>
      <c r="F1118" t="s">
        <v>516</v>
      </c>
      <c r="G1118" t="s">
        <v>409</v>
      </c>
      <c r="H1118" t="s">
        <v>153</v>
      </c>
      <c r="J1118">
        <v>32</v>
      </c>
      <c r="K1118">
        <f t="shared" si="73"/>
        <v>32</v>
      </c>
      <c r="R1118" t="s">
        <v>1348</v>
      </c>
    </row>
    <row r="1119" spans="1:18" x14ac:dyDescent="0.25">
      <c r="A1119" t="s">
        <v>341</v>
      </c>
      <c r="B1119" s="4">
        <v>42594</v>
      </c>
      <c r="C1119" s="9">
        <f t="shared" si="74"/>
        <v>8</v>
      </c>
      <c r="D1119">
        <f t="shared" si="71"/>
        <v>2016</v>
      </c>
      <c r="E1119">
        <f t="shared" si="72"/>
        <v>1</v>
      </c>
      <c r="F1119" t="s">
        <v>516</v>
      </c>
      <c r="G1119" t="s">
        <v>409</v>
      </c>
      <c r="H1119" t="s">
        <v>153</v>
      </c>
      <c r="J1119">
        <v>43</v>
      </c>
      <c r="K1119">
        <f t="shared" si="73"/>
        <v>43</v>
      </c>
      <c r="R1119" t="s">
        <v>1348</v>
      </c>
    </row>
    <row r="1120" spans="1:18" x14ac:dyDescent="0.25">
      <c r="A1120" t="s">
        <v>341</v>
      </c>
      <c r="B1120" s="4">
        <v>42595</v>
      </c>
      <c r="C1120" s="9">
        <f t="shared" si="74"/>
        <v>8</v>
      </c>
      <c r="D1120">
        <f t="shared" si="71"/>
        <v>2016</v>
      </c>
      <c r="E1120">
        <f t="shared" si="72"/>
        <v>1</v>
      </c>
      <c r="F1120" t="s">
        <v>516</v>
      </c>
      <c r="G1120" t="s">
        <v>406</v>
      </c>
      <c r="H1120" t="s">
        <v>153</v>
      </c>
      <c r="I1120">
        <v>2</v>
      </c>
      <c r="J1120">
        <v>33</v>
      </c>
      <c r="K1120">
        <f t="shared" si="73"/>
        <v>153</v>
      </c>
      <c r="R1120" t="s">
        <v>1348</v>
      </c>
    </row>
    <row r="1121" spans="1:18" x14ac:dyDescent="0.25">
      <c r="A1121" t="s">
        <v>341</v>
      </c>
      <c r="B1121" s="4">
        <v>42596</v>
      </c>
      <c r="C1121" s="9">
        <f t="shared" si="74"/>
        <v>8</v>
      </c>
      <c r="D1121">
        <f t="shared" si="71"/>
        <v>2016</v>
      </c>
      <c r="E1121">
        <f t="shared" si="72"/>
        <v>1</v>
      </c>
      <c r="F1121" t="s">
        <v>516</v>
      </c>
      <c r="G1121" t="s">
        <v>406</v>
      </c>
      <c r="H1121" t="s">
        <v>636</v>
      </c>
      <c r="I1121">
        <v>5</v>
      </c>
      <c r="J1121">
        <v>10</v>
      </c>
      <c r="K1121">
        <f t="shared" si="73"/>
        <v>310</v>
      </c>
      <c r="M1121" t="s">
        <v>637</v>
      </c>
      <c r="Q1121">
        <v>106</v>
      </c>
      <c r="R1121" t="s">
        <v>1348</v>
      </c>
    </row>
    <row r="1122" spans="1:18" x14ac:dyDescent="0.25">
      <c r="A1122" t="s">
        <v>341</v>
      </c>
      <c r="B1122" s="4">
        <v>42597</v>
      </c>
      <c r="C1122" s="9">
        <f t="shared" si="74"/>
        <v>8</v>
      </c>
      <c r="D1122">
        <f t="shared" si="71"/>
        <v>2016</v>
      </c>
      <c r="E1122">
        <f t="shared" si="72"/>
        <v>1</v>
      </c>
      <c r="F1122" t="s">
        <v>516</v>
      </c>
      <c r="G1122" t="s">
        <v>406</v>
      </c>
      <c r="H1122" t="s">
        <v>273</v>
      </c>
      <c r="J1122">
        <v>55</v>
      </c>
      <c r="K1122">
        <f t="shared" si="73"/>
        <v>55</v>
      </c>
      <c r="R1122" t="s">
        <v>1348</v>
      </c>
    </row>
    <row r="1123" spans="1:18" x14ac:dyDescent="0.25">
      <c r="A1123" t="s">
        <v>341</v>
      </c>
      <c r="B1123" s="4">
        <v>42598</v>
      </c>
      <c r="C1123" s="9">
        <f t="shared" si="74"/>
        <v>8</v>
      </c>
      <c r="D1123">
        <f t="shared" si="71"/>
        <v>2016</v>
      </c>
      <c r="E1123">
        <f t="shared" si="72"/>
        <v>1</v>
      </c>
      <c r="F1123" t="s">
        <v>516</v>
      </c>
      <c r="G1123" t="s">
        <v>101</v>
      </c>
      <c r="H1123" t="s">
        <v>244</v>
      </c>
      <c r="I1123">
        <v>1</v>
      </c>
      <c r="J1123">
        <v>39</v>
      </c>
      <c r="K1123">
        <f t="shared" si="73"/>
        <v>99</v>
      </c>
      <c r="R1123" t="s">
        <v>1348</v>
      </c>
    </row>
    <row r="1124" spans="1:18" x14ac:dyDescent="0.25">
      <c r="A1124" t="s">
        <v>341</v>
      </c>
      <c r="B1124" s="4">
        <v>42601</v>
      </c>
      <c r="C1124" s="9">
        <f t="shared" si="74"/>
        <v>8</v>
      </c>
      <c r="D1124">
        <f t="shared" si="71"/>
        <v>2016</v>
      </c>
      <c r="E1124">
        <f t="shared" si="72"/>
        <v>1</v>
      </c>
      <c r="F1124" t="s">
        <v>516</v>
      </c>
      <c r="G1124" t="s">
        <v>101</v>
      </c>
      <c r="H1124" t="s">
        <v>273</v>
      </c>
      <c r="J1124">
        <v>51</v>
      </c>
      <c r="K1124">
        <f t="shared" si="73"/>
        <v>51</v>
      </c>
      <c r="M1124" t="s">
        <v>638</v>
      </c>
      <c r="R1124" t="s">
        <v>1348</v>
      </c>
    </row>
    <row r="1125" spans="1:18" x14ac:dyDescent="0.25">
      <c r="A1125" t="s">
        <v>341</v>
      </c>
      <c r="B1125" s="4">
        <v>42607</v>
      </c>
      <c r="C1125" s="9">
        <f t="shared" si="74"/>
        <v>8</v>
      </c>
      <c r="D1125">
        <f t="shared" si="71"/>
        <v>2016</v>
      </c>
      <c r="E1125">
        <f t="shared" si="72"/>
        <v>1</v>
      </c>
      <c r="F1125" t="s">
        <v>516</v>
      </c>
      <c r="G1125" t="s">
        <v>409</v>
      </c>
      <c r="H1125" t="s">
        <v>244</v>
      </c>
      <c r="I1125">
        <v>1</v>
      </c>
      <c r="J1125">
        <v>40</v>
      </c>
      <c r="K1125">
        <f t="shared" si="73"/>
        <v>100</v>
      </c>
      <c r="R1125" t="s">
        <v>1348</v>
      </c>
    </row>
    <row r="1126" spans="1:18" x14ac:dyDescent="0.25">
      <c r="A1126" t="s">
        <v>341</v>
      </c>
      <c r="B1126" s="4">
        <v>42608</v>
      </c>
      <c r="C1126" s="9">
        <f t="shared" si="74"/>
        <v>8</v>
      </c>
      <c r="D1126">
        <f t="shared" si="71"/>
        <v>2016</v>
      </c>
      <c r="E1126">
        <f t="shared" si="72"/>
        <v>1</v>
      </c>
      <c r="F1126" t="s">
        <v>516</v>
      </c>
      <c r="G1126" t="s">
        <v>406</v>
      </c>
      <c r="H1126" t="s">
        <v>153</v>
      </c>
      <c r="I1126">
        <v>1</v>
      </c>
      <c r="J1126">
        <v>29</v>
      </c>
      <c r="K1126">
        <f t="shared" si="73"/>
        <v>89</v>
      </c>
      <c r="M1126" t="s">
        <v>325</v>
      </c>
      <c r="R1126" t="s">
        <v>1348</v>
      </c>
    </row>
    <row r="1127" spans="1:18" x14ac:dyDescent="0.25">
      <c r="A1127" t="s">
        <v>341</v>
      </c>
      <c r="B1127" s="4">
        <v>42609</v>
      </c>
      <c r="C1127" s="9">
        <f t="shared" si="74"/>
        <v>8</v>
      </c>
      <c r="D1127">
        <f t="shared" si="71"/>
        <v>2016</v>
      </c>
      <c r="E1127">
        <f t="shared" si="72"/>
        <v>1</v>
      </c>
      <c r="F1127" t="s">
        <v>516</v>
      </c>
      <c r="G1127" t="s">
        <v>101</v>
      </c>
      <c r="H1127" t="s">
        <v>273</v>
      </c>
      <c r="I1127">
        <v>3</v>
      </c>
      <c r="J1127">
        <v>28</v>
      </c>
      <c r="K1127">
        <f t="shared" si="73"/>
        <v>208</v>
      </c>
      <c r="M1127" t="s">
        <v>639</v>
      </c>
      <c r="R1127" t="s">
        <v>1348</v>
      </c>
    </row>
    <row r="1128" spans="1:18" x14ac:dyDescent="0.25">
      <c r="A1128" t="s">
        <v>341</v>
      </c>
      <c r="B1128" s="4">
        <v>42610</v>
      </c>
      <c r="C1128" s="9">
        <f t="shared" si="74"/>
        <v>8</v>
      </c>
      <c r="D1128">
        <f t="shared" ref="D1128:D1190" si="75">YEAR(B1128)</f>
        <v>2016</v>
      </c>
      <c r="E1128">
        <f t="shared" ref="E1128:E1190" si="76">IF(OR(A1128 = "GS",A1128 = "BP"),IF( OR(A1127="GS",A1127="BP"),IF(B1127=B1128,0,1),1),0)</f>
        <v>1</v>
      </c>
      <c r="F1128" t="s">
        <v>516</v>
      </c>
      <c r="G1128" t="s">
        <v>406</v>
      </c>
      <c r="H1128" t="s">
        <v>244</v>
      </c>
      <c r="I1128">
        <v>1</v>
      </c>
      <c r="J1128">
        <v>23</v>
      </c>
      <c r="K1128">
        <f t="shared" ref="K1128:K1190" si="77">I1128*60+J1128</f>
        <v>83</v>
      </c>
      <c r="R1128" t="s">
        <v>1348</v>
      </c>
    </row>
    <row r="1129" spans="1:18" x14ac:dyDescent="0.25">
      <c r="A1129" t="s">
        <v>341</v>
      </c>
      <c r="B1129" s="4">
        <v>42615</v>
      </c>
      <c r="C1129" s="9">
        <f t="shared" si="74"/>
        <v>9</v>
      </c>
      <c r="D1129">
        <f t="shared" si="75"/>
        <v>2016</v>
      </c>
      <c r="E1129">
        <f t="shared" si="76"/>
        <v>1</v>
      </c>
      <c r="F1129" t="s">
        <v>516</v>
      </c>
      <c r="G1129" t="s">
        <v>595</v>
      </c>
      <c r="H1129" t="s">
        <v>244</v>
      </c>
      <c r="J1129">
        <v>38</v>
      </c>
      <c r="K1129">
        <f t="shared" si="77"/>
        <v>38</v>
      </c>
      <c r="R1129" t="s">
        <v>1348</v>
      </c>
    </row>
    <row r="1130" spans="1:18" x14ac:dyDescent="0.25">
      <c r="A1130" t="s">
        <v>341</v>
      </c>
      <c r="B1130" s="4">
        <v>42616</v>
      </c>
      <c r="C1130" s="9">
        <f t="shared" si="74"/>
        <v>9</v>
      </c>
      <c r="D1130">
        <f t="shared" si="75"/>
        <v>2016</v>
      </c>
      <c r="E1130">
        <f t="shared" si="76"/>
        <v>1</v>
      </c>
      <c r="F1130" t="s">
        <v>516</v>
      </c>
      <c r="G1130" t="s">
        <v>101</v>
      </c>
      <c r="H1130" t="s">
        <v>273</v>
      </c>
      <c r="I1130">
        <v>1</v>
      </c>
      <c r="J1130">
        <v>28</v>
      </c>
      <c r="K1130">
        <f t="shared" si="77"/>
        <v>88</v>
      </c>
      <c r="R1130" t="s">
        <v>1348</v>
      </c>
    </row>
    <row r="1131" spans="1:18" x14ac:dyDescent="0.25">
      <c r="A1131" t="s">
        <v>341</v>
      </c>
      <c r="B1131" s="4">
        <v>42623</v>
      </c>
      <c r="C1131" s="9">
        <f t="shared" si="74"/>
        <v>9</v>
      </c>
      <c r="D1131">
        <f t="shared" si="75"/>
        <v>2016</v>
      </c>
      <c r="E1131">
        <f t="shared" si="76"/>
        <v>1</v>
      </c>
      <c r="F1131" t="s">
        <v>516</v>
      </c>
      <c r="G1131" t="s">
        <v>101</v>
      </c>
      <c r="H1131" t="s">
        <v>244</v>
      </c>
      <c r="I1131">
        <v>2</v>
      </c>
      <c r="J1131">
        <v>4</v>
      </c>
      <c r="K1131">
        <f t="shared" si="77"/>
        <v>124</v>
      </c>
      <c r="R1131" t="s">
        <v>1348</v>
      </c>
    </row>
    <row r="1132" spans="1:18" x14ac:dyDescent="0.25">
      <c r="A1132" t="s">
        <v>341</v>
      </c>
      <c r="B1132" s="4">
        <v>42624</v>
      </c>
      <c r="C1132" s="9">
        <f t="shared" si="74"/>
        <v>9</v>
      </c>
      <c r="D1132">
        <f t="shared" si="75"/>
        <v>2016</v>
      </c>
      <c r="E1132">
        <f t="shared" si="76"/>
        <v>1</v>
      </c>
      <c r="F1132" t="s">
        <v>516</v>
      </c>
      <c r="G1132" t="s">
        <v>406</v>
      </c>
      <c r="H1132" t="s">
        <v>273</v>
      </c>
      <c r="I1132">
        <v>1</v>
      </c>
      <c r="J1132">
        <v>33</v>
      </c>
      <c r="K1132">
        <f t="shared" si="77"/>
        <v>93</v>
      </c>
      <c r="R1132" t="s">
        <v>1348</v>
      </c>
    </row>
    <row r="1133" spans="1:18" x14ac:dyDescent="0.25">
      <c r="A1133" t="s">
        <v>341</v>
      </c>
      <c r="B1133" s="4">
        <v>42625</v>
      </c>
      <c r="C1133" s="9">
        <f t="shared" si="74"/>
        <v>9</v>
      </c>
      <c r="D1133">
        <f t="shared" si="75"/>
        <v>2016</v>
      </c>
      <c r="E1133">
        <f t="shared" si="76"/>
        <v>1</v>
      </c>
      <c r="F1133" t="s">
        <v>516</v>
      </c>
      <c r="G1133" t="s">
        <v>101</v>
      </c>
      <c r="H1133" t="s">
        <v>640</v>
      </c>
      <c r="J1133">
        <v>30</v>
      </c>
      <c r="K1133">
        <f t="shared" si="77"/>
        <v>30</v>
      </c>
      <c r="R1133" t="s">
        <v>1348</v>
      </c>
    </row>
    <row r="1134" spans="1:18" x14ac:dyDescent="0.25">
      <c r="A1134" t="s">
        <v>341</v>
      </c>
      <c r="B1134" s="4">
        <v>42637</v>
      </c>
      <c r="C1134" s="9">
        <f t="shared" si="74"/>
        <v>9</v>
      </c>
      <c r="D1134">
        <f t="shared" si="75"/>
        <v>2016</v>
      </c>
      <c r="E1134">
        <f t="shared" si="76"/>
        <v>1</v>
      </c>
      <c r="F1134" t="s">
        <v>516</v>
      </c>
      <c r="G1134" t="s">
        <v>406</v>
      </c>
      <c r="H1134" t="s">
        <v>108</v>
      </c>
      <c r="I1134">
        <v>1</v>
      </c>
      <c r="J1134">
        <v>30</v>
      </c>
      <c r="K1134">
        <f t="shared" si="77"/>
        <v>90</v>
      </c>
      <c r="M1134" t="s">
        <v>641</v>
      </c>
      <c r="R1134" t="s">
        <v>1348</v>
      </c>
    </row>
    <row r="1135" spans="1:18" x14ac:dyDescent="0.25">
      <c r="A1135" t="s">
        <v>341</v>
      </c>
      <c r="B1135" s="4">
        <v>42638</v>
      </c>
      <c r="C1135" s="9">
        <f t="shared" si="74"/>
        <v>9</v>
      </c>
      <c r="D1135">
        <f t="shared" si="75"/>
        <v>2016</v>
      </c>
      <c r="E1135">
        <f t="shared" si="76"/>
        <v>1</v>
      </c>
      <c r="F1135" t="s">
        <v>516</v>
      </c>
      <c r="G1135" t="s">
        <v>1008</v>
      </c>
      <c r="H1135" t="s">
        <v>360</v>
      </c>
      <c r="J1135">
        <v>59</v>
      </c>
      <c r="K1135">
        <f t="shared" si="77"/>
        <v>59</v>
      </c>
      <c r="L1135" t="s">
        <v>239</v>
      </c>
      <c r="R1135" t="s">
        <v>1349</v>
      </c>
    </row>
    <row r="1136" spans="1:18" x14ac:dyDescent="0.25">
      <c r="A1136" t="s">
        <v>341</v>
      </c>
      <c r="B1136" s="4">
        <v>42638</v>
      </c>
      <c r="C1136" s="9">
        <f t="shared" si="74"/>
        <v>9</v>
      </c>
      <c r="D1136">
        <f t="shared" si="75"/>
        <v>2016</v>
      </c>
      <c r="E1136">
        <f t="shared" si="76"/>
        <v>0</v>
      </c>
      <c r="F1136" t="s">
        <v>516</v>
      </c>
      <c r="G1136" t="s">
        <v>518</v>
      </c>
      <c r="H1136" t="s">
        <v>520</v>
      </c>
      <c r="J1136">
        <v>21</v>
      </c>
      <c r="K1136">
        <f t="shared" si="77"/>
        <v>21</v>
      </c>
      <c r="L1136" t="s">
        <v>239</v>
      </c>
      <c r="R1136" t="s">
        <v>1349</v>
      </c>
    </row>
    <row r="1137" spans="1:18" x14ac:dyDescent="0.25">
      <c r="A1137" t="s">
        <v>341</v>
      </c>
      <c r="B1137" s="4">
        <v>42639</v>
      </c>
      <c r="C1137" s="9">
        <f t="shared" si="74"/>
        <v>9</v>
      </c>
      <c r="D1137">
        <f t="shared" si="75"/>
        <v>2016</v>
      </c>
      <c r="E1137">
        <f t="shared" si="76"/>
        <v>1</v>
      </c>
      <c r="F1137" t="s">
        <v>516</v>
      </c>
      <c r="G1137" t="s">
        <v>518</v>
      </c>
      <c r="H1137" t="s">
        <v>519</v>
      </c>
      <c r="I1137">
        <v>2</v>
      </c>
      <c r="J1137">
        <v>4</v>
      </c>
      <c r="K1137">
        <f t="shared" si="77"/>
        <v>124</v>
      </c>
      <c r="L1137" t="s">
        <v>239</v>
      </c>
      <c r="R1137" t="s">
        <v>1349</v>
      </c>
    </row>
    <row r="1138" spans="1:18" x14ac:dyDescent="0.25">
      <c r="A1138" t="s">
        <v>341</v>
      </c>
      <c r="B1138" s="4">
        <v>42639</v>
      </c>
      <c r="C1138" s="9">
        <f t="shared" si="74"/>
        <v>9</v>
      </c>
      <c r="D1138">
        <f t="shared" si="75"/>
        <v>2016</v>
      </c>
      <c r="E1138">
        <f t="shared" si="76"/>
        <v>0</v>
      </c>
      <c r="F1138" t="s">
        <v>516</v>
      </c>
      <c r="G1138" t="s">
        <v>520</v>
      </c>
      <c r="H1138" t="s">
        <v>519</v>
      </c>
      <c r="J1138">
        <v>37</v>
      </c>
      <c r="K1138">
        <f t="shared" si="77"/>
        <v>37</v>
      </c>
      <c r="L1138" t="s">
        <v>239</v>
      </c>
      <c r="R1138" t="s">
        <v>1349</v>
      </c>
    </row>
    <row r="1139" spans="1:18" x14ac:dyDescent="0.25">
      <c r="A1139" t="s">
        <v>341</v>
      </c>
      <c r="B1139" s="4">
        <v>42640</v>
      </c>
      <c r="C1139" s="9">
        <f t="shared" si="74"/>
        <v>9</v>
      </c>
      <c r="D1139">
        <f t="shared" si="75"/>
        <v>2016</v>
      </c>
      <c r="E1139">
        <f t="shared" si="76"/>
        <v>1</v>
      </c>
      <c r="F1139" t="s">
        <v>516</v>
      </c>
      <c r="G1139" t="s">
        <v>642</v>
      </c>
      <c r="H1139" t="s">
        <v>238</v>
      </c>
      <c r="J1139">
        <v>43</v>
      </c>
      <c r="K1139">
        <f t="shared" si="77"/>
        <v>43</v>
      </c>
      <c r="L1139" t="s">
        <v>239</v>
      </c>
      <c r="R1139" t="s">
        <v>1349</v>
      </c>
    </row>
    <row r="1140" spans="1:18" x14ac:dyDescent="0.25">
      <c r="A1140" t="s">
        <v>341</v>
      </c>
      <c r="B1140" s="4">
        <v>42641</v>
      </c>
      <c r="C1140" s="9">
        <f t="shared" si="74"/>
        <v>9</v>
      </c>
      <c r="D1140">
        <f t="shared" si="75"/>
        <v>2016</v>
      </c>
      <c r="E1140">
        <f t="shared" si="76"/>
        <v>1</v>
      </c>
      <c r="F1140" t="s">
        <v>516</v>
      </c>
      <c r="G1140" t="s">
        <v>642</v>
      </c>
      <c r="H1140" t="s">
        <v>238</v>
      </c>
      <c r="I1140">
        <v>2</v>
      </c>
      <c r="J1140">
        <v>11</v>
      </c>
      <c r="K1140">
        <f t="shared" si="77"/>
        <v>131</v>
      </c>
      <c r="L1140" t="s">
        <v>239</v>
      </c>
      <c r="R1140" t="s">
        <v>1349</v>
      </c>
    </row>
    <row r="1141" spans="1:18" x14ac:dyDescent="0.25">
      <c r="A1141" t="s">
        <v>341</v>
      </c>
      <c r="B1141" s="4">
        <v>42641</v>
      </c>
      <c r="C1141" s="9">
        <f t="shared" si="74"/>
        <v>9</v>
      </c>
      <c r="D1141">
        <f t="shared" si="75"/>
        <v>2016</v>
      </c>
      <c r="E1141">
        <f t="shared" si="76"/>
        <v>0</v>
      </c>
      <c r="F1141" t="s">
        <v>516</v>
      </c>
      <c r="G1141" t="s">
        <v>642</v>
      </c>
      <c r="H1141" t="s">
        <v>238</v>
      </c>
      <c r="I1141">
        <v>1</v>
      </c>
      <c r="J1141">
        <v>30</v>
      </c>
      <c r="K1141">
        <f t="shared" si="77"/>
        <v>90</v>
      </c>
      <c r="L1141" t="s">
        <v>239</v>
      </c>
      <c r="R1141" t="s">
        <v>1349</v>
      </c>
    </row>
    <row r="1142" spans="1:18" x14ac:dyDescent="0.25">
      <c r="A1142" t="s">
        <v>341</v>
      </c>
      <c r="B1142" s="4">
        <v>42642</v>
      </c>
      <c r="C1142" s="9">
        <f t="shared" si="74"/>
        <v>9</v>
      </c>
      <c r="D1142">
        <f t="shared" si="75"/>
        <v>2016</v>
      </c>
      <c r="E1142">
        <f t="shared" si="76"/>
        <v>1</v>
      </c>
      <c r="F1142" t="s">
        <v>516</v>
      </c>
      <c r="G1142" t="s">
        <v>642</v>
      </c>
      <c r="H1142" t="s">
        <v>238</v>
      </c>
      <c r="J1142">
        <v>14</v>
      </c>
      <c r="K1142">
        <f t="shared" si="77"/>
        <v>14</v>
      </c>
      <c r="L1142" t="s">
        <v>239</v>
      </c>
      <c r="R1142" t="s">
        <v>1349</v>
      </c>
    </row>
    <row r="1143" spans="1:18" x14ac:dyDescent="0.25">
      <c r="A1143" t="s">
        <v>341</v>
      </c>
      <c r="B1143" s="4">
        <v>42642</v>
      </c>
      <c r="C1143" s="9">
        <f t="shared" si="74"/>
        <v>9</v>
      </c>
      <c r="D1143">
        <f t="shared" si="75"/>
        <v>2016</v>
      </c>
      <c r="E1143">
        <f t="shared" si="76"/>
        <v>0</v>
      </c>
      <c r="F1143" t="s">
        <v>516</v>
      </c>
      <c r="G1143" t="s">
        <v>249</v>
      </c>
      <c r="H1143" t="s">
        <v>238</v>
      </c>
      <c r="I1143">
        <v>1</v>
      </c>
      <c r="J1143">
        <v>8</v>
      </c>
      <c r="K1143">
        <f t="shared" si="77"/>
        <v>68</v>
      </c>
      <c r="L1143" t="s">
        <v>239</v>
      </c>
      <c r="R1143" t="s">
        <v>1349</v>
      </c>
    </row>
    <row r="1144" spans="1:18" x14ac:dyDescent="0.25">
      <c r="A1144" t="s">
        <v>341</v>
      </c>
      <c r="B1144" s="4">
        <v>42643</v>
      </c>
      <c r="C1144" s="9">
        <f t="shared" si="74"/>
        <v>9</v>
      </c>
      <c r="D1144">
        <f t="shared" si="75"/>
        <v>2016</v>
      </c>
      <c r="E1144">
        <f t="shared" si="76"/>
        <v>1</v>
      </c>
      <c r="F1144" t="s">
        <v>516</v>
      </c>
      <c r="G1144" t="s">
        <v>642</v>
      </c>
      <c r="H1144" t="s">
        <v>238</v>
      </c>
      <c r="I1144">
        <v>2</v>
      </c>
      <c r="J1144">
        <v>50</v>
      </c>
      <c r="K1144">
        <f t="shared" si="77"/>
        <v>170</v>
      </c>
      <c r="L1144" t="s">
        <v>239</v>
      </c>
      <c r="R1144" t="s">
        <v>1349</v>
      </c>
    </row>
    <row r="1145" spans="1:18" x14ac:dyDescent="0.25">
      <c r="A1145" t="s">
        <v>341</v>
      </c>
      <c r="B1145" s="4">
        <v>42646</v>
      </c>
      <c r="C1145" s="9">
        <f t="shared" si="74"/>
        <v>10</v>
      </c>
      <c r="D1145">
        <f t="shared" si="75"/>
        <v>2016</v>
      </c>
      <c r="E1145">
        <f t="shared" si="76"/>
        <v>1</v>
      </c>
      <c r="F1145" t="s">
        <v>516</v>
      </c>
      <c r="G1145" t="s">
        <v>563</v>
      </c>
      <c r="H1145" t="s">
        <v>276</v>
      </c>
      <c r="I1145">
        <v>1</v>
      </c>
      <c r="K1145">
        <f t="shared" si="77"/>
        <v>60</v>
      </c>
      <c r="L1145" t="s">
        <v>1203</v>
      </c>
      <c r="R1145" t="s">
        <v>1351</v>
      </c>
    </row>
    <row r="1146" spans="1:18" x14ac:dyDescent="0.25">
      <c r="A1146" t="s">
        <v>341</v>
      </c>
      <c r="B1146" s="4">
        <v>42646</v>
      </c>
      <c r="C1146" s="9">
        <f t="shared" si="74"/>
        <v>10</v>
      </c>
      <c r="D1146">
        <f t="shared" si="75"/>
        <v>2016</v>
      </c>
      <c r="E1146">
        <f t="shared" si="76"/>
        <v>0</v>
      </c>
      <c r="F1146" t="s">
        <v>516</v>
      </c>
      <c r="G1146" t="s">
        <v>563</v>
      </c>
      <c r="H1146" t="s">
        <v>276</v>
      </c>
      <c r="I1146">
        <v>1</v>
      </c>
      <c r="J1146">
        <v>6</v>
      </c>
      <c r="K1146">
        <f t="shared" si="77"/>
        <v>66</v>
      </c>
      <c r="L1146" t="s">
        <v>1203</v>
      </c>
      <c r="R1146" t="s">
        <v>1351</v>
      </c>
    </row>
    <row r="1147" spans="1:18" x14ac:dyDescent="0.25">
      <c r="A1147" t="s">
        <v>341</v>
      </c>
      <c r="B1147" s="4">
        <v>42646</v>
      </c>
      <c r="C1147" s="9">
        <f t="shared" si="74"/>
        <v>10</v>
      </c>
      <c r="D1147">
        <f t="shared" si="75"/>
        <v>2016</v>
      </c>
      <c r="E1147">
        <f t="shared" si="76"/>
        <v>0</v>
      </c>
      <c r="F1147" t="s">
        <v>516</v>
      </c>
      <c r="G1147" t="s">
        <v>562</v>
      </c>
      <c r="H1147" t="s">
        <v>276</v>
      </c>
      <c r="I1147">
        <v>1</v>
      </c>
      <c r="J1147">
        <v>15</v>
      </c>
      <c r="K1147">
        <f t="shared" si="77"/>
        <v>75</v>
      </c>
      <c r="L1147" t="s">
        <v>1203</v>
      </c>
      <c r="R1147" t="s">
        <v>1351</v>
      </c>
    </row>
    <row r="1148" spans="1:18" x14ac:dyDescent="0.25">
      <c r="A1148" t="s">
        <v>341</v>
      </c>
      <c r="B1148" s="4">
        <v>42647</v>
      </c>
      <c r="C1148" s="9">
        <f t="shared" si="74"/>
        <v>10</v>
      </c>
      <c r="D1148">
        <f t="shared" si="75"/>
        <v>2016</v>
      </c>
      <c r="E1148">
        <f t="shared" si="76"/>
        <v>1</v>
      </c>
      <c r="F1148" t="s">
        <v>516</v>
      </c>
      <c r="G1148" t="s">
        <v>562</v>
      </c>
      <c r="H1148" t="s">
        <v>644</v>
      </c>
      <c r="I1148">
        <v>1</v>
      </c>
      <c r="J1148">
        <v>46</v>
      </c>
      <c r="K1148">
        <f t="shared" si="77"/>
        <v>106</v>
      </c>
      <c r="L1148" t="s">
        <v>1203</v>
      </c>
      <c r="M1148" t="s">
        <v>645</v>
      </c>
      <c r="R1148" t="s">
        <v>1351</v>
      </c>
    </row>
    <row r="1149" spans="1:18" x14ac:dyDescent="0.25">
      <c r="A1149" t="s">
        <v>341</v>
      </c>
      <c r="B1149" s="4">
        <v>42648</v>
      </c>
      <c r="C1149" s="9">
        <f t="shared" si="74"/>
        <v>10</v>
      </c>
      <c r="D1149">
        <f t="shared" si="75"/>
        <v>2016</v>
      </c>
      <c r="E1149">
        <f t="shared" si="76"/>
        <v>1</v>
      </c>
      <c r="F1149" t="s">
        <v>516</v>
      </c>
      <c r="G1149" t="s">
        <v>564</v>
      </c>
      <c r="H1149" t="s">
        <v>564</v>
      </c>
      <c r="J1149">
        <v>10</v>
      </c>
      <c r="K1149">
        <f t="shared" si="77"/>
        <v>10</v>
      </c>
      <c r="L1149" t="s">
        <v>1203</v>
      </c>
      <c r="R1149" t="s">
        <v>1351</v>
      </c>
    </row>
    <row r="1150" spans="1:18" x14ac:dyDescent="0.25">
      <c r="A1150" t="s">
        <v>341</v>
      </c>
      <c r="B1150" s="4">
        <v>42648</v>
      </c>
      <c r="C1150" s="9">
        <f t="shared" si="74"/>
        <v>10</v>
      </c>
      <c r="D1150">
        <f t="shared" si="75"/>
        <v>2016</v>
      </c>
      <c r="E1150">
        <f t="shared" si="76"/>
        <v>0</v>
      </c>
      <c r="F1150" t="s">
        <v>516</v>
      </c>
      <c r="G1150" t="s">
        <v>564</v>
      </c>
      <c r="H1150" t="s">
        <v>564</v>
      </c>
      <c r="J1150">
        <v>16</v>
      </c>
      <c r="K1150">
        <f t="shared" si="77"/>
        <v>16</v>
      </c>
      <c r="L1150" t="s">
        <v>1203</v>
      </c>
      <c r="R1150" t="s">
        <v>1351</v>
      </c>
    </row>
    <row r="1151" spans="1:18" x14ac:dyDescent="0.25">
      <c r="A1151" t="s">
        <v>341</v>
      </c>
      <c r="B1151" s="4">
        <v>42648</v>
      </c>
      <c r="C1151" s="9">
        <f t="shared" si="74"/>
        <v>10</v>
      </c>
      <c r="D1151">
        <f t="shared" si="75"/>
        <v>2016</v>
      </c>
      <c r="E1151">
        <f t="shared" si="76"/>
        <v>0</v>
      </c>
      <c r="F1151" t="s">
        <v>516</v>
      </c>
      <c r="G1151" t="s">
        <v>564</v>
      </c>
      <c r="H1151" t="s">
        <v>564</v>
      </c>
      <c r="J1151">
        <v>19</v>
      </c>
      <c r="K1151">
        <f t="shared" si="77"/>
        <v>19</v>
      </c>
      <c r="L1151" t="s">
        <v>1203</v>
      </c>
      <c r="R1151" t="s">
        <v>1351</v>
      </c>
    </row>
    <row r="1152" spans="1:18" x14ac:dyDescent="0.25">
      <c r="A1152" t="s">
        <v>341</v>
      </c>
      <c r="B1152" s="4">
        <v>42649</v>
      </c>
      <c r="C1152" s="9">
        <f t="shared" si="74"/>
        <v>10</v>
      </c>
      <c r="D1152">
        <f t="shared" si="75"/>
        <v>2016</v>
      </c>
      <c r="E1152">
        <f t="shared" si="76"/>
        <v>1</v>
      </c>
      <c r="F1152" t="s">
        <v>516</v>
      </c>
      <c r="G1152" t="s">
        <v>561</v>
      </c>
      <c r="H1152" t="s">
        <v>561</v>
      </c>
      <c r="I1152">
        <v>1</v>
      </c>
      <c r="J1152">
        <v>2</v>
      </c>
      <c r="K1152">
        <f t="shared" si="77"/>
        <v>62</v>
      </c>
      <c r="L1152" t="s">
        <v>1203</v>
      </c>
      <c r="R1152" t="s">
        <v>1351</v>
      </c>
    </row>
    <row r="1153" spans="1:18" x14ac:dyDescent="0.25">
      <c r="A1153" t="s">
        <v>341</v>
      </c>
      <c r="B1153" s="4">
        <v>42650</v>
      </c>
      <c r="C1153" s="9">
        <f t="shared" si="74"/>
        <v>10</v>
      </c>
      <c r="D1153">
        <f t="shared" si="75"/>
        <v>2016</v>
      </c>
      <c r="E1153">
        <f t="shared" si="76"/>
        <v>1</v>
      </c>
      <c r="F1153" t="s">
        <v>516</v>
      </c>
      <c r="G1153" t="s">
        <v>562</v>
      </c>
      <c r="H1153" t="s">
        <v>276</v>
      </c>
      <c r="J1153">
        <v>8</v>
      </c>
      <c r="K1153">
        <f t="shared" si="77"/>
        <v>8</v>
      </c>
      <c r="L1153" t="s">
        <v>1203</v>
      </c>
      <c r="R1153" t="s">
        <v>1351</v>
      </c>
    </row>
    <row r="1154" spans="1:18" x14ac:dyDescent="0.25">
      <c r="A1154" t="s">
        <v>341</v>
      </c>
      <c r="B1154" s="4">
        <v>42650</v>
      </c>
      <c r="C1154" s="9">
        <f t="shared" si="74"/>
        <v>10</v>
      </c>
      <c r="D1154">
        <f t="shared" si="75"/>
        <v>2016</v>
      </c>
      <c r="E1154">
        <f t="shared" si="76"/>
        <v>0</v>
      </c>
      <c r="F1154" t="s">
        <v>516</v>
      </c>
      <c r="G1154" t="s">
        <v>562</v>
      </c>
      <c r="H1154" t="s">
        <v>276</v>
      </c>
      <c r="J1154">
        <v>24</v>
      </c>
      <c r="K1154">
        <f t="shared" si="77"/>
        <v>24</v>
      </c>
      <c r="L1154" t="s">
        <v>1203</v>
      </c>
      <c r="R1154" t="s">
        <v>1351</v>
      </c>
    </row>
    <row r="1155" spans="1:18" x14ac:dyDescent="0.25">
      <c r="A1155" t="s">
        <v>341</v>
      </c>
      <c r="B1155" s="4">
        <v>42651</v>
      </c>
      <c r="C1155" s="9">
        <f t="shared" ref="C1155:C1218" si="78">MONTH(B1155)</f>
        <v>10</v>
      </c>
      <c r="D1155">
        <f t="shared" si="75"/>
        <v>2016</v>
      </c>
      <c r="E1155">
        <f t="shared" si="76"/>
        <v>1</v>
      </c>
      <c r="F1155" t="s">
        <v>516</v>
      </c>
      <c r="G1155" t="s">
        <v>562</v>
      </c>
      <c r="H1155" t="s">
        <v>646</v>
      </c>
      <c r="I1155">
        <v>1</v>
      </c>
      <c r="J1155">
        <v>11</v>
      </c>
      <c r="K1155">
        <f t="shared" si="77"/>
        <v>71</v>
      </c>
      <c r="L1155" t="s">
        <v>1203</v>
      </c>
      <c r="R1155" t="s">
        <v>1351</v>
      </c>
    </row>
    <row r="1156" spans="1:18" x14ac:dyDescent="0.25">
      <c r="A1156" t="s">
        <v>341</v>
      </c>
      <c r="B1156" s="4">
        <v>42651</v>
      </c>
      <c r="C1156" s="9">
        <f t="shared" si="78"/>
        <v>10</v>
      </c>
      <c r="D1156">
        <f t="shared" si="75"/>
        <v>2016</v>
      </c>
      <c r="E1156">
        <f t="shared" si="76"/>
        <v>0</v>
      </c>
      <c r="F1156" t="s">
        <v>516</v>
      </c>
      <c r="G1156" t="s">
        <v>562</v>
      </c>
      <c r="H1156" t="s">
        <v>276</v>
      </c>
      <c r="J1156">
        <v>39</v>
      </c>
      <c r="K1156">
        <f t="shared" si="77"/>
        <v>39</v>
      </c>
      <c r="L1156" t="s">
        <v>1203</v>
      </c>
      <c r="R1156" t="s">
        <v>1351</v>
      </c>
    </row>
    <row r="1157" spans="1:18" x14ac:dyDescent="0.25">
      <c r="A1157" t="s">
        <v>341</v>
      </c>
      <c r="B1157" s="4">
        <v>42652</v>
      </c>
      <c r="C1157" s="9">
        <f t="shared" si="78"/>
        <v>10</v>
      </c>
      <c r="D1157">
        <f t="shared" si="75"/>
        <v>2016</v>
      </c>
      <c r="E1157">
        <f t="shared" si="76"/>
        <v>1</v>
      </c>
      <c r="F1157" t="s">
        <v>516</v>
      </c>
      <c r="G1157" t="s">
        <v>570</v>
      </c>
      <c r="H1157" t="s">
        <v>571</v>
      </c>
      <c r="J1157">
        <v>40</v>
      </c>
      <c r="K1157">
        <f t="shared" si="77"/>
        <v>40</v>
      </c>
      <c r="L1157" t="s">
        <v>1203</v>
      </c>
      <c r="R1157" t="s">
        <v>1351</v>
      </c>
    </row>
    <row r="1158" spans="1:18" x14ac:dyDescent="0.25">
      <c r="A1158" t="s">
        <v>341</v>
      </c>
      <c r="B1158" s="4">
        <v>42658</v>
      </c>
      <c r="C1158" s="9">
        <f t="shared" si="78"/>
        <v>10</v>
      </c>
      <c r="D1158">
        <f t="shared" si="75"/>
        <v>2016</v>
      </c>
      <c r="E1158">
        <f t="shared" si="76"/>
        <v>1</v>
      </c>
      <c r="F1158" t="s">
        <v>516</v>
      </c>
      <c r="G1158" t="s">
        <v>101</v>
      </c>
      <c r="H1158" t="s">
        <v>273</v>
      </c>
      <c r="I1158">
        <v>1</v>
      </c>
      <c r="J1158">
        <v>21</v>
      </c>
      <c r="K1158">
        <f t="shared" si="77"/>
        <v>81</v>
      </c>
      <c r="L1158" t="s">
        <v>647</v>
      </c>
      <c r="R1158" t="s">
        <v>1348</v>
      </c>
    </row>
    <row r="1159" spans="1:18" x14ac:dyDescent="0.25">
      <c r="A1159" t="s">
        <v>341</v>
      </c>
      <c r="B1159" s="4">
        <v>42659</v>
      </c>
      <c r="C1159" s="9">
        <f t="shared" si="78"/>
        <v>10</v>
      </c>
      <c r="D1159">
        <f t="shared" si="75"/>
        <v>2016</v>
      </c>
      <c r="E1159">
        <f t="shared" si="76"/>
        <v>1</v>
      </c>
      <c r="F1159" t="s">
        <v>648</v>
      </c>
      <c r="G1159" t="s">
        <v>101</v>
      </c>
      <c r="H1159" t="s">
        <v>273</v>
      </c>
      <c r="I1159">
        <v>1</v>
      </c>
      <c r="J1159">
        <v>31</v>
      </c>
      <c r="K1159">
        <f t="shared" si="77"/>
        <v>91</v>
      </c>
      <c r="L1159" t="s">
        <v>647</v>
      </c>
      <c r="M1159" t="s">
        <v>649</v>
      </c>
      <c r="R1159" t="s">
        <v>1348</v>
      </c>
    </row>
    <row r="1160" spans="1:18" x14ac:dyDescent="0.25">
      <c r="A1160" t="s">
        <v>341</v>
      </c>
      <c r="B1160" s="4">
        <v>42659</v>
      </c>
      <c r="C1160" s="9">
        <f t="shared" si="78"/>
        <v>10</v>
      </c>
      <c r="D1160">
        <f t="shared" si="75"/>
        <v>2016</v>
      </c>
      <c r="E1160">
        <f t="shared" si="76"/>
        <v>0</v>
      </c>
      <c r="F1160" t="s">
        <v>650</v>
      </c>
      <c r="G1160" t="s">
        <v>101</v>
      </c>
      <c r="H1160" t="s">
        <v>273</v>
      </c>
      <c r="J1160">
        <v>35</v>
      </c>
      <c r="K1160">
        <f t="shared" si="77"/>
        <v>35</v>
      </c>
      <c r="L1160" t="s">
        <v>647</v>
      </c>
      <c r="R1160" t="s">
        <v>1348</v>
      </c>
    </row>
    <row r="1161" spans="1:18" x14ac:dyDescent="0.25">
      <c r="A1161" t="s">
        <v>341</v>
      </c>
      <c r="B1161" s="4">
        <v>42665</v>
      </c>
      <c r="C1161" s="9">
        <f t="shared" si="78"/>
        <v>10</v>
      </c>
      <c r="D1161">
        <f t="shared" si="75"/>
        <v>2016</v>
      </c>
      <c r="E1161">
        <f t="shared" si="76"/>
        <v>1</v>
      </c>
      <c r="F1161" t="s">
        <v>516</v>
      </c>
      <c r="G1161" t="s">
        <v>101</v>
      </c>
      <c r="H1161" t="s">
        <v>153</v>
      </c>
      <c r="J1161">
        <v>51</v>
      </c>
      <c r="K1161">
        <f t="shared" si="77"/>
        <v>51</v>
      </c>
      <c r="M1161" t="s">
        <v>653</v>
      </c>
      <c r="R1161" t="s">
        <v>1348</v>
      </c>
    </row>
    <row r="1162" spans="1:18" x14ac:dyDescent="0.25">
      <c r="A1162" t="s">
        <v>341</v>
      </c>
      <c r="B1162" s="4">
        <v>42707</v>
      </c>
      <c r="C1162" s="9">
        <f t="shared" si="78"/>
        <v>12</v>
      </c>
      <c r="D1162">
        <f t="shared" si="75"/>
        <v>2016</v>
      </c>
      <c r="E1162">
        <f t="shared" si="76"/>
        <v>1</v>
      </c>
      <c r="F1162" t="s">
        <v>516</v>
      </c>
      <c r="G1162" t="s">
        <v>101</v>
      </c>
      <c r="H1162" t="s">
        <v>244</v>
      </c>
      <c r="J1162">
        <v>22</v>
      </c>
      <c r="K1162">
        <f t="shared" si="77"/>
        <v>22</v>
      </c>
      <c r="R1162" t="s">
        <v>1348</v>
      </c>
    </row>
    <row r="1163" spans="1:18" x14ac:dyDescent="0.25">
      <c r="A1163" t="s">
        <v>341</v>
      </c>
      <c r="B1163" s="4">
        <v>42708</v>
      </c>
      <c r="C1163" s="9">
        <f t="shared" si="78"/>
        <v>12</v>
      </c>
      <c r="D1163">
        <f t="shared" si="75"/>
        <v>2016</v>
      </c>
      <c r="E1163">
        <f t="shared" si="76"/>
        <v>1</v>
      </c>
      <c r="F1163" t="s">
        <v>516</v>
      </c>
      <c r="G1163" t="s">
        <v>101</v>
      </c>
      <c r="H1163" t="s">
        <v>273</v>
      </c>
      <c r="J1163">
        <v>42</v>
      </c>
      <c r="K1163">
        <f t="shared" si="77"/>
        <v>42</v>
      </c>
      <c r="R1163" t="s">
        <v>1348</v>
      </c>
    </row>
    <row r="1164" spans="1:18" x14ac:dyDescent="0.25">
      <c r="A1164" t="s">
        <v>341</v>
      </c>
      <c r="B1164" s="4">
        <v>42714</v>
      </c>
      <c r="C1164" s="9">
        <f t="shared" si="78"/>
        <v>12</v>
      </c>
      <c r="D1164">
        <f t="shared" si="75"/>
        <v>2016</v>
      </c>
      <c r="E1164">
        <f t="shared" si="76"/>
        <v>1</v>
      </c>
      <c r="F1164" t="s">
        <v>516</v>
      </c>
      <c r="G1164" t="s">
        <v>101</v>
      </c>
      <c r="H1164" t="s">
        <v>244</v>
      </c>
      <c r="J1164">
        <v>34</v>
      </c>
      <c r="K1164">
        <f t="shared" si="77"/>
        <v>34</v>
      </c>
      <c r="R1164" t="s">
        <v>1348</v>
      </c>
    </row>
    <row r="1165" spans="1:18" x14ac:dyDescent="0.25">
      <c r="A1165" t="s">
        <v>341</v>
      </c>
      <c r="B1165" s="4">
        <v>42718</v>
      </c>
      <c r="C1165" s="9">
        <f t="shared" si="78"/>
        <v>12</v>
      </c>
      <c r="D1165">
        <f t="shared" si="75"/>
        <v>2016</v>
      </c>
      <c r="E1165">
        <f t="shared" si="76"/>
        <v>1</v>
      </c>
      <c r="F1165" t="s">
        <v>516</v>
      </c>
      <c r="G1165" t="s">
        <v>101</v>
      </c>
      <c r="H1165" t="s">
        <v>244</v>
      </c>
      <c r="J1165">
        <v>46</v>
      </c>
      <c r="K1165">
        <f t="shared" si="77"/>
        <v>46</v>
      </c>
      <c r="R1165" t="s">
        <v>1348</v>
      </c>
    </row>
    <row r="1166" spans="1:18" x14ac:dyDescent="0.25">
      <c r="A1166" t="s">
        <v>341</v>
      </c>
      <c r="B1166" s="4">
        <v>42719</v>
      </c>
      <c r="C1166" s="9">
        <f t="shared" si="78"/>
        <v>12</v>
      </c>
      <c r="D1166">
        <f t="shared" si="75"/>
        <v>2016</v>
      </c>
      <c r="E1166">
        <f t="shared" si="76"/>
        <v>1</v>
      </c>
      <c r="F1166" t="s">
        <v>516</v>
      </c>
      <c r="G1166" t="s">
        <v>101</v>
      </c>
      <c r="H1166" t="s">
        <v>575</v>
      </c>
      <c r="I1166">
        <v>1</v>
      </c>
      <c r="J1166">
        <v>8</v>
      </c>
      <c r="K1166">
        <f t="shared" si="77"/>
        <v>68</v>
      </c>
      <c r="R1166" t="s">
        <v>1348</v>
      </c>
    </row>
    <row r="1167" spans="1:18" x14ac:dyDescent="0.25">
      <c r="A1167" t="s">
        <v>341</v>
      </c>
      <c r="B1167" s="4">
        <v>42721</v>
      </c>
      <c r="C1167" s="9">
        <f t="shared" si="78"/>
        <v>12</v>
      </c>
      <c r="D1167">
        <f t="shared" si="75"/>
        <v>2016</v>
      </c>
      <c r="E1167">
        <f t="shared" si="76"/>
        <v>1</v>
      </c>
      <c r="F1167" t="s">
        <v>516</v>
      </c>
      <c r="G1167" t="s">
        <v>101</v>
      </c>
      <c r="H1167" t="s">
        <v>244</v>
      </c>
      <c r="J1167">
        <v>50</v>
      </c>
      <c r="K1167">
        <f t="shared" si="77"/>
        <v>50</v>
      </c>
      <c r="R1167" t="s">
        <v>1348</v>
      </c>
    </row>
    <row r="1168" spans="1:18" x14ac:dyDescent="0.25">
      <c r="A1168" t="s">
        <v>341</v>
      </c>
      <c r="B1168" s="4">
        <v>42722</v>
      </c>
      <c r="C1168" s="9">
        <f t="shared" si="78"/>
        <v>12</v>
      </c>
      <c r="D1168">
        <f t="shared" si="75"/>
        <v>2016</v>
      </c>
      <c r="E1168">
        <f t="shared" si="76"/>
        <v>1</v>
      </c>
      <c r="F1168" t="s">
        <v>516</v>
      </c>
      <c r="G1168" t="s">
        <v>101</v>
      </c>
      <c r="H1168" t="s">
        <v>273</v>
      </c>
      <c r="I1168">
        <v>1</v>
      </c>
      <c r="J1168">
        <v>19</v>
      </c>
      <c r="K1168">
        <f t="shared" si="77"/>
        <v>79</v>
      </c>
      <c r="R1168" t="s">
        <v>1348</v>
      </c>
    </row>
    <row r="1169" spans="1:18" x14ac:dyDescent="0.25">
      <c r="A1169" t="s">
        <v>341</v>
      </c>
      <c r="B1169" s="4">
        <v>42726</v>
      </c>
      <c r="C1169" s="9">
        <f t="shared" si="78"/>
        <v>12</v>
      </c>
      <c r="D1169">
        <f t="shared" si="75"/>
        <v>2016</v>
      </c>
      <c r="E1169">
        <f t="shared" si="76"/>
        <v>1</v>
      </c>
      <c r="F1169" t="s">
        <v>516</v>
      </c>
      <c r="G1169" t="s">
        <v>101</v>
      </c>
      <c r="H1169" t="s">
        <v>575</v>
      </c>
      <c r="I1169">
        <v>1</v>
      </c>
      <c r="J1169">
        <v>5</v>
      </c>
      <c r="K1169">
        <f t="shared" si="77"/>
        <v>65</v>
      </c>
      <c r="R1169" t="s">
        <v>1348</v>
      </c>
    </row>
    <row r="1170" spans="1:18" x14ac:dyDescent="0.25">
      <c r="A1170" t="s">
        <v>341</v>
      </c>
      <c r="B1170" s="4">
        <v>42727</v>
      </c>
      <c r="C1170" s="9">
        <f t="shared" si="78"/>
        <v>12</v>
      </c>
      <c r="D1170">
        <f t="shared" si="75"/>
        <v>2016</v>
      </c>
      <c r="E1170">
        <f t="shared" si="76"/>
        <v>1</v>
      </c>
      <c r="F1170" t="s">
        <v>516</v>
      </c>
      <c r="G1170" t="s">
        <v>409</v>
      </c>
      <c r="H1170" t="s">
        <v>320</v>
      </c>
      <c r="J1170">
        <v>18</v>
      </c>
      <c r="K1170">
        <f t="shared" si="77"/>
        <v>18</v>
      </c>
      <c r="R1170" t="s">
        <v>1348</v>
      </c>
    </row>
    <row r="1171" spans="1:18" x14ac:dyDescent="0.25">
      <c r="A1171" t="s">
        <v>341</v>
      </c>
      <c r="B1171" s="4">
        <v>42734</v>
      </c>
      <c r="C1171" s="9">
        <f t="shared" si="78"/>
        <v>12</v>
      </c>
      <c r="D1171">
        <f t="shared" si="75"/>
        <v>2016</v>
      </c>
      <c r="E1171">
        <f t="shared" si="76"/>
        <v>1</v>
      </c>
      <c r="F1171" t="s">
        <v>516</v>
      </c>
      <c r="G1171" t="s">
        <v>409</v>
      </c>
      <c r="H1171" t="s">
        <v>320</v>
      </c>
      <c r="J1171">
        <v>19</v>
      </c>
      <c r="K1171">
        <f t="shared" si="77"/>
        <v>19</v>
      </c>
      <c r="R1171" t="s">
        <v>1348</v>
      </c>
    </row>
    <row r="1172" spans="1:18" x14ac:dyDescent="0.25">
      <c r="A1172" t="s">
        <v>341</v>
      </c>
      <c r="B1172" s="4">
        <v>42736</v>
      </c>
      <c r="C1172" s="9">
        <f t="shared" si="78"/>
        <v>1</v>
      </c>
      <c r="D1172">
        <f t="shared" si="75"/>
        <v>2017</v>
      </c>
      <c r="E1172">
        <f t="shared" si="76"/>
        <v>1</v>
      </c>
      <c r="F1172" t="s">
        <v>516</v>
      </c>
      <c r="G1172" t="s">
        <v>409</v>
      </c>
      <c r="H1172" t="s">
        <v>576</v>
      </c>
      <c r="I1172">
        <v>1</v>
      </c>
      <c r="J1172">
        <v>38</v>
      </c>
      <c r="K1172">
        <f t="shared" si="77"/>
        <v>98</v>
      </c>
      <c r="R1172" t="s">
        <v>1348</v>
      </c>
    </row>
    <row r="1173" spans="1:18" x14ac:dyDescent="0.25">
      <c r="A1173" t="s">
        <v>341</v>
      </c>
      <c r="B1173" s="4">
        <v>42785</v>
      </c>
      <c r="C1173" s="9">
        <f t="shared" si="78"/>
        <v>2</v>
      </c>
      <c r="D1173">
        <f t="shared" si="75"/>
        <v>2017</v>
      </c>
      <c r="E1173">
        <f t="shared" si="76"/>
        <v>1</v>
      </c>
      <c r="F1173" t="s">
        <v>516</v>
      </c>
      <c r="G1173" t="s">
        <v>409</v>
      </c>
      <c r="H1173" t="s">
        <v>244</v>
      </c>
      <c r="I1173">
        <v>1</v>
      </c>
      <c r="J1173">
        <v>31</v>
      </c>
      <c r="K1173">
        <f t="shared" si="77"/>
        <v>91</v>
      </c>
      <c r="R1173" t="s">
        <v>1348</v>
      </c>
    </row>
    <row r="1174" spans="1:18" x14ac:dyDescent="0.25">
      <c r="A1174" t="s">
        <v>341</v>
      </c>
      <c r="B1174" s="4">
        <v>42791</v>
      </c>
      <c r="C1174" s="9">
        <f t="shared" si="78"/>
        <v>2</v>
      </c>
      <c r="D1174">
        <f t="shared" si="75"/>
        <v>2017</v>
      </c>
      <c r="E1174">
        <f t="shared" si="76"/>
        <v>1</v>
      </c>
      <c r="F1174" t="s">
        <v>516</v>
      </c>
      <c r="G1174" t="s">
        <v>409</v>
      </c>
      <c r="H1174" t="s">
        <v>153</v>
      </c>
      <c r="J1174">
        <v>36</v>
      </c>
      <c r="K1174">
        <f t="shared" si="77"/>
        <v>36</v>
      </c>
      <c r="R1174" t="s">
        <v>1348</v>
      </c>
    </row>
    <row r="1175" spans="1:18" x14ac:dyDescent="0.25">
      <c r="A1175" t="s">
        <v>341</v>
      </c>
      <c r="B1175" s="4">
        <v>42805</v>
      </c>
      <c r="C1175" s="9">
        <f t="shared" si="78"/>
        <v>3</v>
      </c>
      <c r="D1175">
        <f t="shared" si="75"/>
        <v>2017</v>
      </c>
      <c r="E1175">
        <f t="shared" si="76"/>
        <v>1</v>
      </c>
      <c r="F1175" t="s">
        <v>516</v>
      </c>
      <c r="G1175" t="s">
        <v>1145</v>
      </c>
      <c r="H1175" t="s">
        <v>1147</v>
      </c>
      <c r="I1175">
        <v>1</v>
      </c>
      <c r="J1175">
        <v>3</v>
      </c>
      <c r="K1175">
        <f t="shared" si="77"/>
        <v>63</v>
      </c>
      <c r="L1175" t="s">
        <v>656</v>
      </c>
      <c r="R1175" t="s">
        <v>1354</v>
      </c>
    </row>
    <row r="1176" spans="1:18" x14ac:dyDescent="0.25">
      <c r="A1176" t="s">
        <v>341</v>
      </c>
      <c r="B1176" s="4">
        <v>42806</v>
      </c>
      <c r="C1176" s="9">
        <f t="shared" si="78"/>
        <v>3</v>
      </c>
      <c r="D1176">
        <f t="shared" si="75"/>
        <v>2017</v>
      </c>
      <c r="E1176">
        <f t="shared" si="76"/>
        <v>1</v>
      </c>
      <c r="F1176" t="s">
        <v>516</v>
      </c>
      <c r="G1176" t="s">
        <v>657</v>
      </c>
      <c r="H1176" t="s">
        <v>658</v>
      </c>
      <c r="J1176">
        <v>48</v>
      </c>
      <c r="K1176">
        <f t="shared" si="77"/>
        <v>48</v>
      </c>
      <c r="L1176" t="s">
        <v>656</v>
      </c>
      <c r="R1176" t="s">
        <v>1354</v>
      </c>
    </row>
    <row r="1177" spans="1:18" x14ac:dyDescent="0.25">
      <c r="A1177" t="s">
        <v>341</v>
      </c>
      <c r="B1177" s="4">
        <v>42809</v>
      </c>
      <c r="C1177" s="9">
        <f t="shared" si="78"/>
        <v>3</v>
      </c>
      <c r="D1177">
        <f t="shared" si="75"/>
        <v>2017</v>
      </c>
      <c r="E1177">
        <f t="shared" si="76"/>
        <v>1</v>
      </c>
      <c r="F1177" t="s">
        <v>516</v>
      </c>
      <c r="G1177" t="s">
        <v>659</v>
      </c>
      <c r="H1177" t="s">
        <v>659</v>
      </c>
      <c r="I1177">
        <v>1</v>
      </c>
      <c r="J1177">
        <v>18</v>
      </c>
      <c r="K1177">
        <f t="shared" si="77"/>
        <v>78</v>
      </c>
      <c r="L1177" t="s">
        <v>656</v>
      </c>
      <c r="R1177" t="s">
        <v>1354</v>
      </c>
    </row>
    <row r="1178" spans="1:18" x14ac:dyDescent="0.25">
      <c r="A1178" t="s">
        <v>341</v>
      </c>
      <c r="B1178" s="4">
        <v>42811</v>
      </c>
      <c r="C1178" s="9">
        <f t="shared" si="78"/>
        <v>3</v>
      </c>
      <c r="D1178">
        <f t="shared" si="75"/>
        <v>2017</v>
      </c>
      <c r="E1178">
        <f t="shared" si="76"/>
        <v>1</v>
      </c>
      <c r="F1178" t="s">
        <v>516</v>
      </c>
      <c r="G1178" t="s">
        <v>662</v>
      </c>
      <c r="H1178" t="s">
        <v>660</v>
      </c>
      <c r="J1178">
        <v>8</v>
      </c>
      <c r="K1178">
        <f t="shared" si="77"/>
        <v>8</v>
      </c>
      <c r="L1178" t="s">
        <v>656</v>
      </c>
      <c r="R1178" t="s">
        <v>1354</v>
      </c>
    </row>
    <row r="1179" spans="1:18" x14ac:dyDescent="0.25">
      <c r="A1179" t="s">
        <v>341</v>
      </c>
      <c r="B1179" s="4">
        <v>42811</v>
      </c>
      <c r="C1179" s="9">
        <f t="shared" si="78"/>
        <v>3</v>
      </c>
      <c r="D1179">
        <f t="shared" si="75"/>
        <v>2017</v>
      </c>
      <c r="E1179">
        <f t="shared" si="76"/>
        <v>0</v>
      </c>
      <c r="F1179" t="s">
        <v>516</v>
      </c>
      <c r="G1179" t="s">
        <v>662</v>
      </c>
      <c r="H1179" t="s">
        <v>660</v>
      </c>
      <c r="J1179">
        <v>8</v>
      </c>
      <c r="K1179">
        <f t="shared" si="77"/>
        <v>8</v>
      </c>
      <c r="L1179" t="s">
        <v>656</v>
      </c>
      <c r="R1179" t="s">
        <v>1354</v>
      </c>
    </row>
    <row r="1180" spans="1:18" x14ac:dyDescent="0.25">
      <c r="A1180" t="s">
        <v>341</v>
      </c>
      <c r="B1180" s="4">
        <v>42811</v>
      </c>
      <c r="C1180" s="9">
        <f t="shared" si="78"/>
        <v>3</v>
      </c>
      <c r="D1180">
        <f t="shared" si="75"/>
        <v>2017</v>
      </c>
      <c r="E1180">
        <f t="shared" si="76"/>
        <v>0</v>
      </c>
      <c r="F1180" t="s">
        <v>516</v>
      </c>
      <c r="G1180" t="s">
        <v>661</v>
      </c>
      <c r="H1180" t="s">
        <v>660</v>
      </c>
      <c r="J1180">
        <v>24</v>
      </c>
      <c r="K1180">
        <f t="shared" si="77"/>
        <v>24</v>
      </c>
      <c r="L1180" t="s">
        <v>656</v>
      </c>
      <c r="R1180" t="s">
        <v>1354</v>
      </c>
    </row>
    <row r="1181" spans="1:18" x14ac:dyDescent="0.25">
      <c r="A1181" t="s">
        <v>341</v>
      </c>
      <c r="B1181" s="4">
        <v>42812</v>
      </c>
      <c r="C1181" s="9">
        <f t="shared" si="78"/>
        <v>3</v>
      </c>
      <c r="D1181">
        <f t="shared" si="75"/>
        <v>2017</v>
      </c>
      <c r="E1181">
        <f t="shared" si="76"/>
        <v>1</v>
      </c>
      <c r="F1181" t="s">
        <v>516</v>
      </c>
      <c r="G1181" t="s">
        <v>662</v>
      </c>
      <c r="H1181" t="s">
        <v>660</v>
      </c>
      <c r="I1181">
        <v>1</v>
      </c>
      <c r="J1181">
        <v>1</v>
      </c>
      <c r="K1181">
        <f t="shared" si="77"/>
        <v>61</v>
      </c>
      <c r="L1181" t="s">
        <v>656</v>
      </c>
      <c r="R1181" t="s">
        <v>1354</v>
      </c>
    </row>
    <row r="1182" spans="1:18" x14ac:dyDescent="0.25">
      <c r="A1182" t="s">
        <v>341</v>
      </c>
      <c r="B1182" s="4">
        <v>42824</v>
      </c>
      <c r="C1182" s="9">
        <f t="shared" si="78"/>
        <v>3</v>
      </c>
      <c r="D1182">
        <f t="shared" si="75"/>
        <v>2017</v>
      </c>
      <c r="E1182">
        <f t="shared" si="76"/>
        <v>1</v>
      </c>
      <c r="F1182" t="s">
        <v>516</v>
      </c>
      <c r="G1182" t="s">
        <v>409</v>
      </c>
      <c r="H1182" t="s">
        <v>244</v>
      </c>
      <c r="I1182">
        <v>2</v>
      </c>
      <c r="J1182">
        <v>22</v>
      </c>
      <c r="K1182">
        <f t="shared" si="77"/>
        <v>142</v>
      </c>
      <c r="R1182" t="s">
        <v>1348</v>
      </c>
    </row>
    <row r="1183" spans="1:18" x14ac:dyDescent="0.25">
      <c r="A1183" t="s">
        <v>341</v>
      </c>
      <c r="B1183" s="4">
        <v>42832</v>
      </c>
      <c r="C1183" s="9">
        <f t="shared" si="78"/>
        <v>4</v>
      </c>
      <c r="D1183">
        <f t="shared" si="75"/>
        <v>2017</v>
      </c>
      <c r="E1183">
        <f t="shared" si="76"/>
        <v>1</v>
      </c>
      <c r="F1183" t="s">
        <v>664</v>
      </c>
      <c r="G1183" t="s">
        <v>101</v>
      </c>
      <c r="H1183" t="s">
        <v>244</v>
      </c>
      <c r="J1183">
        <v>47</v>
      </c>
      <c r="K1183">
        <f t="shared" si="77"/>
        <v>47</v>
      </c>
      <c r="R1183" t="s">
        <v>1348</v>
      </c>
    </row>
    <row r="1184" spans="1:18" x14ac:dyDescent="0.25">
      <c r="A1184" t="s">
        <v>341</v>
      </c>
      <c r="B1184" s="4">
        <v>42833</v>
      </c>
      <c r="C1184" s="9">
        <f t="shared" si="78"/>
        <v>4</v>
      </c>
      <c r="D1184">
        <f t="shared" si="75"/>
        <v>2017</v>
      </c>
      <c r="E1184">
        <f t="shared" si="76"/>
        <v>1</v>
      </c>
      <c r="F1184" t="s">
        <v>664</v>
      </c>
      <c r="G1184" t="s">
        <v>101</v>
      </c>
      <c r="H1184" t="s">
        <v>666</v>
      </c>
      <c r="I1184">
        <v>1</v>
      </c>
      <c r="J1184">
        <v>41</v>
      </c>
      <c r="K1184">
        <f t="shared" si="77"/>
        <v>101</v>
      </c>
      <c r="M1184" t="s">
        <v>667</v>
      </c>
      <c r="R1184" t="s">
        <v>1348</v>
      </c>
    </row>
    <row r="1185" spans="1:19" x14ac:dyDescent="0.25">
      <c r="A1185" t="s">
        <v>341</v>
      </c>
      <c r="B1185" s="4">
        <v>42834</v>
      </c>
      <c r="C1185" s="9">
        <f t="shared" si="78"/>
        <v>4</v>
      </c>
      <c r="D1185">
        <f t="shared" si="75"/>
        <v>2017</v>
      </c>
      <c r="E1185">
        <f t="shared" si="76"/>
        <v>1</v>
      </c>
      <c r="F1185" t="s">
        <v>664</v>
      </c>
      <c r="G1185" t="s">
        <v>101</v>
      </c>
      <c r="H1185" t="s">
        <v>244</v>
      </c>
      <c r="I1185">
        <v>3</v>
      </c>
      <c r="J1185">
        <v>4</v>
      </c>
      <c r="K1185">
        <f t="shared" si="77"/>
        <v>184</v>
      </c>
      <c r="M1185" t="s">
        <v>478</v>
      </c>
      <c r="R1185" t="s">
        <v>1348</v>
      </c>
    </row>
    <row r="1186" spans="1:19" x14ac:dyDescent="0.25">
      <c r="A1186" t="s">
        <v>341</v>
      </c>
      <c r="B1186" s="4">
        <v>42835</v>
      </c>
      <c r="C1186" s="9">
        <f t="shared" si="78"/>
        <v>4</v>
      </c>
      <c r="D1186">
        <f t="shared" si="75"/>
        <v>2017</v>
      </c>
      <c r="E1186">
        <f t="shared" si="76"/>
        <v>1</v>
      </c>
      <c r="F1186" t="s">
        <v>664</v>
      </c>
      <c r="G1186" t="s">
        <v>101</v>
      </c>
      <c r="H1186" t="s">
        <v>244</v>
      </c>
      <c r="I1186">
        <v>1</v>
      </c>
      <c r="J1186">
        <v>10</v>
      </c>
      <c r="K1186">
        <f t="shared" si="77"/>
        <v>70</v>
      </c>
      <c r="R1186" t="s">
        <v>1348</v>
      </c>
    </row>
    <row r="1187" spans="1:19" x14ac:dyDescent="0.25">
      <c r="A1187" t="s">
        <v>341</v>
      </c>
      <c r="B1187" s="4">
        <v>42839</v>
      </c>
      <c r="C1187" s="9">
        <f t="shared" si="78"/>
        <v>4</v>
      </c>
      <c r="D1187">
        <f t="shared" si="75"/>
        <v>2017</v>
      </c>
      <c r="E1187">
        <f t="shared" si="76"/>
        <v>1</v>
      </c>
      <c r="F1187" t="s">
        <v>664</v>
      </c>
      <c r="G1187" t="s">
        <v>101</v>
      </c>
      <c r="H1187" t="s">
        <v>244</v>
      </c>
      <c r="I1187">
        <v>1</v>
      </c>
      <c r="J1187">
        <v>41</v>
      </c>
      <c r="K1187">
        <f t="shared" si="77"/>
        <v>101</v>
      </c>
      <c r="R1187" t="s">
        <v>1348</v>
      </c>
    </row>
    <row r="1188" spans="1:19" x14ac:dyDescent="0.25">
      <c r="A1188" t="s">
        <v>341</v>
      </c>
      <c r="B1188" s="4">
        <v>42846</v>
      </c>
      <c r="C1188" s="9">
        <f t="shared" si="78"/>
        <v>4</v>
      </c>
      <c r="D1188">
        <f t="shared" si="75"/>
        <v>2017</v>
      </c>
      <c r="E1188">
        <f t="shared" si="76"/>
        <v>1</v>
      </c>
      <c r="F1188" t="s">
        <v>516</v>
      </c>
      <c r="G1188" t="s">
        <v>101</v>
      </c>
      <c r="H1188" t="s">
        <v>244</v>
      </c>
      <c r="I1188">
        <v>2</v>
      </c>
      <c r="J1188">
        <v>12</v>
      </c>
      <c r="K1188">
        <f t="shared" si="77"/>
        <v>132</v>
      </c>
      <c r="R1188" t="s">
        <v>1348</v>
      </c>
    </row>
    <row r="1189" spans="1:19" x14ac:dyDescent="0.25">
      <c r="A1189" t="s">
        <v>341</v>
      </c>
      <c r="B1189" s="4">
        <v>42854</v>
      </c>
      <c r="C1189" s="9">
        <f t="shared" si="78"/>
        <v>4</v>
      </c>
      <c r="D1189">
        <f t="shared" si="75"/>
        <v>2017</v>
      </c>
      <c r="E1189">
        <v>1</v>
      </c>
      <c r="F1189" t="s">
        <v>664</v>
      </c>
      <c r="G1189" t="s">
        <v>493</v>
      </c>
      <c r="H1189" t="s">
        <v>493</v>
      </c>
      <c r="J1189">
        <v>47</v>
      </c>
      <c r="K1189">
        <f t="shared" si="77"/>
        <v>47</v>
      </c>
      <c r="L1189" t="s">
        <v>617</v>
      </c>
      <c r="M1189" t="s">
        <v>619</v>
      </c>
      <c r="R1189" t="s">
        <v>1349</v>
      </c>
      <c r="S1189" t="s">
        <v>1367</v>
      </c>
    </row>
    <row r="1190" spans="1:19" x14ac:dyDescent="0.25">
      <c r="A1190" t="s">
        <v>341</v>
      </c>
      <c r="B1190" s="4">
        <v>42854</v>
      </c>
      <c r="C1190" s="9">
        <f t="shared" si="78"/>
        <v>4</v>
      </c>
      <c r="D1190">
        <f t="shared" si="75"/>
        <v>2017</v>
      </c>
      <c r="E1190">
        <f t="shared" si="76"/>
        <v>0</v>
      </c>
      <c r="F1190" t="s">
        <v>664</v>
      </c>
      <c r="G1190" t="s">
        <v>493</v>
      </c>
      <c r="H1190" t="s">
        <v>498</v>
      </c>
      <c r="J1190">
        <v>57</v>
      </c>
      <c r="K1190">
        <f t="shared" si="77"/>
        <v>57</v>
      </c>
      <c r="L1190" t="s">
        <v>617</v>
      </c>
      <c r="R1190" t="s">
        <v>1349</v>
      </c>
      <c r="S1190" t="s">
        <v>1367</v>
      </c>
    </row>
    <row r="1191" spans="1:19" x14ac:dyDescent="0.25">
      <c r="A1191" t="s">
        <v>341</v>
      </c>
      <c r="B1191" s="4">
        <v>42855</v>
      </c>
      <c r="C1191" s="9">
        <f t="shared" si="78"/>
        <v>4</v>
      </c>
      <c r="D1191">
        <f t="shared" ref="D1191:D1254" si="79">YEAR(B1191)</f>
        <v>2017</v>
      </c>
      <c r="E1191">
        <v>1</v>
      </c>
      <c r="F1191" t="s">
        <v>664</v>
      </c>
      <c r="G1191" t="s">
        <v>493</v>
      </c>
      <c r="H1191" t="s">
        <v>493</v>
      </c>
      <c r="I1191">
        <v>1</v>
      </c>
      <c r="J1191">
        <v>2</v>
      </c>
      <c r="K1191">
        <f t="shared" ref="K1191:K1254" si="80">I1191*60+J1191</f>
        <v>62</v>
      </c>
      <c r="L1191" t="s">
        <v>617</v>
      </c>
      <c r="M1191" t="s">
        <v>619</v>
      </c>
      <c r="R1191" t="s">
        <v>1349</v>
      </c>
      <c r="S1191" t="s">
        <v>1367</v>
      </c>
    </row>
    <row r="1192" spans="1:19" x14ac:dyDescent="0.25">
      <c r="A1192" t="s">
        <v>341</v>
      </c>
      <c r="B1192" s="4">
        <v>42855</v>
      </c>
      <c r="C1192" s="9">
        <f t="shared" si="78"/>
        <v>4</v>
      </c>
      <c r="D1192">
        <f t="shared" si="79"/>
        <v>2017</v>
      </c>
      <c r="E1192">
        <f t="shared" ref="E1192:E1254" si="81">IF(OR(A1192 = "GS",A1192 = "BP"),IF( OR(A1191="GS",A1191="BP"),IF(B1191=B1192,0,1),1),0)</f>
        <v>0</v>
      </c>
      <c r="F1192" t="s">
        <v>664</v>
      </c>
      <c r="G1192" t="s">
        <v>493</v>
      </c>
      <c r="H1192" t="s">
        <v>493</v>
      </c>
      <c r="J1192">
        <v>16</v>
      </c>
      <c r="K1192">
        <f t="shared" si="80"/>
        <v>16</v>
      </c>
      <c r="L1192" t="s">
        <v>617</v>
      </c>
      <c r="R1192" t="s">
        <v>1349</v>
      </c>
      <c r="S1192" t="s">
        <v>1367</v>
      </c>
    </row>
    <row r="1193" spans="1:19" x14ac:dyDescent="0.25">
      <c r="A1193" t="s">
        <v>341</v>
      </c>
      <c r="B1193" s="4">
        <v>42855</v>
      </c>
      <c r="C1193" s="9">
        <f t="shared" si="78"/>
        <v>4</v>
      </c>
      <c r="D1193">
        <f t="shared" si="79"/>
        <v>2017</v>
      </c>
      <c r="E1193">
        <f t="shared" si="81"/>
        <v>0</v>
      </c>
      <c r="F1193" t="s">
        <v>664</v>
      </c>
      <c r="G1193" t="s">
        <v>493</v>
      </c>
      <c r="H1193" t="s">
        <v>498</v>
      </c>
      <c r="J1193">
        <v>29</v>
      </c>
      <c r="K1193">
        <f t="shared" si="80"/>
        <v>29</v>
      </c>
      <c r="L1193" t="s">
        <v>617</v>
      </c>
      <c r="R1193" t="s">
        <v>1349</v>
      </c>
      <c r="S1193" t="s">
        <v>1367</v>
      </c>
    </row>
    <row r="1194" spans="1:19" x14ac:dyDescent="0.25">
      <c r="A1194" t="s">
        <v>341</v>
      </c>
      <c r="B1194" s="4">
        <v>42860</v>
      </c>
      <c r="C1194" s="9">
        <f t="shared" si="78"/>
        <v>5</v>
      </c>
      <c r="D1194">
        <f t="shared" si="79"/>
        <v>2017</v>
      </c>
      <c r="E1194">
        <f t="shared" si="81"/>
        <v>1</v>
      </c>
      <c r="F1194" t="s">
        <v>664</v>
      </c>
      <c r="G1194" t="s">
        <v>101</v>
      </c>
      <c r="H1194" t="s">
        <v>244</v>
      </c>
      <c r="I1194">
        <v>1</v>
      </c>
      <c r="J1194">
        <v>42</v>
      </c>
      <c r="K1194">
        <f t="shared" si="80"/>
        <v>102</v>
      </c>
      <c r="M1194" t="s">
        <v>674</v>
      </c>
      <c r="R1194" t="s">
        <v>1348</v>
      </c>
    </row>
    <row r="1195" spans="1:19" x14ac:dyDescent="0.25">
      <c r="A1195" t="s">
        <v>341</v>
      </c>
      <c r="B1195" s="4">
        <v>42876</v>
      </c>
      <c r="C1195" s="9">
        <f t="shared" si="78"/>
        <v>5</v>
      </c>
      <c r="D1195">
        <f t="shared" si="79"/>
        <v>2017</v>
      </c>
      <c r="E1195">
        <f t="shared" si="81"/>
        <v>1</v>
      </c>
      <c r="F1195" t="s">
        <v>664</v>
      </c>
      <c r="G1195" t="s">
        <v>101</v>
      </c>
      <c r="H1195" t="s">
        <v>244</v>
      </c>
      <c r="I1195">
        <v>1</v>
      </c>
      <c r="J1195">
        <v>46</v>
      </c>
      <c r="K1195">
        <f t="shared" si="80"/>
        <v>106</v>
      </c>
      <c r="R1195" t="s">
        <v>1348</v>
      </c>
    </row>
    <row r="1196" spans="1:19" x14ac:dyDescent="0.25">
      <c r="A1196" t="s">
        <v>341</v>
      </c>
      <c r="B1196" s="4">
        <v>42877</v>
      </c>
      <c r="C1196" s="9">
        <f t="shared" si="78"/>
        <v>5</v>
      </c>
      <c r="D1196">
        <f t="shared" si="79"/>
        <v>2017</v>
      </c>
      <c r="E1196">
        <f t="shared" si="81"/>
        <v>1</v>
      </c>
      <c r="F1196" t="s">
        <v>664</v>
      </c>
      <c r="G1196" t="s">
        <v>101</v>
      </c>
      <c r="H1196" t="s">
        <v>244</v>
      </c>
      <c r="I1196">
        <v>1</v>
      </c>
      <c r="J1196">
        <v>28</v>
      </c>
      <c r="K1196">
        <f t="shared" si="80"/>
        <v>88</v>
      </c>
      <c r="R1196" t="s">
        <v>1348</v>
      </c>
    </row>
    <row r="1197" spans="1:19" x14ac:dyDescent="0.25">
      <c r="A1197" t="s">
        <v>341</v>
      </c>
      <c r="B1197" s="4">
        <v>42881</v>
      </c>
      <c r="C1197" s="9">
        <f t="shared" si="78"/>
        <v>5</v>
      </c>
      <c r="D1197">
        <f t="shared" si="79"/>
        <v>2017</v>
      </c>
      <c r="E1197">
        <f t="shared" si="81"/>
        <v>1</v>
      </c>
      <c r="F1197" t="s">
        <v>664</v>
      </c>
      <c r="G1197" t="s">
        <v>675</v>
      </c>
      <c r="H1197" t="s">
        <v>675</v>
      </c>
      <c r="J1197">
        <v>17</v>
      </c>
      <c r="K1197">
        <f t="shared" si="80"/>
        <v>17</v>
      </c>
      <c r="L1197" t="s">
        <v>509</v>
      </c>
      <c r="R1197" t="s">
        <v>1355</v>
      </c>
    </row>
    <row r="1198" spans="1:19" x14ac:dyDescent="0.25">
      <c r="A1198" t="s">
        <v>341</v>
      </c>
      <c r="B1198" s="4">
        <v>42882</v>
      </c>
      <c r="C1198" s="9">
        <f t="shared" si="78"/>
        <v>5</v>
      </c>
      <c r="D1198">
        <f t="shared" si="79"/>
        <v>2017</v>
      </c>
      <c r="E1198">
        <f t="shared" si="81"/>
        <v>1</v>
      </c>
      <c r="F1198" t="s">
        <v>664</v>
      </c>
      <c r="G1198" t="s">
        <v>676</v>
      </c>
      <c r="H1198" t="s">
        <v>676</v>
      </c>
      <c r="J1198">
        <v>10</v>
      </c>
      <c r="K1198">
        <f t="shared" si="80"/>
        <v>10</v>
      </c>
      <c r="L1198" t="s">
        <v>509</v>
      </c>
      <c r="R1198" t="s">
        <v>1355</v>
      </c>
    </row>
    <row r="1199" spans="1:19" x14ac:dyDescent="0.25">
      <c r="A1199" t="s">
        <v>341</v>
      </c>
      <c r="B1199" s="4">
        <v>42882</v>
      </c>
      <c r="C1199" s="9">
        <f t="shared" si="78"/>
        <v>5</v>
      </c>
      <c r="D1199">
        <f t="shared" si="79"/>
        <v>2017</v>
      </c>
      <c r="E1199">
        <f t="shared" si="81"/>
        <v>0</v>
      </c>
      <c r="F1199" t="s">
        <v>664</v>
      </c>
      <c r="G1199" t="s">
        <v>515</v>
      </c>
      <c r="H1199" t="s">
        <v>515</v>
      </c>
      <c r="J1199">
        <v>38</v>
      </c>
      <c r="K1199">
        <f t="shared" si="80"/>
        <v>38</v>
      </c>
      <c r="L1199" t="s">
        <v>509</v>
      </c>
      <c r="R1199" t="s">
        <v>1355</v>
      </c>
    </row>
    <row r="1200" spans="1:19" x14ac:dyDescent="0.25">
      <c r="A1200" t="s">
        <v>341</v>
      </c>
      <c r="B1200" s="4">
        <v>42882</v>
      </c>
      <c r="C1200" s="9">
        <f t="shared" si="78"/>
        <v>5</v>
      </c>
      <c r="D1200">
        <f t="shared" si="79"/>
        <v>2017</v>
      </c>
      <c r="E1200">
        <f t="shared" si="81"/>
        <v>0</v>
      </c>
      <c r="F1200" t="s">
        <v>664</v>
      </c>
      <c r="G1200" t="s">
        <v>677</v>
      </c>
      <c r="H1200" t="s">
        <v>678</v>
      </c>
      <c r="J1200">
        <v>56</v>
      </c>
      <c r="K1200">
        <f t="shared" si="80"/>
        <v>56</v>
      </c>
      <c r="L1200" t="s">
        <v>509</v>
      </c>
      <c r="R1200" t="s">
        <v>1355</v>
      </c>
    </row>
    <row r="1201" spans="1:18" x14ac:dyDescent="0.25">
      <c r="A1201" t="s">
        <v>341</v>
      </c>
      <c r="B1201" s="4">
        <v>42883</v>
      </c>
      <c r="C1201" s="9">
        <f t="shared" si="78"/>
        <v>5</v>
      </c>
      <c r="D1201">
        <f t="shared" si="79"/>
        <v>2017</v>
      </c>
      <c r="E1201">
        <f t="shared" si="81"/>
        <v>1</v>
      </c>
      <c r="F1201" t="s">
        <v>664</v>
      </c>
      <c r="G1201" t="s">
        <v>679</v>
      </c>
      <c r="H1201" t="s">
        <v>679</v>
      </c>
      <c r="J1201">
        <v>39</v>
      </c>
      <c r="K1201">
        <f t="shared" si="80"/>
        <v>39</v>
      </c>
      <c r="L1201" t="s">
        <v>509</v>
      </c>
      <c r="R1201" t="s">
        <v>1355</v>
      </c>
    </row>
    <row r="1202" spans="1:18" x14ac:dyDescent="0.25">
      <c r="A1202" t="s">
        <v>341</v>
      </c>
      <c r="B1202" s="4">
        <v>42883</v>
      </c>
      <c r="C1202" s="9">
        <f t="shared" si="78"/>
        <v>5</v>
      </c>
      <c r="D1202">
        <f t="shared" si="79"/>
        <v>2017</v>
      </c>
      <c r="E1202">
        <f t="shared" si="81"/>
        <v>0</v>
      </c>
      <c r="F1202" t="s">
        <v>664</v>
      </c>
      <c r="G1202" t="s">
        <v>679</v>
      </c>
      <c r="H1202" t="s">
        <v>681</v>
      </c>
      <c r="I1202">
        <v>1</v>
      </c>
      <c r="J1202">
        <v>12</v>
      </c>
      <c r="K1202">
        <f t="shared" si="80"/>
        <v>72</v>
      </c>
      <c r="L1202" t="s">
        <v>509</v>
      </c>
      <c r="R1202" t="s">
        <v>1355</v>
      </c>
    </row>
    <row r="1203" spans="1:18" x14ac:dyDescent="0.25">
      <c r="A1203" t="s">
        <v>341</v>
      </c>
      <c r="B1203" s="4">
        <v>42884</v>
      </c>
      <c r="C1203" s="9">
        <f t="shared" si="78"/>
        <v>5</v>
      </c>
      <c r="D1203">
        <f t="shared" si="79"/>
        <v>2017</v>
      </c>
      <c r="E1203">
        <f t="shared" si="81"/>
        <v>1</v>
      </c>
      <c r="F1203" t="s">
        <v>664</v>
      </c>
      <c r="G1203" t="s">
        <v>679</v>
      </c>
      <c r="H1203" t="s">
        <v>679</v>
      </c>
      <c r="J1203">
        <v>9</v>
      </c>
      <c r="K1203">
        <f t="shared" si="80"/>
        <v>9</v>
      </c>
      <c r="L1203" t="s">
        <v>509</v>
      </c>
      <c r="R1203" t="s">
        <v>1355</v>
      </c>
    </row>
    <row r="1204" spans="1:18" x14ac:dyDescent="0.25">
      <c r="A1204" t="s">
        <v>341</v>
      </c>
      <c r="B1204" s="4">
        <v>42884</v>
      </c>
      <c r="C1204" s="9">
        <f t="shared" si="78"/>
        <v>5</v>
      </c>
      <c r="D1204">
        <f t="shared" si="79"/>
        <v>2017</v>
      </c>
      <c r="E1204">
        <f t="shared" si="81"/>
        <v>0</v>
      </c>
      <c r="F1204" t="s">
        <v>664</v>
      </c>
      <c r="G1204" t="s">
        <v>679</v>
      </c>
      <c r="H1204" t="s">
        <v>680</v>
      </c>
      <c r="J1204">
        <v>59</v>
      </c>
      <c r="K1204">
        <f t="shared" si="80"/>
        <v>59</v>
      </c>
      <c r="L1204" t="s">
        <v>509</v>
      </c>
      <c r="R1204" t="s">
        <v>1355</v>
      </c>
    </row>
    <row r="1205" spans="1:18" x14ac:dyDescent="0.25">
      <c r="A1205" t="s">
        <v>341</v>
      </c>
      <c r="B1205" s="4">
        <v>42884</v>
      </c>
      <c r="C1205" s="9">
        <f t="shared" si="78"/>
        <v>5</v>
      </c>
      <c r="D1205">
        <f t="shared" si="79"/>
        <v>2017</v>
      </c>
      <c r="E1205">
        <f t="shared" si="81"/>
        <v>0</v>
      </c>
      <c r="F1205" t="s">
        <v>664</v>
      </c>
      <c r="G1205" t="s">
        <v>508</v>
      </c>
      <c r="H1205" t="s">
        <v>508</v>
      </c>
      <c r="J1205">
        <v>58</v>
      </c>
      <c r="K1205">
        <f t="shared" si="80"/>
        <v>58</v>
      </c>
      <c r="L1205" t="s">
        <v>509</v>
      </c>
      <c r="R1205" t="s">
        <v>1355</v>
      </c>
    </row>
    <row r="1206" spans="1:18" x14ac:dyDescent="0.25">
      <c r="A1206" t="s">
        <v>341</v>
      </c>
      <c r="B1206" s="4">
        <v>42885</v>
      </c>
      <c r="C1206" s="9">
        <f t="shared" si="78"/>
        <v>5</v>
      </c>
      <c r="D1206">
        <f t="shared" si="79"/>
        <v>2017</v>
      </c>
      <c r="E1206">
        <f t="shared" si="81"/>
        <v>1</v>
      </c>
      <c r="F1206" t="s">
        <v>664</v>
      </c>
      <c r="G1206" t="s">
        <v>508</v>
      </c>
      <c r="H1206" t="s">
        <v>682</v>
      </c>
      <c r="J1206">
        <v>45</v>
      </c>
      <c r="K1206">
        <f t="shared" si="80"/>
        <v>45</v>
      </c>
      <c r="L1206" t="s">
        <v>509</v>
      </c>
      <c r="R1206" t="s">
        <v>1355</v>
      </c>
    </row>
    <row r="1207" spans="1:18" x14ac:dyDescent="0.25">
      <c r="A1207" t="s">
        <v>341</v>
      </c>
      <c r="B1207" s="4">
        <v>42885</v>
      </c>
      <c r="C1207" s="9">
        <f t="shared" si="78"/>
        <v>5</v>
      </c>
      <c r="D1207">
        <f t="shared" si="79"/>
        <v>2017</v>
      </c>
      <c r="E1207">
        <f t="shared" si="81"/>
        <v>0</v>
      </c>
      <c r="F1207" t="s">
        <v>664</v>
      </c>
      <c r="G1207" t="s">
        <v>508</v>
      </c>
      <c r="H1207" t="s">
        <v>683</v>
      </c>
      <c r="I1207">
        <v>1</v>
      </c>
      <c r="J1207">
        <v>1</v>
      </c>
      <c r="K1207">
        <f t="shared" si="80"/>
        <v>61</v>
      </c>
      <c r="L1207" t="s">
        <v>509</v>
      </c>
      <c r="M1207" t="s">
        <v>686</v>
      </c>
      <c r="R1207" t="s">
        <v>1355</v>
      </c>
    </row>
    <row r="1208" spans="1:18" x14ac:dyDescent="0.25">
      <c r="A1208" t="s">
        <v>341</v>
      </c>
      <c r="B1208" s="4">
        <v>42886</v>
      </c>
      <c r="C1208" s="9">
        <f t="shared" si="78"/>
        <v>5</v>
      </c>
      <c r="D1208">
        <f t="shared" si="79"/>
        <v>2017</v>
      </c>
      <c r="E1208">
        <f t="shared" si="81"/>
        <v>1</v>
      </c>
      <c r="F1208" t="s">
        <v>664</v>
      </c>
      <c r="G1208" t="s">
        <v>540</v>
      </c>
      <c r="H1208" t="s">
        <v>684</v>
      </c>
      <c r="J1208">
        <v>35</v>
      </c>
      <c r="K1208">
        <f t="shared" si="80"/>
        <v>35</v>
      </c>
      <c r="L1208" t="s">
        <v>509</v>
      </c>
      <c r="R1208" t="s">
        <v>1355</v>
      </c>
    </row>
    <row r="1209" spans="1:18" x14ac:dyDescent="0.25">
      <c r="A1209" t="s">
        <v>341</v>
      </c>
      <c r="B1209" s="4">
        <v>42886</v>
      </c>
      <c r="C1209" s="9">
        <f t="shared" si="78"/>
        <v>5</v>
      </c>
      <c r="D1209">
        <f t="shared" si="79"/>
        <v>2017</v>
      </c>
      <c r="E1209">
        <f t="shared" si="81"/>
        <v>0</v>
      </c>
      <c r="F1209" t="s">
        <v>664</v>
      </c>
      <c r="G1209" t="s">
        <v>623</v>
      </c>
      <c r="H1209" t="s">
        <v>684</v>
      </c>
      <c r="J1209">
        <v>14</v>
      </c>
      <c r="K1209">
        <f t="shared" si="80"/>
        <v>14</v>
      </c>
      <c r="L1209" t="s">
        <v>509</v>
      </c>
      <c r="R1209" t="s">
        <v>1355</v>
      </c>
    </row>
    <row r="1210" spans="1:18" x14ac:dyDescent="0.25">
      <c r="A1210" t="s">
        <v>341</v>
      </c>
      <c r="B1210" s="4">
        <v>42886</v>
      </c>
      <c r="C1210" s="9">
        <f t="shared" si="78"/>
        <v>5</v>
      </c>
      <c r="D1210">
        <f t="shared" si="79"/>
        <v>2017</v>
      </c>
      <c r="E1210">
        <f t="shared" si="81"/>
        <v>0</v>
      </c>
      <c r="F1210" t="s">
        <v>664</v>
      </c>
      <c r="G1210" t="s">
        <v>508</v>
      </c>
      <c r="H1210" t="s">
        <v>508</v>
      </c>
      <c r="I1210">
        <v>1</v>
      </c>
      <c r="J1210">
        <v>4</v>
      </c>
      <c r="K1210">
        <f t="shared" si="80"/>
        <v>64</v>
      </c>
      <c r="L1210" t="s">
        <v>509</v>
      </c>
      <c r="R1210" t="s">
        <v>1355</v>
      </c>
    </row>
    <row r="1211" spans="1:18" x14ac:dyDescent="0.25">
      <c r="A1211" t="s">
        <v>341</v>
      </c>
      <c r="B1211" s="4">
        <v>42886</v>
      </c>
      <c r="C1211" s="9">
        <f t="shared" si="78"/>
        <v>5</v>
      </c>
      <c r="D1211">
        <f t="shared" si="79"/>
        <v>2017</v>
      </c>
      <c r="E1211">
        <f t="shared" si="81"/>
        <v>0</v>
      </c>
      <c r="F1211" t="s">
        <v>664</v>
      </c>
      <c r="G1211" t="s">
        <v>508</v>
      </c>
      <c r="H1211" t="s">
        <v>508</v>
      </c>
      <c r="J1211">
        <v>55</v>
      </c>
      <c r="K1211">
        <f t="shared" si="80"/>
        <v>55</v>
      </c>
      <c r="L1211" t="s">
        <v>509</v>
      </c>
      <c r="R1211" t="s">
        <v>1355</v>
      </c>
    </row>
    <row r="1212" spans="1:18" x14ac:dyDescent="0.25">
      <c r="A1212" t="s">
        <v>341</v>
      </c>
      <c r="B1212" s="4">
        <v>42886</v>
      </c>
      <c r="C1212" s="9">
        <f t="shared" si="78"/>
        <v>5</v>
      </c>
      <c r="D1212">
        <f t="shared" si="79"/>
        <v>2017</v>
      </c>
      <c r="E1212">
        <f t="shared" si="81"/>
        <v>0</v>
      </c>
      <c r="F1212" t="s">
        <v>664</v>
      </c>
      <c r="G1212" t="s">
        <v>508</v>
      </c>
      <c r="H1212" t="s">
        <v>508</v>
      </c>
      <c r="J1212">
        <v>28</v>
      </c>
      <c r="K1212">
        <f t="shared" si="80"/>
        <v>28</v>
      </c>
      <c r="L1212" t="s">
        <v>509</v>
      </c>
      <c r="R1212" t="s">
        <v>1355</v>
      </c>
    </row>
    <row r="1213" spans="1:18" x14ac:dyDescent="0.25">
      <c r="A1213" t="s">
        <v>341</v>
      </c>
      <c r="B1213" s="4">
        <v>42887</v>
      </c>
      <c r="C1213" s="9">
        <f t="shared" si="78"/>
        <v>6</v>
      </c>
      <c r="D1213">
        <f t="shared" si="79"/>
        <v>2017</v>
      </c>
      <c r="E1213">
        <f t="shared" si="81"/>
        <v>1</v>
      </c>
      <c r="F1213" t="s">
        <v>664</v>
      </c>
      <c r="G1213" t="s">
        <v>625</v>
      </c>
      <c r="H1213" t="s">
        <v>625</v>
      </c>
      <c r="J1213">
        <v>18</v>
      </c>
      <c r="K1213">
        <f t="shared" si="80"/>
        <v>18</v>
      </c>
      <c r="L1213" t="s">
        <v>509</v>
      </c>
      <c r="R1213" t="s">
        <v>1355</v>
      </c>
    </row>
    <row r="1214" spans="1:18" x14ac:dyDescent="0.25">
      <c r="A1214" t="s">
        <v>341</v>
      </c>
      <c r="B1214" s="4">
        <v>42887</v>
      </c>
      <c r="C1214" s="9">
        <f t="shared" si="78"/>
        <v>6</v>
      </c>
      <c r="D1214">
        <f t="shared" si="79"/>
        <v>2017</v>
      </c>
      <c r="E1214">
        <f t="shared" si="81"/>
        <v>0</v>
      </c>
      <c r="F1214" t="s">
        <v>664</v>
      </c>
      <c r="G1214" t="s">
        <v>625</v>
      </c>
      <c r="H1214" t="s">
        <v>625</v>
      </c>
      <c r="J1214">
        <v>34</v>
      </c>
      <c r="K1214">
        <f t="shared" si="80"/>
        <v>34</v>
      </c>
      <c r="L1214" t="s">
        <v>509</v>
      </c>
      <c r="R1214" t="s">
        <v>1355</v>
      </c>
    </row>
    <row r="1215" spans="1:18" x14ac:dyDescent="0.25">
      <c r="A1215" t="s">
        <v>341</v>
      </c>
      <c r="B1215" s="4">
        <v>42887</v>
      </c>
      <c r="C1215" s="9">
        <f t="shared" si="78"/>
        <v>6</v>
      </c>
      <c r="D1215">
        <f t="shared" si="79"/>
        <v>2017</v>
      </c>
      <c r="E1215">
        <f t="shared" si="81"/>
        <v>0</v>
      </c>
      <c r="F1215" t="s">
        <v>664</v>
      </c>
      <c r="G1215" t="s">
        <v>625</v>
      </c>
      <c r="H1215" t="s">
        <v>685</v>
      </c>
      <c r="I1215">
        <v>1</v>
      </c>
      <c r="J1215">
        <v>46</v>
      </c>
      <c r="K1215">
        <f t="shared" si="80"/>
        <v>106</v>
      </c>
      <c r="L1215" t="s">
        <v>509</v>
      </c>
      <c r="R1215" t="s">
        <v>1355</v>
      </c>
    </row>
    <row r="1216" spans="1:18" x14ac:dyDescent="0.25">
      <c r="A1216" t="s">
        <v>341</v>
      </c>
      <c r="B1216" s="4">
        <v>42890</v>
      </c>
      <c r="C1216" s="9">
        <f t="shared" si="78"/>
        <v>6</v>
      </c>
      <c r="D1216">
        <f t="shared" si="79"/>
        <v>2017</v>
      </c>
      <c r="E1216">
        <f t="shared" si="81"/>
        <v>1</v>
      </c>
      <c r="F1216" t="s">
        <v>613</v>
      </c>
      <c r="G1216" t="s">
        <v>154</v>
      </c>
      <c r="H1216" t="s">
        <v>244</v>
      </c>
      <c r="J1216">
        <v>10</v>
      </c>
      <c r="K1216">
        <f t="shared" si="80"/>
        <v>10</v>
      </c>
      <c r="R1216" t="s">
        <v>1348</v>
      </c>
    </row>
    <row r="1217" spans="1:18" x14ac:dyDescent="0.25">
      <c r="A1217" t="s">
        <v>341</v>
      </c>
      <c r="B1217" s="4">
        <v>42894</v>
      </c>
      <c r="C1217" s="9">
        <f t="shared" si="78"/>
        <v>6</v>
      </c>
      <c r="D1217">
        <f t="shared" si="79"/>
        <v>2017</v>
      </c>
      <c r="E1217">
        <f t="shared" si="81"/>
        <v>1</v>
      </c>
      <c r="F1217" t="s">
        <v>664</v>
      </c>
      <c r="G1217" t="s">
        <v>101</v>
      </c>
      <c r="H1217" t="s">
        <v>153</v>
      </c>
      <c r="I1217">
        <v>1</v>
      </c>
      <c r="J1217">
        <v>18</v>
      </c>
      <c r="K1217">
        <f t="shared" si="80"/>
        <v>78</v>
      </c>
      <c r="R1217" t="s">
        <v>1348</v>
      </c>
    </row>
    <row r="1218" spans="1:18" x14ac:dyDescent="0.25">
      <c r="A1218" t="s">
        <v>341</v>
      </c>
      <c r="B1218" s="4">
        <v>42896</v>
      </c>
      <c r="C1218" s="9">
        <f t="shared" si="78"/>
        <v>6</v>
      </c>
      <c r="D1218">
        <f t="shared" si="79"/>
        <v>2017</v>
      </c>
      <c r="E1218">
        <f t="shared" si="81"/>
        <v>1</v>
      </c>
      <c r="F1218" t="s">
        <v>664</v>
      </c>
      <c r="G1218" t="s">
        <v>101</v>
      </c>
      <c r="H1218" t="s">
        <v>153</v>
      </c>
      <c r="J1218">
        <v>46</v>
      </c>
      <c r="K1218">
        <f t="shared" si="80"/>
        <v>46</v>
      </c>
      <c r="R1218" t="s">
        <v>1348</v>
      </c>
    </row>
    <row r="1219" spans="1:18" x14ac:dyDescent="0.25">
      <c r="A1219" t="s">
        <v>341</v>
      </c>
      <c r="B1219" s="4">
        <v>42897</v>
      </c>
      <c r="C1219" s="9">
        <f t="shared" ref="C1219:C1282" si="82">MONTH(B1219)</f>
        <v>6</v>
      </c>
      <c r="D1219">
        <f t="shared" si="79"/>
        <v>2017</v>
      </c>
      <c r="E1219">
        <f t="shared" si="81"/>
        <v>1</v>
      </c>
      <c r="F1219" t="s">
        <v>664</v>
      </c>
      <c r="G1219" t="s">
        <v>101</v>
      </c>
      <c r="H1219" t="s">
        <v>244</v>
      </c>
      <c r="I1219">
        <v>2</v>
      </c>
      <c r="J1219">
        <v>49</v>
      </c>
      <c r="K1219">
        <f t="shared" si="80"/>
        <v>169</v>
      </c>
      <c r="R1219" t="s">
        <v>1348</v>
      </c>
    </row>
    <row r="1220" spans="1:18" x14ac:dyDescent="0.25">
      <c r="A1220" t="s">
        <v>341</v>
      </c>
      <c r="B1220" s="4">
        <v>42907</v>
      </c>
      <c r="C1220" s="9">
        <f t="shared" si="82"/>
        <v>6</v>
      </c>
      <c r="D1220">
        <f t="shared" si="79"/>
        <v>2017</v>
      </c>
      <c r="E1220">
        <f t="shared" si="81"/>
        <v>1</v>
      </c>
      <c r="F1220" t="s">
        <v>664</v>
      </c>
      <c r="G1220" t="s">
        <v>595</v>
      </c>
      <c r="H1220" t="s">
        <v>153</v>
      </c>
      <c r="J1220">
        <v>41</v>
      </c>
      <c r="K1220">
        <f t="shared" si="80"/>
        <v>41</v>
      </c>
      <c r="R1220" t="s">
        <v>1348</v>
      </c>
    </row>
    <row r="1221" spans="1:18" x14ac:dyDescent="0.25">
      <c r="A1221" t="s">
        <v>341</v>
      </c>
      <c r="B1221" s="4">
        <v>42912</v>
      </c>
      <c r="C1221" s="9">
        <f t="shared" si="82"/>
        <v>6</v>
      </c>
      <c r="D1221">
        <f t="shared" si="79"/>
        <v>2017</v>
      </c>
      <c r="E1221">
        <f t="shared" si="81"/>
        <v>1</v>
      </c>
      <c r="F1221" t="s">
        <v>664</v>
      </c>
      <c r="G1221" t="s">
        <v>595</v>
      </c>
      <c r="H1221" t="s">
        <v>320</v>
      </c>
      <c r="I1221">
        <v>1</v>
      </c>
      <c r="J1221">
        <v>0</v>
      </c>
      <c r="K1221">
        <f t="shared" si="80"/>
        <v>60</v>
      </c>
      <c r="R1221" t="s">
        <v>1348</v>
      </c>
    </row>
    <row r="1222" spans="1:18" x14ac:dyDescent="0.25">
      <c r="A1222" t="s">
        <v>341</v>
      </c>
      <c r="B1222" s="4">
        <v>42916</v>
      </c>
      <c r="C1222" s="9">
        <f t="shared" si="82"/>
        <v>6</v>
      </c>
      <c r="D1222">
        <f t="shared" si="79"/>
        <v>2017</v>
      </c>
      <c r="E1222">
        <f t="shared" si="81"/>
        <v>1</v>
      </c>
      <c r="F1222" t="s">
        <v>664</v>
      </c>
      <c r="G1222" t="s">
        <v>595</v>
      </c>
      <c r="H1222" t="s">
        <v>153</v>
      </c>
      <c r="J1222">
        <v>51</v>
      </c>
      <c r="K1222">
        <f t="shared" si="80"/>
        <v>51</v>
      </c>
      <c r="R1222" t="s">
        <v>1348</v>
      </c>
    </row>
    <row r="1223" spans="1:18" x14ac:dyDescent="0.25">
      <c r="A1223" t="s">
        <v>341</v>
      </c>
      <c r="B1223" s="4">
        <v>42922</v>
      </c>
      <c r="C1223" s="9">
        <f t="shared" si="82"/>
        <v>7</v>
      </c>
      <c r="D1223">
        <f t="shared" si="79"/>
        <v>2017</v>
      </c>
      <c r="E1223">
        <f t="shared" si="81"/>
        <v>1</v>
      </c>
      <c r="F1223" t="s">
        <v>664</v>
      </c>
      <c r="G1223" t="s">
        <v>595</v>
      </c>
      <c r="H1223" t="s">
        <v>125</v>
      </c>
      <c r="I1223">
        <v>1</v>
      </c>
      <c r="J1223">
        <v>21</v>
      </c>
      <c r="K1223">
        <f t="shared" si="80"/>
        <v>81</v>
      </c>
      <c r="R1223" t="s">
        <v>1348</v>
      </c>
    </row>
    <row r="1224" spans="1:18" x14ac:dyDescent="0.25">
      <c r="A1224" t="s">
        <v>341</v>
      </c>
      <c r="B1224" s="4">
        <v>42924</v>
      </c>
      <c r="C1224" s="9">
        <f t="shared" si="82"/>
        <v>7</v>
      </c>
      <c r="D1224">
        <f t="shared" si="79"/>
        <v>2017</v>
      </c>
      <c r="E1224">
        <f t="shared" si="81"/>
        <v>1</v>
      </c>
      <c r="F1224" t="s">
        <v>664</v>
      </c>
      <c r="G1224" t="s">
        <v>409</v>
      </c>
      <c r="H1224" t="s">
        <v>153</v>
      </c>
      <c r="J1224">
        <v>38</v>
      </c>
      <c r="K1224">
        <f t="shared" si="80"/>
        <v>38</v>
      </c>
      <c r="R1224" t="s">
        <v>1348</v>
      </c>
    </row>
    <row r="1225" spans="1:18" x14ac:dyDescent="0.25">
      <c r="A1225" t="s">
        <v>341</v>
      </c>
      <c r="B1225" s="4">
        <v>42938</v>
      </c>
      <c r="C1225" s="9">
        <f t="shared" si="82"/>
        <v>7</v>
      </c>
      <c r="D1225">
        <f t="shared" si="79"/>
        <v>2017</v>
      </c>
      <c r="E1225">
        <f t="shared" si="81"/>
        <v>1</v>
      </c>
      <c r="F1225" t="s">
        <v>613</v>
      </c>
      <c r="G1225" t="s">
        <v>687</v>
      </c>
      <c r="H1225" t="s">
        <v>273</v>
      </c>
      <c r="J1225">
        <v>45</v>
      </c>
      <c r="K1225">
        <f t="shared" si="80"/>
        <v>45</v>
      </c>
      <c r="M1225" t="s">
        <v>688</v>
      </c>
      <c r="R1225" t="s">
        <v>1348</v>
      </c>
    </row>
    <row r="1226" spans="1:18" x14ac:dyDescent="0.25">
      <c r="A1226" t="s">
        <v>341</v>
      </c>
      <c r="B1226" s="4">
        <v>42949</v>
      </c>
      <c r="C1226" s="9">
        <f t="shared" si="82"/>
        <v>8</v>
      </c>
      <c r="D1226">
        <f t="shared" si="79"/>
        <v>2017</v>
      </c>
      <c r="E1226">
        <f t="shared" si="81"/>
        <v>1</v>
      </c>
      <c r="F1226" t="s">
        <v>664</v>
      </c>
      <c r="G1226" t="s">
        <v>409</v>
      </c>
      <c r="H1226" t="s">
        <v>689</v>
      </c>
      <c r="J1226">
        <v>27</v>
      </c>
      <c r="K1226">
        <f t="shared" si="80"/>
        <v>27</v>
      </c>
      <c r="R1226" t="s">
        <v>1348</v>
      </c>
    </row>
    <row r="1227" spans="1:18" x14ac:dyDescent="0.25">
      <c r="A1227" t="s">
        <v>341</v>
      </c>
      <c r="B1227" s="4">
        <v>42951</v>
      </c>
      <c r="C1227" s="9">
        <f t="shared" si="82"/>
        <v>8</v>
      </c>
      <c r="D1227">
        <f t="shared" si="79"/>
        <v>2017</v>
      </c>
      <c r="E1227">
        <f t="shared" si="81"/>
        <v>1</v>
      </c>
      <c r="F1227" t="s">
        <v>664</v>
      </c>
      <c r="G1227" t="s">
        <v>409</v>
      </c>
      <c r="H1227" t="s">
        <v>273</v>
      </c>
      <c r="J1227">
        <v>26</v>
      </c>
      <c r="K1227">
        <f t="shared" si="80"/>
        <v>26</v>
      </c>
      <c r="R1227" t="s">
        <v>1348</v>
      </c>
    </row>
    <row r="1228" spans="1:18" x14ac:dyDescent="0.25">
      <c r="A1228" t="s">
        <v>341</v>
      </c>
      <c r="B1228" s="4">
        <v>42953</v>
      </c>
      <c r="C1228" s="9">
        <f t="shared" si="82"/>
        <v>8</v>
      </c>
      <c r="D1228">
        <f t="shared" si="79"/>
        <v>2017</v>
      </c>
      <c r="E1228">
        <f t="shared" si="81"/>
        <v>1</v>
      </c>
      <c r="F1228" t="s">
        <v>664</v>
      </c>
      <c r="G1228" t="s">
        <v>409</v>
      </c>
      <c r="H1228" t="s">
        <v>470</v>
      </c>
      <c r="J1228">
        <v>45</v>
      </c>
      <c r="K1228">
        <f t="shared" si="80"/>
        <v>45</v>
      </c>
      <c r="R1228" t="s">
        <v>1348</v>
      </c>
    </row>
    <row r="1229" spans="1:18" x14ac:dyDescent="0.25">
      <c r="A1229" t="s">
        <v>341</v>
      </c>
      <c r="B1229" s="4">
        <v>42960</v>
      </c>
      <c r="C1229" s="9">
        <f t="shared" si="82"/>
        <v>8</v>
      </c>
      <c r="D1229">
        <f t="shared" si="79"/>
        <v>2017</v>
      </c>
      <c r="E1229">
        <f t="shared" si="81"/>
        <v>1</v>
      </c>
      <c r="F1229" t="s">
        <v>664</v>
      </c>
      <c r="G1229" t="s">
        <v>406</v>
      </c>
      <c r="H1229" t="s">
        <v>244</v>
      </c>
      <c r="I1229">
        <v>2</v>
      </c>
      <c r="J1229">
        <v>9</v>
      </c>
      <c r="K1229">
        <f t="shared" si="80"/>
        <v>129</v>
      </c>
      <c r="M1229" t="s">
        <v>690</v>
      </c>
      <c r="R1229" t="s">
        <v>1348</v>
      </c>
    </row>
    <row r="1230" spans="1:18" x14ac:dyDescent="0.25">
      <c r="A1230" t="s">
        <v>341</v>
      </c>
      <c r="B1230" s="4">
        <v>42962</v>
      </c>
      <c r="C1230" s="9">
        <f t="shared" si="82"/>
        <v>8</v>
      </c>
      <c r="D1230">
        <f t="shared" si="79"/>
        <v>2017</v>
      </c>
      <c r="E1230">
        <f t="shared" si="81"/>
        <v>1</v>
      </c>
      <c r="F1230" t="s">
        <v>613</v>
      </c>
      <c r="G1230" t="s">
        <v>595</v>
      </c>
      <c r="H1230" t="s">
        <v>320</v>
      </c>
      <c r="J1230">
        <v>15</v>
      </c>
      <c r="K1230">
        <f t="shared" si="80"/>
        <v>15</v>
      </c>
      <c r="R1230" t="s">
        <v>1348</v>
      </c>
    </row>
    <row r="1231" spans="1:18" x14ac:dyDescent="0.25">
      <c r="A1231" t="s">
        <v>341</v>
      </c>
      <c r="B1231" s="4">
        <v>42963</v>
      </c>
      <c r="C1231" s="9">
        <f t="shared" si="82"/>
        <v>8</v>
      </c>
      <c r="D1231">
        <f t="shared" si="79"/>
        <v>2017</v>
      </c>
      <c r="E1231">
        <f t="shared" si="81"/>
        <v>1</v>
      </c>
      <c r="F1231" t="s">
        <v>664</v>
      </c>
      <c r="G1231" t="s">
        <v>409</v>
      </c>
      <c r="H1231" t="s">
        <v>153</v>
      </c>
      <c r="J1231">
        <v>32</v>
      </c>
      <c r="K1231">
        <f t="shared" si="80"/>
        <v>32</v>
      </c>
      <c r="R1231" t="s">
        <v>1348</v>
      </c>
    </row>
    <row r="1232" spans="1:18" x14ac:dyDescent="0.25">
      <c r="A1232" t="s">
        <v>341</v>
      </c>
      <c r="B1232" s="4">
        <v>42964</v>
      </c>
      <c r="C1232" s="9">
        <f t="shared" si="82"/>
        <v>8</v>
      </c>
      <c r="D1232">
        <f t="shared" si="79"/>
        <v>2017</v>
      </c>
      <c r="E1232">
        <f t="shared" si="81"/>
        <v>1</v>
      </c>
      <c r="F1232" t="s">
        <v>664</v>
      </c>
      <c r="G1232" t="s">
        <v>409</v>
      </c>
      <c r="H1232" t="s">
        <v>244</v>
      </c>
      <c r="I1232">
        <v>1</v>
      </c>
      <c r="J1232">
        <v>40</v>
      </c>
      <c r="K1232">
        <f t="shared" si="80"/>
        <v>100</v>
      </c>
      <c r="R1232" t="s">
        <v>1348</v>
      </c>
    </row>
    <row r="1233" spans="1:18" x14ac:dyDescent="0.25">
      <c r="A1233" t="s">
        <v>341</v>
      </c>
      <c r="B1233" s="4">
        <v>42970</v>
      </c>
      <c r="C1233" s="9">
        <f t="shared" si="82"/>
        <v>8</v>
      </c>
      <c r="D1233">
        <f t="shared" si="79"/>
        <v>2017</v>
      </c>
      <c r="E1233">
        <f t="shared" si="81"/>
        <v>1</v>
      </c>
      <c r="F1233" t="s">
        <v>664</v>
      </c>
      <c r="G1233" t="s">
        <v>101</v>
      </c>
      <c r="H1233" t="s">
        <v>153</v>
      </c>
      <c r="I1233">
        <v>1</v>
      </c>
      <c r="J1233">
        <v>22</v>
      </c>
      <c r="K1233">
        <f t="shared" si="80"/>
        <v>82</v>
      </c>
      <c r="R1233" t="s">
        <v>1348</v>
      </c>
    </row>
    <row r="1234" spans="1:18" x14ac:dyDescent="0.25">
      <c r="A1234" t="s">
        <v>341</v>
      </c>
      <c r="B1234" s="4">
        <v>42971</v>
      </c>
      <c r="C1234" s="9">
        <f t="shared" si="82"/>
        <v>8</v>
      </c>
      <c r="D1234">
        <f t="shared" si="79"/>
        <v>2017</v>
      </c>
      <c r="E1234">
        <f t="shared" si="81"/>
        <v>1</v>
      </c>
      <c r="F1234" t="s">
        <v>664</v>
      </c>
      <c r="G1234" t="s">
        <v>101</v>
      </c>
      <c r="H1234" t="s">
        <v>244</v>
      </c>
      <c r="I1234">
        <v>1</v>
      </c>
      <c r="J1234">
        <v>32</v>
      </c>
      <c r="K1234">
        <f t="shared" si="80"/>
        <v>92</v>
      </c>
      <c r="R1234" t="s">
        <v>1348</v>
      </c>
    </row>
    <row r="1235" spans="1:18" x14ac:dyDescent="0.25">
      <c r="A1235" t="s">
        <v>341</v>
      </c>
      <c r="B1235" s="4">
        <v>42972</v>
      </c>
      <c r="C1235" s="9">
        <f t="shared" si="82"/>
        <v>8</v>
      </c>
      <c r="D1235">
        <f t="shared" si="79"/>
        <v>2017</v>
      </c>
      <c r="E1235">
        <f t="shared" si="81"/>
        <v>1</v>
      </c>
      <c r="F1235" t="s">
        <v>664</v>
      </c>
      <c r="G1235" t="s">
        <v>101</v>
      </c>
      <c r="H1235" t="s">
        <v>153</v>
      </c>
      <c r="I1235">
        <v>1</v>
      </c>
      <c r="J1235">
        <v>55</v>
      </c>
      <c r="K1235">
        <f t="shared" si="80"/>
        <v>115</v>
      </c>
      <c r="M1235" t="s">
        <v>692</v>
      </c>
      <c r="R1235" t="s">
        <v>1348</v>
      </c>
    </row>
    <row r="1236" spans="1:18" x14ac:dyDescent="0.25">
      <c r="A1236" t="s">
        <v>341</v>
      </c>
      <c r="B1236" s="4">
        <v>42973</v>
      </c>
      <c r="C1236" s="9">
        <f t="shared" si="82"/>
        <v>8</v>
      </c>
      <c r="D1236">
        <f t="shared" si="79"/>
        <v>2017</v>
      </c>
      <c r="E1236">
        <f t="shared" si="81"/>
        <v>1</v>
      </c>
      <c r="F1236" t="s">
        <v>664</v>
      </c>
      <c r="G1236" t="s">
        <v>101</v>
      </c>
      <c r="H1236" t="s">
        <v>244</v>
      </c>
      <c r="I1236">
        <v>1</v>
      </c>
      <c r="J1236">
        <v>33</v>
      </c>
      <c r="K1236">
        <f t="shared" si="80"/>
        <v>93</v>
      </c>
      <c r="R1236" t="s">
        <v>1348</v>
      </c>
    </row>
    <row r="1237" spans="1:18" x14ac:dyDescent="0.25">
      <c r="A1237" t="s">
        <v>341</v>
      </c>
      <c r="B1237" s="4">
        <v>42974</v>
      </c>
      <c r="C1237" s="9">
        <f t="shared" si="82"/>
        <v>8</v>
      </c>
      <c r="D1237">
        <f t="shared" si="79"/>
        <v>2017</v>
      </c>
      <c r="E1237">
        <f t="shared" si="81"/>
        <v>1</v>
      </c>
      <c r="F1237" t="s">
        <v>664</v>
      </c>
      <c r="G1237" t="s">
        <v>101</v>
      </c>
      <c r="H1237" t="s">
        <v>244</v>
      </c>
      <c r="I1237">
        <v>1</v>
      </c>
      <c r="J1237">
        <v>3</v>
      </c>
      <c r="K1237">
        <f t="shared" si="80"/>
        <v>63</v>
      </c>
      <c r="R1237" t="s">
        <v>1348</v>
      </c>
    </row>
    <row r="1238" spans="1:18" x14ac:dyDescent="0.25">
      <c r="A1238" t="s">
        <v>341</v>
      </c>
      <c r="B1238" s="4">
        <v>42976</v>
      </c>
      <c r="C1238" s="9">
        <f t="shared" si="82"/>
        <v>8</v>
      </c>
      <c r="D1238">
        <f t="shared" si="79"/>
        <v>2017</v>
      </c>
      <c r="E1238">
        <f t="shared" si="81"/>
        <v>1</v>
      </c>
      <c r="F1238" t="s">
        <v>664</v>
      </c>
      <c r="G1238" t="s">
        <v>7</v>
      </c>
      <c r="H1238" t="s">
        <v>55</v>
      </c>
      <c r="I1238">
        <v>1</v>
      </c>
      <c r="J1238">
        <v>2</v>
      </c>
      <c r="K1238">
        <f t="shared" si="80"/>
        <v>62</v>
      </c>
      <c r="R1238" t="s">
        <v>1348</v>
      </c>
    </row>
    <row r="1239" spans="1:18" x14ac:dyDescent="0.25">
      <c r="A1239" t="s">
        <v>341</v>
      </c>
      <c r="B1239" s="4">
        <v>42980</v>
      </c>
      <c r="C1239" s="9">
        <f t="shared" si="82"/>
        <v>9</v>
      </c>
      <c r="D1239">
        <f t="shared" si="79"/>
        <v>2017</v>
      </c>
      <c r="E1239">
        <f t="shared" si="81"/>
        <v>1</v>
      </c>
      <c r="F1239" t="s">
        <v>664</v>
      </c>
      <c r="G1239" t="s">
        <v>697</v>
      </c>
      <c r="H1239" t="s">
        <v>698</v>
      </c>
      <c r="J1239">
        <v>29</v>
      </c>
      <c r="K1239">
        <f t="shared" si="80"/>
        <v>29</v>
      </c>
      <c r="L1239" t="s">
        <v>696</v>
      </c>
      <c r="M1239" t="s">
        <v>705</v>
      </c>
      <c r="R1239" t="s">
        <v>1354</v>
      </c>
    </row>
    <row r="1240" spans="1:18" x14ac:dyDescent="0.25">
      <c r="A1240" t="s">
        <v>341</v>
      </c>
      <c r="B1240" s="4">
        <v>42981</v>
      </c>
      <c r="C1240" s="9">
        <f t="shared" si="82"/>
        <v>9</v>
      </c>
      <c r="D1240">
        <f t="shared" si="79"/>
        <v>2017</v>
      </c>
      <c r="E1240">
        <f t="shared" si="81"/>
        <v>1</v>
      </c>
      <c r="F1240" t="s">
        <v>664</v>
      </c>
      <c r="G1240" t="s">
        <v>697</v>
      </c>
      <c r="H1240" t="s">
        <v>698</v>
      </c>
      <c r="I1240">
        <v>1</v>
      </c>
      <c r="J1240">
        <v>16</v>
      </c>
      <c r="K1240">
        <f t="shared" si="80"/>
        <v>76</v>
      </c>
      <c r="L1240" t="s">
        <v>696</v>
      </c>
      <c r="R1240" t="s">
        <v>1354</v>
      </c>
    </row>
    <row r="1241" spans="1:18" x14ac:dyDescent="0.25">
      <c r="A1241" t="s">
        <v>341</v>
      </c>
      <c r="B1241" s="4">
        <v>42981</v>
      </c>
      <c r="C1241" s="9">
        <f t="shared" si="82"/>
        <v>9</v>
      </c>
      <c r="D1241">
        <f t="shared" si="79"/>
        <v>2017</v>
      </c>
      <c r="E1241">
        <f t="shared" si="81"/>
        <v>0</v>
      </c>
      <c r="F1241" t="s">
        <v>664</v>
      </c>
      <c r="G1241" t="s">
        <v>697</v>
      </c>
      <c r="H1241" t="s">
        <v>698</v>
      </c>
      <c r="J1241">
        <v>19</v>
      </c>
      <c r="K1241">
        <f t="shared" si="80"/>
        <v>19</v>
      </c>
      <c r="L1241" t="s">
        <v>696</v>
      </c>
      <c r="R1241" t="s">
        <v>1354</v>
      </c>
    </row>
    <row r="1242" spans="1:18" x14ac:dyDescent="0.25">
      <c r="A1242" t="s">
        <v>341</v>
      </c>
      <c r="B1242" s="4">
        <v>42982</v>
      </c>
      <c r="C1242" s="9">
        <f t="shared" si="82"/>
        <v>9</v>
      </c>
      <c r="D1242">
        <f t="shared" si="79"/>
        <v>2017</v>
      </c>
      <c r="E1242">
        <f t="shared" si="81"/>
        <v>1</v>
      </c>
      <c r="F1242" t="s">
        <v>664</v>
      </c>
      <c r="G1242" t="s">
        <v>697</v>
      </c>
      <c r="H1242" t="s">
        <v>699</v>
      </c>
      <c r="I1242">
        <v>2</v>
      </c>
      <c r="J1242">
        <v>20</v>
      </c>
      <c r="K1242">
        <f t="shared" si="80"/>
        <v>140</v>
      </c>
      <c r="L1242" t="s">
        <v>696</v>
      </c>
      <c r="R1242" t="s">
        <v>1354</v>
      </c>
    </row>
    <row r="1243" spans="1:18" x14ac:dyDescent="0.25">
      <c r="A1243" t="s">
        <v>341</v>
      </c>
      <c r="B1243" s="4">
        <v>42983</v>
      </c>
      <c r="C1243" s="9">
        <f t="shared" si="82"/>
        <v>9</v>
      </c>
      <c r="D1243">
        <f t="shared" si="79"/>
        <v>2017</v>
      </c>
      <c r="E1243">
        <f t="shared" si="81"/>
        <v>1</v>
      </c>
      <c r="F1243" t="s">
        <v>664</v>
      </c>
      <c r="G1243" t="s">
        <v>707</v>
      </c>
      <c r="H1243" t="s">
        <v>707</v>
      </c>
      <c r="I1243">
        <v>1</v>
      </c>
      <c r="J1243">
        <v>9</v>
      </c>
      <c r="K1243">
        <f t="shared" si="80"/>
        <v>69</v>
      </c>
      <c r="L1243" t="s">
        <v>696</v>
      </c>
      <c r="R1243" t="s">
        <v>1354</v>
      </c>
    </row>
    <row r="1244" spans="1:18" x14ac:dyDescent="0.25">
      <c r="A1244" t="s">
        <v>341</v>
      </c>
      <c r="B1244" s="4">
        <v>42983</v>
      </c>
      <c r="C1244" s="9">
        <f t="shared" si="82"/>
        <v>9</v>
      </c>
      <c r="D1244">
        <f t="shared" si="79"/>
        <v>2017</v>
      </c>
      <c r="E1244">
        <f t="shared" si="81"/>
        <v>0</v>
      </c>
      <c r="F1244" t="s">
        <v>664</v>
      </c>
      <c r="G1244" t="s">
        <v>707</v>
      </c>
      <c r="H1244" t="s">
        <v>707</v>
      </c>
      <c r="I1244">
        <v>1</v>
      </c>
      <c r="J1244">
        <v>0</v>
      </c>
      <c r="K1244">
        <f t="shared" si="80"/>
        <v>60</v>
      </c>
      <c r="L1244" t="s">
        <v>696</v>
      </c>
      <c r="R1244" t="s">
        <v>1354</v>
      </c>
    </row>
    <row r="1245" spans="1:18" x14ac:dyDescent="0.25">
      <c r="A1245" t="s">
        <v>341</v>
      </c>
      <c r="B1245" s="4">
        <v>42983</v>
      </c>
      <c r="C1245" s="9">
        <f t="shared" si="82"/>
        <v>9</v>
      </c>
      <c r="D1245">
        <f t="shared" si="79"/>
        <v>2017</v>
      </c>
      <c r="E1245">
        <f t="shared" si="81"/>
        <v>0</v>
      </c>
      <c r="F1245" t="s">
        <v>664</v>
      </c>
      <c r="G1245" t="s">
        <v>707</v>
      </c>
      <c r="H1245" t="s">
        <v>707</v>
      </c>
      <c r="I1245">
        <v>1</v>
      </c>
      <c r="J1245">
        <v>0</v>
      </c>
      <c r="K1245">
        <f t="shared" si="80"/>
        <v>60</v>
      </c>
      <c r="L1245" t="s">
        <v>696</v>
      </c>
      <c r="R1245" t="s">
        <v>1354</v>
      </c>
    </row>
    <row r="1246" spans="1:18" x14ac:dyDescent="0.25">
      <c r="A1246" t="s">
        <v>341</v>
      </c>
      <c r="B1246" s="4">
        <v>42983</v>
      </c>
      <c r="C1246" s="9">
        <f t="shared" si="82"/>
        <v>9</v>
      </c>
      <c r="D1246">
        <f t="shared" si="79"/>
        <v>2017</v>
      </c>
      <c r="E1246">
        <f t="shared" si="81"/>
        <v>0</v>
      </c>
      <c r="F1246" t="s">
        <v>664</v>
      </c>
      <c r="G1246" t="s">
        <v>707</v>
      </c>
      <c r="H1246" t="s">
        <v>700</v>
      </c>
      <c r="I1246">
        <v>1</v>
      </c>
      <c r="J1246">
        <v>18</v>
      </c>
      <c r="K1246">
        <f t="shared" si="80"/>
        <v>78</v>
      </c>
      <c r="L1246" t="s">
        <v>696</v>
      </c>
      <c r="R1246" t="s">
        <v>1354</v>
      </c>
    </row>
    <row r="1247" spans="1:18" x14ac:dyDescent="0.25">
      <c r="A1247" t="s">
        <v>341</v>
      </c>
      <c r="B1247" s="4">
        <v>42984</v>
      </c>
      <c r="C1247" s="9">
        <f t="shared" si="82"/>
        <v>9</v>
      </c>
      <c r="D1247">
        <f t="shared" si="79"/>
        <v>2017</v>
      </c>
      <c r="E1247">
        <f t="shared" si="81"/>
        <v>1</v>
      </c>
      <c r="F1247" t="s">
        <v>664</v>
      </c>
      <c r="G1247" t="s">
        <v>707</v>
      </c>
      <c r="H1247" t="s">
        <v>700</v>
      </c>
      <c r="I1247">
        <v>1</v>
      </c>
      <c r="J1247">
        <v>30</v>
      </c>
      <c r="K1247">
        <f t="shared" si="80"/>
        <v>90</v>
      </c>
      <c r="L1247" t="s">
        <v>696</v>
      </c>
      <c r="R1247" t="s">
        <v>1354</v>
      </c>
    </row>
    <row r="1248" spans="1:18" x14ac:dyDescent="0.25">
      <c r="A1248" t="s">
        <v>341</v>
      </c>
      <c r="B1248" s="4">
        <v>42984</v>
      </c>
      <c r="C1248" s="9">
        <f t="shared" si="82"/>
        <v>9</v>
      </c>
      <c r="D1248">
        <f t="shared" si="79"/>
        <v>2017</v>
      </c>
      <c r="E1248">
        <f t="shared" si="81"/>
        <v>0</v>
      </c>
      <c r="F1248" t="s">
        <v>664</v>
      </c>
      <c r="G1248" t="s">
        <v>707</v>
      </c>
      <c r="H1248" t="s">
        <v>700</v>
      </c>
      <c r="I1248">
        <v>1</v>
      </c>
      <c r="J1248">
        <v>9</v>
      </c>
      <c r="K1248">
        <f t="shared" si="80"/>
        <v>69</v>
      </c>
      <c r="L1248" t="s">
        <v>696</v>
      </c>
      <c r="R1248" t="s">
        <v>1354</v>
      </c>
    </row>
    <row r="1249" spans="1:18" x14ac:dyDescent="0.25">
      <c r="A1249" t="s">
        <v>341</v>
      </c>
      <c r="B1249" s="4">
        <v>42984</v>
      </c>
      <c r="C1249" s="9">
        <f t="shared" si="82"/>
        <v>9</v>
      </c>
      <c r="D1249">
        <f t="shared" si="79"/>
        <v>2017</v>
      </c>
      <c r="E1249">
        <f t="shared" si="81"/>
        <v>0</v>
      </c>
      <c r="F1249" t="s">
        <v>664</v>
      </c>
      <c r="G1249" t="s">
        <v>707</v>
      </c>
      <c r="H1249" t="s">
        <v>700</v>
      </c>
      <c r="I1249">
        <v>1</v>
      </c>
      <c r="J1249">
        <v>26</v>
      </c>
      <c r="K1249">
        <f t="shared" si="80"/>
        <v>86</v>
      </c>
      <c r="L1249" t="s">
        <v>696</v>
      </c>
      <c r="R1249" t="s">
        <v>1354</v>
      </c>
    </row>
    <row r="1250" spans="1:18" x14ac:dyDescent="0.25">
      <c r="A1250" t="s">
        <v>341</v>
      </c>
      <c r="B1250" s="4">
        <v>42985</v>
      </c>
      <c r="C1250" s="9">
        <f t="shared" si="82"/>
        <v>9</v>
      </c>
      <c r="D1250">
        <f t="shared" si="79"/>
        <v>2017</v>
      </c>
      <c r="E1250">
        <f t="shared" si="81"/>
        <v>1</v>
      </c>
      <c r="F1250" t="s">
        <v>664</v>
      </c>
      <c r="G1250" t="s">
        <v>707</v>
      </c>
      <c r="H1250" t="s">
        <v>700</v>
      </c>
      <c r="J1250">
        <v>41</v>
      </c>
      <c r="K1250">
        <f t="shared" si="80"/>
        <v>41</v>
      </c>
      <c r="L1250" t="s">
        <v>696</v>
      </c>
      <c r="R1250" t="s">
        <v>1354</v>
      </c>
    </row>
    <row r="1251" spans="1:18" x14ac:dyDescent="0.25">
      <c r="A1251" t="s">
        <v>341</v>
      </c>
      <c r="B1251" s="4">
        <v>42986</v>
      </c>
      <c r="C1251" s="9">
        <f t="shared" si="82"/>
        <v>9</v>
      </c>
      <c r="D1251">
        <f t="shared" si="79"/>
        <v>2017</v>
      </c>
      <c r="E1251">
        <f t="shared" si="81"/>
        <v>1</v>
      </c>
      <c r="F1251" t="s">
        <v>664</v>
      </c>
      <c r="G1251" t="s">
        <v>701</v>
      </c>
      <c r="H1251" t="s">
        <v>702</v>
      </c>
      <c r="J1251">
        <v>42</v>
      </c>
      <c r="K1251">
        <f t="shared" si="80"/>
        <v>42</v>
      </c>
      <c r="L1251" t="s">
        <v>696</v>
      </c>
      <c r="R1251" t="s">
        <v>1354</v>
      </c>
    </row>
    <row r="1252" spans="1:18" x14ac:dyDescent="0.25">
      <c r="A1252" t="s">
        <v>341</v>
      </c>
      <c r="B1252" s="4">
        <v>42986</v>
      </c>
      <c r="C1252" s="9">
        <f t="shared" si="82"/>
        <v>9</v>
      </c>
      <c r="D1252">
        <f t="shared" si="79"/>
        <v>2017</v>
      </c>
      <c r="E1252">
        <f t="shared" si="81"/>
        <v>0</v>
      </c>
      <c r="F1252" t="s">
        <v>664</v>
      </c>
      <c r="G1252" t="s">
        <v>701</v>
      </c>
      <c r="H1252" t="s">
        <v>703</v>
      </c>
      <c r="J1252">
        <v>45</v>
      </c>
      <c r="K1252">
        <f t="shared" si="80"/>
        <v>45</v>
      </c>
      <c r="L1252" t="s">
        <v>696</v>
      </c>
      <c r="R1252" t="s">
        <v>1354</v>
      </c>
    </row>
    <row r="1253" spans="1:18" x14ac:dyDescent="0.25">
      <c r="A1253" t="s">
        <v>341</v>
      </c>
      <c r="B1253" s="4">
        <v>42986</v>
      </c>
      <c r="C1253" s="9">
        <f t="shared" si="82"/>
        <v>9</v>
      </c>
      <c r="D1253">
        <f t="shared" si="79"/>
        <v>2017</v>
      </c>
      <c r="E1253">
        <f t="shared" si="81"/>
        <v>0</v>
      </c>
      <c r="F1253" t="s">
        <v>664</v>
      </c>
      <c r="G1253" t="s">
        <v>706</v>
      </c>
      <c r="H1253" t="s">
        <v>704</v>
      </c>
      <c r="J1253">
        <v>28</v>
      </c>
      <c r="K1253">
        <f t="shared" si="80"/>
        <v>28</v>
      </c>
      <c r="L1253" t="s">
        <v>696</v>
      </c>
      <c r="R1253" t="s">
        <v>1354</v>
      </c>
    </row>
    <row r="1254" spans="1:18" x14ac:dyDescent="0.25">
      <c r="A1254" t="s">
        <v>341</v>
      </c>
      <c r="B1254" s="4">
        <v>42993</v>
      </c>
      <c r="C1254" s="9">
        <f t="shared" si="82"/>
        <v>9</v>
      </c>
      <c r="D1254">
        <f t="shared" si="79"/>
        <v>2017</v>
      </c>
      <c r="E1254">
        <f t="shared" si="81"/>
        <v>1</v>
      </c>
      <c r="F1254" t="s">
        <v>664</v>
      </c>
      <c r="G1254" t="s">
        <v>101</v>
      </c>
      <c r="H1254" t="s">
        <v>244</v>
      </c>
      <c r="J1254">
        <v>22</v>
      </c>
      <c r="K1254">
        <f t="shared" si="80"/>
        <v>22</v>
      </c>
      <c r="R1254" t="s">
        <v>1348</v>
      </c>
    </row>
    <row r="1255" spans="1:18" x14ac:dyDescent="0.25">
      <c r="A1255" t="s">
        <v>341</v>
      </c>
      <c r="B1255" s="4">
        <v>42996</v>
      </c>
      <c r="C1255" s="9">
        <f t="shared" si="82"/>
        <v>9</v>
      </c>
      <c r="D1255">
        <f t="shared" ref="D1255:D1318" si="83">YEAR(B1255)</f>
        <v>2017</v>
      </c>
      <c r="E1255">
        <f t="shared" ref="E1255:E1318" si="84">IF(OR(A1255 = "GS",A1255 = "BP"),IF( OR(A1254="GS",A1254="BP"),IF(B1254=B1255,0,1),1),0)</f>
        <v>1</v>
      </c>
      <c r="F1255" t="s">
        <v>613</v>
      </c>
      <c r="G1255" t="s">
        <v>634</v>
      </c>
      <c r="H1255" t="s">
        <v>273</v>
      </c>
      <c r="J1255">
        <v>13</v>
      </c>
      <c r="K1255">
        <f t="shared" ref="K1255:K1318" si="85">I1255*60+J1255</f>
        <v>13</v>
      </c>
      <c r="R1255" t="s">
        <v>1348</v>
      </c>
    </row>
    <row r="1256" spans="1:18" x14ac:dyDescent="0.25">
      <c r="A1256" t="s">
        <v>341</v>
      </c>
      <c r="B1256" s="4">
        <v>43002</v>
      </c>
      <c r="C1256" s="9">
        <f t="shared" si="82"/>
        <v>9</v>
      </c>
      <c r="D1256">
        <f t="shared" si="83"/>
        <v>2017</v>
      </c>
      <c r="E1256">
        <f t="shared" si="84"/>
        <v>1</v>
      </c>
      <c r="F1256" t="s">
        <v>664</v>
      </c>
      <c r="G1256" t="s">
        <v>101</v>
      </c>
      <c r="H1256" t="s">
        <v>244</v>
      </c>
      <c r="I1256">
        <v>1</v>
      </c>
      <c r="J1256">
        <v>5</v>
      </c>
      <c r="K1256">
        <f t="shared" si="85"/>
        <v>65</v>
      </c>
      <c r="M1256" t="s">
        <v>709</v>
      </c>
      <c r="R1256" t="s">
        <v>1348</v>
      </c>
    </row>
    <row r="1257" spans="1:18" x14ac:dyDescent="0.25">
      <c r="A1257" t="s">
        <v>341</v>
      </c>
      <c r="B1257" s="4">
        <v>43007</v>
      </c>
      <c r="C1257" s="9">
        <f t="shared" si="82"/>
        <v>9</v>
      </c>
      <c r="D1257">
        <f t="shared" si="83"/>
        <v>2017</v>
      </c>
      <c r="E1257">
        <f t="shared" si="84"/>
        <v>1</v>
      </c>
      <c r="F1257" t="s">
        <v>664</v>
      </c>
      <c r="G1257" t="s">
        <v>101</v>
      </c>
      <c r="H1257" t="s">
        <v>244</v>
      </c>
      <c r="J1257">
        <v>48</v>
      </c>
      <c r="K1257">
        <f t="shared" si="85"/>
        <v>48</v>
      </c>
      <c r="R1257" t="s">
        <v>1348</v>
      </c>
    </row>
    <row r="1258" spans="1:18" x14ac:dyDescent="0.25">
      <c r="A1258" t="s">
        <v>341</v>
      </c>
      <c r="B1258" s="4">
        <v>43008</v>
      </c>
      <c r="C1258" s="9">
        <f t="shared" si="82"/>
        <v>9</v>
      </c>
      <c r="D1258">
        <f t="shared" si="83"/>
        <v>2017</v>
      </c>
      <c r="E1258">
        <f t="shared" si="84"/>
        <v>1</v>
      </c>
      <c r="F1258" t="s">
        <v>613</v>
      </c>
      <c r="G1258" t="s">
        <v>614</v>
      </c>
      <c r="H1258" t="s">
        <v>244</v>
      </c>
      <c r="J1258">
        <v>15</v>
      </c>
      <c r="K1258">
        <f t="shared" si="85"/>
        <v>15</v>
      </c>
      <c r="M1258" t="s">
        <v>708</v>
      </c>
      <c r="R1258" t="s">
        <v>1348</v>
      </c>
    </row>
    <row r="1259" spans="1:18" x14ac:dyDescent="0.25">
      <c r="A1259" t="s">
        <v>341</v>
      </c>
      <c r="B1259" s="4">
        <v>43015</v>
      </c>
      <c r="C1259" s="9">
        <f t="shared" si="82"/>
        <v>10</v>
      </c>
      <c r="D1259">
        <f t="shared" si="83"/>
        <v>2017</v>
      </c>
      <c r="E1259">
        <f t="shared" si="84"/>
        <v>1</v>
      </c>
      <c r="F1259" t="s">
        <v>664</v>
      </c>
      <c r="G1259" t="s">
        <v>561</v>
      </c>
      <c r="H1259" t="s">
        <v>561</v>
      </c>
      <c r="I1259">
        <v>1</v>
      </c>
      <c r="J1259">
        <v>10</v>
      </c>
      <c r="K1259">
        <f t="shared" si="85"/>
        <v>70</v>
      </c>
      <c r="L1259" t="s">
        <v>1203</v>
      </c>
      <c r="R1259" t="s">
        <v>1351</v>
      </c>
    </row>
    <row r="1260" spans="1:18" x14ac:dyDescent="0.25">
      <c r="A1260" t="s">
        <v>341</v>
      </c>
      <c r="B1260" s="4">
        <v>43016</v>
      </c>
      <c r="C1260" s="9">
        <f t="shared" si="82"/>
        <v>10</v>
      </c>
      <c r="D1260">
        <f t="shared" si="83"/>
        <v>2017</v>
      </c>
      <c r="E1260">
        <f t="shared" si="84"/>
        <v>1</v>
      </c>
      <c r="F1260" t="s">
        <v>664</v>
      </c>
      <c r="G1260" t="s">
        <v>564</v>
      </c>
      <c r="H1260" t="s">
        <v>564</v>
      </c>
      <c r="J1260">
        <v>15</v>
      </c>
      <c r="K1260">
        <f t="shared" si="85"/>
        <v>15</v>
      </c>
      <c r="L1260" t="s">
        <v>1203</v>
      </c>
      <c r="R1260" t="s">
        <v>1351</v>
      </c>
    </row>
    <row r="1261" spans="1:18" x14ac:dyDescent="0.25">
      <c r="A1261" t="s">
        <v>341</v>
      </c>
      <c r="B1261" s="4">
        <v>43016</v>
      </c>
      <c r="C1261" s="9">
        <f t="shared" si="82"/>
        <v>10</v>
      </c>
      <c r="D1261">
        <f t="shared" si="83"/>
        <v>2017</v>
      </c>
      <c r="E1261">
        <f t="shared" si="84"/>
        <v>0</v>
      </c>
      <c r="F1261" t="s">
        <v>664</v>
      </c>
      <c r="G1261" t="s">
        <v>564</v>
      </c>
      <c r="H1261" t="s">
        <v>564</v>
      </c>
      <c r="I1261">
        <v>1</v>
      </c>
      <c r="J1261">
        <v>1</v>
      </c>
      <c r="K1261">
        <f t="shared" si="85"/>
        <v>61</v>
      </c>
      <c r="L1261" t="s">
        <v>1203</v>
      </c>
      <c r="R1261" t="s">
        <v>1351</v>
      </c>
    </row>
    <row r="1262" spans="1:18" x14ac:dyDescent="0.25">
      <c r="A1262" t="s">
        <v>341</v>
      </c>
      <c r="B1262" s="4">
        <v>43016</v>
      </c>
      <c r="C1262" s="9">
        <f t="shared" si="82"/>
        <v>10</v>
      </c>
      <c r="D1262">
        <f t="shared" si="83"/>
        <v>2017</v>
      </c>
      <c r="E1262">
        <f t="shared" si="84"/>
        <v>0</v>
      </c>
      <c r="F1262" t="s">
        <v>664</v>
      </c>
      <c r="G1262" t="s">
        <v>564</v>
      </c>
      <c r="H1262" t="s">
        <v>564</v>
      </c>
      <c r="I1262">
        <v>1</v>
      </c>
      <c r="J1262">
        <v>1</v>
      </c>
      <c r="K1262">
        <f t="shared" si="85"/>
        <v>61</v>
      </c>
      <c r="L1262" t="s">
        <v>1203</v>
      </c>
      <c r="R1262" t="s">
        <v>1351</v>
      </c>
    </row>
    <row r="1263" spans="1:18" x14ac:dyDescent="0.25">
      <c r="A1263" t="s">
        <v>341</v>
      </c>
      <c r="B1263" s="4">
        <v>43017</v>
      </c>
      <c r="C1263" s="9">
        <f t="shared" si="82"/>
        <v>10</v>
      </c>
      <c r="D1263">
        <f t="shared" si="83"/>
        <v>2017</v>
      </c>
      <c r="E1263">
        <f t="shared" si="84"/>
        <v>1</v>
      </c>
      <c r="F1263" t="s">
        <v>664</v>
      </c>
      <c r="G1263" t="s">
        <v>563</v>
      </c>
      <c r="H1263" t="s">
        <v>276</v>
      </c>
      <c r="I1263">
        <v>2</v>
      </c>
      <c r="J1263">
        <v>19</v>
      </c>
      <c r="K1263">
        <f t="shared" si="85"/>
        <v>139</v>
      </c>
      <c r="L1263" t="s">
        <v>1203</v>
      </c>
      <c r="R1263" t="s">
        <v>1351</v>
      </c>
    </row>
    <row r="1264" spans="1:18" x14ac:dyDescent="0.25">
      <c r="A1264" t="s">
        <v>341</v>
      </c>
      <c r="B1264" s="4">
        <v>43017</v>
      </c>
      <c r="C1264" s="9">
        <f t="shared" si="82"/>
        <v>10</v>
      </c>
      <c r="D1264">
        <f t="shared" si="83"/>
        <v>2017</v>
      </c>
      <c r="E1264">
        <f t="shared" si="84"/>
        <v>0</v>
      </c>
      <c r="F1264" t="s">
        <v>664</v>
      </c>
      <c r="G1264" t="s">
        <v>562</v>
      </c>
      <c r="H1264" t="s">
        <v>276</v>
      </c>
      <c r="J1264">
        <v>38</v>
      </c>
      <c r="K1264">
        <f t="shared" si="85"/>
        <v>38</v>
      </c>
      <c r="L1264" t="s">
        <v>1203</v>
      </c>
      <c r="R1264" t="s">
        <v>1351</v>
      </c>
    </row>
    <row r="1265" spans="1:18" x14ac:dyDescent="0.25">
      <c r="A1265" t="s">
        <v>341</v>
      </c>
      <c r="B1265" s="4">
        <v>43018</v>
      </c>
      <c r="C1265" s="9">
        <f t="shared" si="82"/>
        <v>10</v>
      </c>
      <c r="D1265">
        <f t="shared" si="83"/>
        <v>2017</v>
      </c>
      <c r="E1265">
        <f t="shared" si="84"/>
        <v>1</v>
      </c>
      <c r="F1265" t="s">
        <v>664</v>
      </c>
      <c r="G1265" t="s">
        <v>563</v>
      </c>
      <c r="H1265" t="s">
        <v>276</v>
      </c>
      <c r="J1265">
        <v>38</v>
      </c>
      <c r="K1265">
        <f t="shared" si="85"/>
        <v>38</v>
      </c>
      <c r="L1265" t="s">
        <v>1203</v>
      </c>
      <c r="R1265" t="s">
        <v>1351</v>
      </c>
    </row>
    <row r="1266" spans="1:18" x14ac:dyDescent="0.25">
      <c r="A1266" t="s">
        <v>341</v>
      </c>
      <c r="B1266" s="4">
        <v>43018</v>
      </c>
      <c r="C1266" s="9">
        <f t="shared" si="82"/>
        <v>10</v>
      </c>
      <c r="D1266">
        <f t="shared" si="83"/>
        <v>2017</v>
      </c>
      <c r="E1266">
        <f t="shared" si="84"/>
        <v>0</v>
      </c>
      <c r="F1266" t="s">
        <v>664</v>
      </c>
      <c r="G1266" t="s">
        <v>562</v>
      </c>
      <c r="H1266" t="s">
        <v>565</v>
      </c>
      <c r="I1266">
        <v>1</v>
      </c>
      <c r="J1266">
        <v>29</v>
      </c>
      <c r="K1266">
        <f t="shared" si="85"/>
        <v>89</v>
      </c>
      <c r="L1266" t="s">
        <v>1203</v>
      </c>
      <c r="M1266" t="s">
        <v>712</v>
      </c>
      <c r="R1266" t="s">
        <v>1351</v>
      </c>
    </row>
    <row r="1267" spans="1:18" x14ac:dyDescent="0.25">
      <c r="A1267" t="s">
        <v>341</v>
      </c>
      <c r="B1267" s="4">
        <v>43019</v>
      </c>
      <c r="C1267" s="9">
        <f t="shared" si="82"/>
        <v>10</v>
      </c>
      <c r="D1267">
        <f t="shared" si="83"/>
        <v>2017</v>
      </c>
      <c r="E1267">
        <f t="shared" si="84"/>
        <v>1</v>
      </c>
      <c r="F1267" t="s">
        <v>664</v>
      </c>
      <c r="G1267" t="s">
        <v>562</v>
      </c>
      <c r="H1267" t="s">
        <v>276</v>
      </c>
      <c r="J1267">
        <v>53</v>
      </c>
      <c r="K1267">
        <f t="shared" si="85"/>
        <v>53</v>
      </c>
      <c r="L1267" t="s">
        <v>1203</v>
      </c>
      <c r="R1267" t="s">
        <v>1351</v>
      </c>
    </row>
    <row r="1268" spans="1:18" x14ac:dyDescent="0.25">
      <c r="A1268" t="s">
        <v>341</v>
      </c>
      <c r="B1268" s="4">
        <v>43020</v>
      </c>
      <c r="C1268" s="9">
        <f t="shared" si="82"/>
        <v>10</v>
      </c>
      <c r="D1268">
        <f t="shared" si="83"/>
        <v>2017</v>
      </c>
      <c r="E1268">
        <f t="shared" si="84"/>
        <v>1</v>
      </c>
      <c r="F1268" t="s">
        <v>664</v>
      </c>
      <c r="G1268" t="s">
        <v>564</v>
      </c>
      <c r="H1268" t="s">
        <v>564</v>
      </c>
      <c r="I1268">
        <v>2</v>
      </c>
      <c r="J1268">
        <v>9</v>
      </c>
      <c r="K1268">
        <f t="shared" si="85"/>
        <v>129</v>
      </c>
      <c r="L1268" t="s">
        <v>1203</v>
      </c>
      <c r="M1268" t="s">
        <v>711</v>
      </c>
      <c r="R1268" t="s">
        <v>1351</v>
      </c>
    </row>
    <row r="1269" spans="1:18" x14ac:dyDescent="0.25">
      <c r="A1269" t="s">
        <v>341</v>
      </c>
      <c r="B1269" s="4">
        <v>43020</v>
      </c>
      <c r="C1269" s="9">
        <f t="shared" si="82"/>
        <v>10</v>
      </c>
      <c r="D1269">
        <f t="shared" si="83"/>
        <v>2017</v>
      </c>
      <c r="E1269">
        <f t="shared" si="84"/>
        <v>0</v>
      </c>
      <c r="F1269" t="s">
        <v>664</v>
      </c>
      <c r="G1269" t="s">
        <v>564</v>
      </c>
      <c r="H1269" t="s">
        <v>710</v>
      </c>
      <c r="J1269">
        <v>19</v>
      </c>
      <c r="K1269">
        <f t="shared" si="85"/>
        <v>19</v>
      </c>
      <c r="L1269" t="s">
        <v>1203</v>
      </c>
      <c r="R1269" t="s">
        <v>1351</v>
      </c>
    </row>
    <row r="1270" spans="1:18" x14ac:dyDescent="0.25">
      <c r="A1270" t="s">
        <v>341</v>
      </c>
      <c r="B1270" s="4">
        <v>43021</v>
      </c>
      <c r="C1270" s="9">
        <f t="shared" si="82"/>
        <v>10</v>
      </c>
      <c r="D1270">
        <f t="shared" si="83"/>
        <v>2017</v>
      </c>
      <c r="E1270">
        <f t="shared" si="84"/>
        <v>1</v>
      </c>
      <c r="F1270" t="s">
        <v>664</v>
      </c>
      <c r="G1270" t="s">
        <v>562</v>
      </c>
      <c r="H1270" t="s">
        <v>276</v>
      </c>
      <c r="I1270">
        <v>1</v>
      </c>
      <c r="J1270">
        <v>33</v>
      </c>
      <c r="K1270">
        <f t="shared" si="85"/>
        <v>93</v>
      </c>
      <c r="L1270" t="s">
        <v>1203</v>
      </c>
      <c r="R1270" t="s">
        <v>1351</v>
      </c>
    </row>
    <row r="1271" spans="1:18" x14ac:dyDescent="0.25">
      <c r="A1271" t="s">
        <v>341</v>
      </c>
      <c r="B1271" s="4">
        <v>43021</v>
      </c>
      <c r="C1271" s="9">
        <f t="shared" si="82"/>
        <v>10</v>
      </c>
      <c r="D1271">
        <f t="shared" si="83"/>
        <v>2017</v>
      </c>
      <c r="E1271">
        <f t="shared" si="84"/>
        <v>0</v>
      </c>
      <c r="F1271" t="s">
        <v>664</v>
      </c>
      <c r="G1271" t="s">
        <v>562</v>
      </c>
      <c r="H1271" t="s">
        <v>276</v>
      </c>
      <c r="I1271">
        <v>1</v>
      </c>
      <c r="J1271">
        <v>3</v>
      </c>
      <c r="K1271">
        <f t="shared" si="85"/>
        <v>63</v>
      </c>
      <c r="L1271" t="s">
        <v>1203</v>
      </c>
      <c r="R1271" t="s">
        <v>1351</v>
      </c>
    </row>
    <row r="1272" spans="1:18" x14ac:dyDescent="0.25">
      <c r="A1272" t="s">
        <v>341</v>
      </c>
      <c r="B1272" s="4">
        <v>43022</v>
      </c>
      <c r="C1272" s="9">
        <f t="shared" si="82"/>
        <v>10</v>
      </c>
      <c r="D1272">
        <f t="shared" si="83"/>
        <v>2017</v>
      </c>
      <c r="E1272">
        <f t="shared" si="84"/>
        <v>1</v>
      </c>
      <c r="F1272" t="s">
        <v>664</v>
      </c>
      <c r="G1272" t="s">
        <v>570</v>
      </c>
      <c r="H1272" t="s">
        <v>571</v>
      </c>
      <c r="J1272">
        <v>24</v>
      </c>
      <c r="K1272">
        <f t="shared" si="85"/>
        <v>24</v>
      </c>
      <c r="L1272" t="s">
        <v>1203</v>
      </c>
      <c r="R1272" t="s">
        <v>1351</v>
      </c>
    </row>
    <row r="1273" spans="1:18" x14ac:dyDescent="0.25">
      <c r="A1273" t="s">
        <v>341</v>
      </c>
      <c r="B1273" s="4">
        <v>43027</v>
      </c>
      <c r="C1273" s="9">
        <f t="shared" si="82"/>
        <v>10</v>
      </c>
      <c r="D1273">
        <f t="shared" si="83"/>
        <v>2017</v>
      </c>
      <c r="E1273">
        <f t="shared" si="84"/>
        <v>1</v>
      </c>
      <c r="F1273" t="s">
        <v>664</v>
      </c>
      <c r="G1273" t="s">
        <v>595</v>
      </c>
      <c r="H1273" t="s">
        <v>153</v>
      </c>
      <c r="J1273">
        <v>37</v>
      </c>
      <c r="K1273">
        <f t="shared" si="85"/>
        <v>37</v>
      </c>
      <c r="R1273" t="s">
        <v>1348</v>
      </c>
    </row>
    <row r="1274" spans="1:18" x14ac:dyDescent="0.25">
      <c r="A1274" t="s">
        <v>341</v>
      </c>
      <c r="B1274" s="4">
        <v>43039</v>
      </c>
      <c r="C1274" s="9">
        <f t="shared" si="82"/>
        <v>10</v>
      </c>
      <c r="D1274">
        <f t="shared" si="83"/>
        <v>2017</v>
      </c>
      <c r="E1274">
        <f t="shared" si="84"/>
        <v>1</v>
      </c>
      <c r="F1274" t="s">
        <v>664</v>
      </c>
      <c r="G1274" t="s">
        <v>101</v>
      </c>
      <c r="H1274" t="s">
        <v>244</v>
      </c>
      <c r="J1274">
        <v>42</v>
      </c>
      <c r="K1274">
        <f t="shared" si="85"/>
        <v>42</v>
      </c>
      <c r="R1274" t="s">
        <v>1348</v>
      </c>
    </row>
    <row r="1275" spans="1:18" x14ac:dyDescent="0.25">
      <c r="A1275" t="s">
        <v>341</v>
      </c>
      <c r="B1275" s="4">
        <v>43039</v>
      </c>
      <c r="C1275" s="9">
        <f t="shared" si="82"/>
        <v>10</v>
      </c>
      <c r="D1275">
        <f t="shared" si="83"/>
        <v>2017</v>
      </c>
      <c r="E1275">
        <f t="shared" si="84"/>
        <v>0</v>
      </c>
      <c r="F1275" t="s">
        <v>613</v>
      </c>
      <c r="G1275" t="s">
        <v>154</v>
      </c>
      <c r="H1275" t="s">
        <v>244</v>
      </c>
      <c r="J1275">
        <v>10</v>
      </c>
      <c r="K1275">
        <f t="shared" si="85"/>
        <v>10</v>
      </c>
      <c r="R1275" t="s">
        <v>1348</v>
      </c>
    </row>
    <row r="1276" spans="1:18" x14ac:dyDescent="0.25">
      <c r="A1276" t="s">
        <v>341</v>
      </c>
      <c r="B1276" s="4">
        <v>43040</v>
      </c>
      <c r="C1276" s="9">
        <f t="shared" si="82"/>
        <v>11</v>
      </c>
      <c r="D1276">
        <f t="shared" si="83"/>
        <v>2017</v>
      </c>
      <c r="E1276">
        <f t="shared" si="84"/>
        <v>1</v>
      </c>
      <c r="F1276" t="s">
        <v>664</v>
      </c>
      <c r="G1276" t="s">
        <v>101</v>
      </c>
      <c r="H1276" t="s">
        <v>244</v>
      </c>
      <c r="I1276">
        <v>1</v>
      </c>
      <c r="J1276">
        <v>4</v>
      </c>
      <c r="K1276">
        <f t="shared" si="85"/>
        <v>64</v>
      </c>
      <c r="R1276" t="s">
        <v>1348</v>
      </c>
    </row>
    <row r="1277" spans="1:18" x14ac:dyDescent="0.25">
      <c r="A1277" t="s">
        <v>341</v>
      </c>
      <c r="B1277" s="4">
        <v>43040</v>
      </c>
      <c r="C1277" s="9">
        <f t="shared" si="82"/>
        <v>11</v>
      </c>
      <c r="D1277">
        <f t="shared" si="83"/>
        <v>2017</v>
      </c>
      <c r="E1277">
        <f t="shared" si="84"/>
        <v>0</v>
      </c>
      <c r="F1277" t="s">
        <v>664</v>
      </c>
      <c r="G1277" t="s">
        <v>634</v>
      </c>
      <c r="H1277" t="s">
        <v>244</v>
      </c>
      <c r="J1277">
        <v>15</v>
      </c>
      <c r="K1277">
        <f t="shared" si="85"/>
        <v>15</v>
      </c>
      <c r="R1277" t="s">
        <v>1348</v>
      </c>
    </row>
    <row r="1278" spans="1:18" x14ac:dyDescent="0.25">
      <c r="A1278" t="s">
        <v>341</v>
      </c>
      <c r="B1278" s="4">
        <v>43042</v>
      </c>
      <c r="C1278" s="9">
        <f t="shared" si="82"/>
        <v>11</v>
      </c>
      <c r="D1278">
        <f t="shared" si="83"/>
        <v>2017</v>
      </c>
      <c r="E1278">
        <f t="shared" si="84"/>
        <v>1</v>
      </c>
      <c r="F1278" t="s">
        <v>664</v>
      </c>
      <c r="G1278" t="s">
        <v>101</v>
      </c>
      <c r="H1278" t="s">
        <v>244</v>
      </c>
      <c r="I1278">
        <v>1</v>
      </c>
      <c r="J1278">
        <v>18</v>
      </c>
      <c r="K1278">
        <f t="shared" si="85"/>
        <v>78</v>
      </c>
      <c r="R1278" t="s">
        <v>1348</v>
      </c>
    </row>
    <row r="1279" spans="1:18" x14ac:dyDescent="0.25">
      <c r="A1279" t="s">
        <v>341</v>
      </c>
      <c r="B1279" s="4">
        <v>43055</v>
      </c>
      <c r="C1279" s="9">
        <f t="shared" si="82"/>
        <v>11</v>
      </c>
      <c r="D1279">
        <f t="shared" si="83"/>
        <v>2017</v>
      </c>
      <c r="E1279">
        <f t="shared" si="84"/>
        <v>1</v>
      </c>
      <c r="F1279" t="s">
        <v>664</v>
      </c>
      <c r="G1279" t="s">
        <v>101</v>
      </c>
      <c r="H1279" t="s">
        <v>244</v>
      </c>
      <c r="I1279">
        <v>1</v>
      </c>
      <c r="J1279">
        <v>6</v>
      </c>
      <c r="K1279">
        <f t="shared" si="85"/>
        <v>66</v>
      </c>
      <c r="R1279" t="s">
        <v>1348</v>
      </c>
    </row>
    <row r="1280" spans="1:18" x14ac:dyDescent="0.25">
      <c r="A1280" t="s">
        <v>341</v>
      </c>
      <c r="B1280" s="4">
        <v>43057</v>
      </c>
      <c r="C1280" s="9">
        <f t="shared" si="82"/>
        <v>11</v>
      </c>
      <c r="D1280">
        <f t="shared" si="83"/>
        <v>2017</v>
      </c>
      <c r="E1280">
        <f t="shared" si="84"/>
        <v>1</v>
      </c>
      <c r="F1280" t="s">
        <v>664</v>
      </c>
      <c r="G1280" t="s">
        <v>101</v>
      </c>
      <c r="H1280" t="s">
        <v>244</v>
      </c>
      <c r="J1280">
        <v>51</v>
      </c>
      <c r="K1280">
        <f t="shared" si="85"/>
        <v>51</v>
      </c>
      <c r="R1280" t="s">
        <v>1348</v>
      </c>
    </row>
    <row r="1281" spans="1:18" x14ac:dyDescent="0.25">
      <c r="A1281" t="s">
        <v>341</v>
      </c>
      <c r="B1281" s="4">
        <v>43088</v>
      </c>
      <c r="C1281" s="9">
        <f t="shared" si="82"/>
        <v>12</v>
      </c>
      <c r="D1281">
        <f t="shared" si="83"/>
        <v>2017</v>
      </c>
      <c r="E1281">
        <f t="shared" si="84"/>
        <v>1</v>
      </c>
      <c r="F1281" t="s">
        <v>664</v>
      </c>
      <c r="G1281" t="s">
        <v>713</v>
      </c>
      <c r="H1281" t="s">
        <v>718</v>
      </c>
      <c r="I1281">
        <v>1</v>
      </c>
      <c r="J1281">
        <v>29</v>
      </c>
      <c r="K1281">
        <f t="shared" si="85"/>
        <v>89</v>
      </c>
      <c r="L1281" t="s">
        <v>731</v>
      </c>
      <c r="M1281" t="s">
        <v>732</v>
      </c>
      <c r="R1281" t="s">
        <v>1358</v>
      </c>
    </row>
    <row r="1282" spans="1:18" x14ac:dyDescent="0.25">
      <c r="A1282" t="s">
        <v>341</v>
      </c>
      <c r="B1282" s="4">
        <v>43088</v>
      </c>
      <c r="C1282" s="9">
        <f t="shared" si="82"/>
        <v>12</v>
      </c>
      <c r="D1282">
        <f t="shared" si="83"/>
        <v>2017</v>
      </c>
      <c r="E1282">
        <f t="shared" si="84"/>
        <v>0</v>
      </c>
      <c r="F1282" t="s">
        <v>664</v>
      </c>
      <c r="G1282" t="s">
        <v>714</v>
      </c>
      <c r="H1282" t="s">
        <v>715</v>
      </c>
      <c r="J1282">
        <v>8</v>
      </c>
      <c r="K1282">
        <f t="shared" si="85"/>
        <v>8</v>
      </c>
      <c r="L1282" t="s">
        <v>731</v>
      </c>
      <c r="R1282" t="s">
        <v>1358</v>
      </c>
    </row>
    <row r="1283" spans="1:18" x14ac:dyDescent="0.25">
      <c r="A1283" t="s">
        <v>341</v>
      </c>
      <c r="B1283" s="4">
        <v>43089</v>
      </c>
      <c r="C1283" s="9">
        <f t="shared" ref="C1283:C1346" si="86">MONTH(B1283)</f>
        <v>12</v>
      </c>
      <c r="D1283">
        <f t="shared" si="83"/>
        <v>2017</v>
      </c>
      <c r="E1283">
        <f t="shared" si="84"/>
        <v>1</v>
      </c>
      <c r="F1283" t="s">
        <v>297</v>
      </c>
      <c r="G1283" t="s">
        <v>716</v>
      </c>
      <c r="H1283" t="s">
        <v>716</v>
      </c>
      <c r="I1283">
        <v>1</v>
      </c>
      <c r="J1283">
        <v>30</v>
      </c>
      <c r="K1283">
        <f t="shared" si="85"/>
        <v>90</v>
      </c>
      <c r="L1283" t="s">
        <v>731</v>
      </c>
      <c r="R1283" t="s">
        <v>1358</v>
      </c>
    </row>
    <row r="1284" spans="1:18" x14ac:dyDescent="0.25">
      <c r="A1284" t="s">
        <v>341</v>
      </c>
      <c r="B1284" s="4">
        <v>43090</v>
      </c>
      <c r="C1284" s="9">
        <f t="shared" si="86"/>
        <v>12</v>
      </c>
      <c r="D1284">
        <f t="shared" si="83"/>
        <v>2017</v>
      </c>
      <c r="E1284">
        <f t="shared" si="84"/>
        <v>1</v>
      </c>
      <c r="F1284" t="s">
        <v>664</v>
      </c>
      <c r="G1284" t="s">
        <v>714</v>
      </c>
      <c r="H1284" t="s">
        <v>714</v>
      </c>
      <c r="J1284">
        <v>31</v>
      </c>
      <c r="K1284">
        <f t="shared" si="85"/>
        <v>31</v>
      </c>
      <c r="L1284" t="s">
        <v>731</v>
      </c>
      <c r="R1284" t="s">
        <v>1358</v>
      </c>
    </row>
    <row r="1285" spans="1:18" x14ac:dyDescent="0.25">
      <c r="A1285" t="s">
        <v>341</v>
      </c>
      <c r="B1285" s="4">
        <v>43090</v>
      </c>
      <c r="C1285" s="9">
        <f t="shared" si="86"/>
        <v>12</v>
      </c>
      <c r="D1285">
        <f t="shared" si="83"/>
        <v>2017</v>
      </c>
      <c r="E1285">
        <f t="shared" si="84"/>
        <v>0</v>
      </c>
      <c r="F1285" t="s">
        <v>664</v>
      </c>
      <c r="G1285" t="s">
        <v>714</v>
      </c>
      <c r="H1285" t="s">
        <v>714</v>
      </c>
      <c r="J1285">
        <v>7</v>
      </c>
      <c r="K1285">
        <f t="shared" si="85"/>
        <v>7</v>
      </c>
      <c r="L1285" t="s">
        <v>731</v>
      </c>
      <c r="R1285" t="s">
        <v>1358</v>
      </c>
    </row>
    <row r="1286" spans="1:18" x14ac:dyDescent="0.25">
      <c r="A1286" t="s">
        <v>341</v>
      </c>
      <c r="B1286" s="4">
        <v>43090</v>
      </c>
      <c r="C1286" s="9">
        <f t="shared" si="86"/>
        <v>12</v>
      </c>
      <c r="D1286">
        <f t="shared" si="83"/>
        <v>2017</v>
      </c>
      <c r="E1286">
        <f t="shared" si="84"/>
        <v>0</v>
      </c>
      <c r="F1286" t="s">
        <v>664</v>
      </c>
      <c r="G1286" t="s">
        <v>714</v>
      </c>
      <c r="H1286" t="s">
        <v>714</v>
      </c>
      <c r="J1286">
        <v>33</v>
      </c>
      <c r="K1286">
        <f t="shared" si="85"/>
        <v>33</v>
      </c>
      <c r="L1286" t="s">
        <v>731</v>
      </c>
      <c r="R1286" t="s">
        <v>1358</v>
      </c>
    </row>
    <row r="1287" spans="1:18" x14ac:dyDescent="0.25">
      <c r="A1287" t="s">
        <v>341</v>
      </c>
      <c r="B1287" s="4">
        <v>43090</v>
      </c>
      <c r="C1287" s="9">
        <f t="shared" si="86"/>
        <v>12</v>
      </c>
      <c r="D1287">
        <f t="shared" si="83"/>
        <v>2017</v>
      </c>
      <c r="E1287">
        <f t="shared" si="84"/>
        <v>0</v>
      </c>
      <c r="F1287" t="s">
        <v>664</v>
      </c>
      <c r="G1287" t="s">
        <v>714</v>
      </c>
      <c r="H1287" t="s">
        <v>714</v>
      </c>
      <c r="J1287">
        <v>14</v>
      </c>
      <c r="K1287">
        <f t="shared" si="85"/>
        <v>14</v>
      </c>
      <c r="L1287" t="s">
        <v>731</v>
      </c>
      <c r="R1287" t="s">
        <v>1358</v>
      </c>
    </row>
    <row r="1288" spans="1:18" x14ac:dyDescent="0.25">
      <c r="A1288" t="s">
        <v>341</v>
      </c>
      <c r="B1288" s="4">
        <v>43090</v>
      </c>
      <c r="C1288" s="9">
        <f t="shared" si="86"/>
        <v>12</v>
      </c>
      <c r="D1288">
        <f t="shared" si="83"/>
        <v>2017</v>
      </c>
      <c r="E1288">
        <f t="shared" si="84"/>
        <v>0</v>
      </c>
      <c r="F1288" t="s">
        <v>664</v>
      </c>
      <c r="G1288" t="s">
        <v>714</v>
      </c>
      <c r="H1288" t="s">
        <v>714</v>
      </c>
      <c r="J1288">
        <v>22</v>
      </c>
      <c r="K1288">
        <f t="shared" si="85"/>
        <v>22</v>
      </c>
      <c r="L1288" t="s">
        <v>731</v>
      </c>
      <c r="R1288" t="s">
        <v>1358</v>
      </c>
    </row>
    <row r="1289" spans="1:18" x14ac:dyDescent="0.25">
      <c r="A1289" t="s">
        <v>341</v>
      </c>
      <c r="B1289" s="4">
        <v>43090</v>
      </c>
      <c r="C1289" s="9">
        <f t="shared" si="86"/>
        <v>12</v>
      </c>
      <c r="D1289">
        <f t="shared" si="83"/>
        <v>2017</v>
      </c>
      <c r="E1289">
        <f t="shared" si="84"/>
        <v>0</v>
      </c>
      <c r="F1289" t="s">
        <v>664</v>
      </c>
      <c r="G1289" t="s">
        <v>714</v>
      </c>
      <c r="H1289" t="s">
        <v>715</v>
      </c>
      <c r="J1289">
        <v>13</v>
      </c>
      <c r="K1289">
        <f t="shared" si="85"/>
        <v>13</v>
      </c>
      <c r="L1289" t="s">
        <v>731</v>
      </c>
      <c r="R1289" t="s">
        <v>1358</v>
      </c>
    </row>
    <row r="1290" spans="1:18" x14ac:dyDescent="0.25">
      <c r="A1290" t="s">
        <v>341</v>
      </c>
      <c r="B1290" s="4">
        <v>43091</v>
      </c>
      <c r="C1290" s="9">
        <f t="shared" si="86"/>
        <v>12</v>
      </c>
      <c r="D1290">
        <f t="shared" si="83"/>
        <v>2017</v>
      </c>
      <c r="E1290">
        <f t="shared" si="84"/>
        <v>1</v>
      </c>
      <c r="F1290" t="s">
        <v>664</v>
      </c>
      <c r="G1290" t="s">
        <v>717</v>
      </c>
      <c r="H1290" t="s">
        <v>718</v>
      </c>
      <c r="I1290">
        <v>1</v>
      </c>
      <c r="J1290">
        <v>40</v>
      </c>
      <c r="K1290">
        <f t="shared" si="85"/>
        <v>100</v>
      </c>
      <c r="L1290" t="s">
        <v>731</v>
      </c>
      <c r="R1290" t="s">
        <v>1358</v>
      </c>
    </row>
    <row r="1291" spans="1:18" x14ac:dyDescent="0.25">
      <c r="A1291" t="s">
        <v>341</v>
      </c>
      <c r="B1291" s="4">
        <v>43091</v>
      </c>
      <c r="C1291" s="9">
        <f t="shared" si="86"/>
        <v>12</v>
      </c>
      <c r="D1291">
        <f t="shared" si="83"/>
        <v>2017</v>
      </c>
      <c r="E1291">
        <f t="shared" si="84"/>
        <v>0</v>
      </c>
      <c r="F1291" t="s">
        <v>664</v>
      </c>
      <c r="G1291" t="s">
        <v>714</v>
      </c>
      <c r="H1291" t="s">
        <v>715</v>
      </c>
      <c r="I1291">
        <v>1</v>
      </c>
      <c r="J1291">
        <v>16</v>
      </c>
      <c r="K1291">
        <f t="shared" si="85"/>
        <v>76</v>
      </c>
      <c r="L1291" t="s">
        <v>731</v>
      </c>
      <c r="R1291" t="s">
        <v>1358</v>
      </c>
    </row>
    <row r="1292" spans="1:18" x14ac:dyDescent="0.25">
      <c r="A1292" t="s">
        <v>341</v>
      </c>
      <c r="B1292" s="4">
        <v>43092</v>
      </c>
      <c r="C1292" s="9">
        <f t="shared" si="86"/>
        <v>12</v>
      </c>
      <c r="D1292">
        <f t="shared" si="83"/>
        <v>2017</v>
      </c>
      <c r="E1292">
        <f t="shared" si="84"/>
        <v>1</v>
      </c>
      <c r="F1292" t="s">
        <v>664</v>
      </c>
      <c r="G1292" t="s">
        <v>714</v>
      </c>
      <c r="H1292" t="s">
        <v>714</v>
      </c>
      <c r="J1292">
        <v>26</v>
      </c>
      <c r="K1292">
        <f t="shared" si="85"/>
        <v>26</v>
      </c>
      <c r="L1292" t="s">
        <v>731</v>
      </c>
      <c r="R1292" t="s">
        <v>1358</v>
      </c>
    </row>
    <row r="1293" spans="1:18" x14ac:dyDescent="0.25">
      <c r="A1293" t="s">
        <v>341</v>
      </c>
      <c r="B1293" s="4">
        <v>43092</v>
      </c>
      <c r="C1293" s="9">
        <f t="shared" si="86"/>
        <v>12</v>
      </c>
      <c r="D1293">
        <f t="shared" si="83"/>
        <v>2017</v>
      </c>
      <c r="E1293">
        <f t="shared" si="84"/>
        <v>0</v>
      </c>
      <c r="F1293" t="s">
        <v>664</v>
      </c>
      <c r="G1293" t="s">
        <v>714</v>
      </c>
      <c r="H1293" t="s">
        <v>719</v>
      </c>
      <c r="J1293">
        <v>55</v>
      </c>
      <c r="K1293">
        <f t="shared" si="85"/>
        <v>55</v>
      </c>
      <c r="L1293" t="s">
        <v>731</v>
      </c>
      <c r="R1293" t="s">
        <v>1358</v>
      </c>
    </row>
    <row r="1294" spans="1:18" x14ac:dyDescent="0.25">
      <c r="A1294" t="s">
        <v>341</v>
      </c>
      <c r="B1294" s="4">
        <v>43092</v>
      </c>
      <c r="C1294" s="9">
        <f t="shared" si="86"/>
        <v>12</v>
      </c>
      <c r="D1294">
        <f t="shared" si="83"/>
        <v>2017</v>
      </c>
      <c r="E1294">
        <f t="shared" si="84"/>
        <v>0</v>
      </c>
      <c r="F1294" t="s">
        <v>664</v>
      </c>
      <c r="G1294" t="s">
        <v>714</v>
      </c>
      <c r="H1294" t="s">
        <v>715</v>
      </c>
      <c r="J1294">
        <v>39</v>
      </c>
      <c r="K1294">
        <f t="shared" si="85"/>
        <v>39</v>
      </c>
      <c r="L1294" t="s">
        <v>731</v>
      </c>
      <c r="R1294" t="s">
        <v>1358</v>
      </c>
    </row>
    <row r="1295" spans="1:18" x14ac:dyDescent="0.25">
      <c r="A1295" t="s">
        <v>341</v>
      </c>
      <c r="B1295" s="4">
        <v>43093</v>
      </c>
      <c r="C1295" s="9">
        <f t="shared" si="86"/>
        <v>12</v>
      </c>
      <c r="D1295">
        <f t="shared" si="83"/>
        <v>2017</v>
      </c>
      <c r="E1295">
        <f t="shared" si="84"/>
        <v>1</v>
      </c>
      <c r="F1295" t="s">
        <v>664</v>
      </c>
      <c r="G1295" t="s">
        <v>713</v>
      </c>
      <c r="H1295" t="s">
        <v>718</v>
      </c>
      <c r="I1295">
        <v>2</v>
      </c>
      <c r="J1295">
        <v>27</v>
      </c>
      <c r="K1295">
        <f t="shared" si="85"/>
        <v>147</v>
      </c>
      <c r="L1295" t="s">
        <v>731</v>
      </c>
      <c r="R1295" t="s">
        <v>1358</v>
      </c>
    </row>
    <row r="1296" spans="1:18" x14ac:dyDescent="0.25">
      <c r="A1296" t="s">
        <v>341</v>
      </c>
      <c r="B1296" s="4">
        <v>43094</v>
      </c>
      <c r="C1296" s="9">
        <f t="shared" si="86"/>
        <v>12</v>
      </c>
      <c r="D1296">
        <f t="shared" si="83"/>
        <v>2017</v>
      </c>
      <c r="E1296">
        <f t="shared" si="84"/>
        <v>1</v>
      </c>
      <c r="F1296" t="s">
        <v>664</v>
      </c>
      <c r="G1296" t="s">
        <v>720</v>
      </c>
      <c r="H1296" t="s">
        <v>721</v>
      </c>
      <c r="I1296">
        <v>2</v>
      </c>
      <c r="J1296">
        <v>22</v>
      </c>
      <c r="K1296">
        <f t="shared" si="85"/>
        <v>142</v>
      </c>
      <c r="L1296" t="s">
        <v>731</v>
      </c>
      <c r="R1296" t="s">
        <v>1358</v>
      </c>
    </row>
    <row r="1297" spans="1:18" x14ac:dyDescent="0.25">
      <c r="A1297" t="s">
        <v>341</v>
      </c>
      <c r="B1297" s="4">
        <v>43094</v>
      </c>
      <c r="C1297" s="9">
        <f t="shared" si="86"/>
        <v>12</v>
      </c>
      <c r="D1297">
        <f t="shared" si="83"/>
        <v>2017</v>
      </c>
      <c r="E1297">
        <f t="shared" si="84"/>
        <v>0</v>
      </c>
      <c r="F1297" t="s">
        <v>664</v>
      </c>
      <c r="G1297" t="s">
        <v>722</v>
      </c>
      <c r="H1297" t="s">
        <v>722</v>
      </c>
      <c r="J1297">
        <v>25</v>
      </c>
      <c r="K1297">
        <f t="shared" si="85"/>
        <v>25</v>
      </c>
      <c r="L1297" t="s">
        <v>731</v>
      </c>
      <c r="R1297" t="s">
        <v>1358</v>
      </c>
    </row>
    <row r="1298" spans="1:18" x14ac:dyDescent="0.25">
      <c r="A1298" t="s">
        <v>341</v>
      </c>
      <c r="B1298" s="4">
        <v>43095</v>
      </c>
      <c r="C1298" s="9">
        <f t="shared" si="86"/>
        <v>12</v>
      </c>
      <c r="D1298">
        <f t="shared" si="83"/>
        <v>2017</v>
      </c>
      <c r="E1298">
        <f t="shared" si="84"/>
        <v>1</v>
      </c>
      <c r="F1298" t="s">
        <v>664</v>
      </c>
      <c r="G1298" t="s">
        <v>723</v>
      </c>
      <c r="H1298" t="s">
        <v>724</v>
      </c>
      <c r="I1298">
        <v>1</v>
      </c>
      <c r="J1298">
        <v>47</v>
      </c>
      <c r="K1298">
        <f t="shared" si="85"/>
        <v>107</v>
      </c>
      <c r="L1298" t="s">
        <v>731</v>
      </c>
      <c r="R1298" t="s">
        <v>1358</v>
      </c>
    </row>
    <row r="1299" spans="1:18" x14ac:dyDescent="0.25">
      <c r="A1299" t="s">
        <v>341</v>
      </c>
      <c r="B1299" s="4">
        <v>43096</v>
      </c>
      <c r="C1299" s="9">
        <f t="shared" si="86"/>
        <v>12</v>
      </c>
      <c r="D1299">
        <f t="shared" si="83"/>
        <v>2017</v>
      </c>
      <c r="E1299">
        <f t="shared" si="84"/>
        <v>1</v>
      </c>
      <c r="F1299" t="s">
        <v>664</v>
      </c>
      <c r="G1299" t="s">
        <v>723</v>
      </c>
      <c r="H1299" t="s">
        <v>725</v>
      </c>
      <c r="I1299">
        <v>2</v>
      </c>
      <c r="J1299">
        <v>8</v>
      </c>
      <c r="K1299">
        <f t="shared" si="85"/>
        <v>128</v>
      </c>
      <c r="L1299" t="s">
        <v>731</v>
      </c>
      <c r="R1299" t="s">
        <v>1358</v>
      </c>
    </row>
    <row r="1300" spans="1:18" x14ac:dyDescent="0.25">
      <c r="A1300" t="s">
        <v>341</v>
      </c>
      <c r="B1300" s="4">
        <v>43097</v>
      </c>
      <c r="C1300" s="9">
        <f t="shared" si="86"/>
        <v>12</v>
      </c>
      <c r="D1300">
        <f t="shared" si="83"/>
        <v>2017</v>
      </c>
      <c r="E1300">
        <f t="shared" si="84"/>
        <v>1</v>
      </c>
      <c r="F1300" t="s">
        <v>664</v>
      </c>
      <c r="G1300" t="s">
        <v>723</v>
      </c>
      <c r="H1300" t="s">
        <v>726</v>
      </c>
      <c r="I1300">
        <v>1</v>
      </c>
      <c r="J1300">
        <v>22</v>
      </c>
      <c r="K1300">
        <f t="shared" si="85"/>
        <v>82</v>
      </c>
      <c r="L1300" t="s">
        <v>731</v>
      </c>
      <c r="R1300" t="s">
        <v>1358</v>
      </c>
    </row>
    <row r="1301" spans="1:18" x14ac:dyDescent="0.25">
      <c r="A1301" t="s">
        <v>341</v>
      </c>
      <c r="B1301" s="4">
        <v>43097</v>
      </c>
      <c r="C1301" s="9">
        <f t="shared" si="86"/>
        <v>12</v>
      </c>
      <c r="D1301">
        <f t="shared" si="83"/>
        <v>2017</v>
      </c>
      <c r="E1301">
        <f t="shared" si="84"/>
        <v>0</v>
      </c>
      <c r="F1301" t="s">
        <v>664</v>
      </c>
      <c r="G1301" t="s">
        <v>727</v>
      </c>
      <c r="H1301" t="s">
        <v>725</v>
      </c>
      <c r="I1301">
        <v>1</v>
      </c>
      <c r="J1301">
        <v>2</v>
      </c>
      <c r="K1301">
        <f t="shared" si="85"/>
        <v>62</v>
      </c>
      <c r="L1301" t="s">
        <v>731</v>
      </c>
      <c r="R1301" t="s">
        <v>1358</v>
      </c>
    </row>
    <row r="1302" spans="1:18" x14ac:dyDescent="0.25">
      <c r="A1302" t="s">
        <v>341</v>
      </c>
      <c r="B1302" s="4">
        <v>43098</v>
      </c>
      <c r="C1302" s="9">
        <f t="shared" si="86"/>
        <v>12</v>
      </c>
      <c r="D1302">
        <f t="shared" si="83"/>
        <v>2017</v>
      </c>
      <c r="E1302">
        <f t="shared" si="84"/>
        <v>1</v>
      </c>
      <c r="F1302" t="s">
        <v>664</v>
      </c>
      <c r="G1302" t="s">
        <v>728</v>
      </c>
      <c r="H1302" t="s">
        <v>729</v>
      </c>
      <c r="I1302">
        <v>2</v>
      </c>
      <c r="J1302">
        <v>12</v>
      </c>
      <c r="K1302">
        <f t="shared" si="85"/>
        <v>132</v>
      </c>
      <c r="L1302" t="s">
        <v>731</v>
      </c>
      <c r="R1302" t="s">
        <v>1358</v>
      </c>
    </row>
    <row r="1303" spans="1:18" x14ac:dyDescent="0.25">
      <c r="A1303" t="s">
        <v>341</v>
      </c>
      <c r="B1303" s="4">
        <v>43099</v>
      </c>
      <c r="C1303" s="9">
        <f t="shared" si="86"/>
        <v>12</v>
      </c>
      <c r="D1303">
        <f t="shared" si="83"/>
        <v>2017</v>
      </c>
      <c r="E1303">
        <f t="shared" si="84"/>
        <v>1</v>
      </c>
      <c r="F1303" t="s">
        <v>297</v>
      </c>
      <c r="G1303" t="s">
        <v>730</v>
      </c>
      <c r="H1303" t="s">
        <v>730</v>
      </c>
      <c r="I1303">
        <v>1</v>
      </c>
      <c r="J1303">
        <v>27</v>
      </c>
      <c r="K1303">
        <f t="shared" si="85"/>
        <v>87</v>
      </c>
      <c r="L1303" t="s">
        <v>731</v>
      </c>
      <c r="R1303" t="s">
        <v>1358</v>
      </c>
    </row>
    <row r="1304" spans="1:18" x14ac:dyDescent="0.25">
      <c r="A1304" t="s">
        <v>341</v>
      </c>
      <c r="B1304" s="4">
        <v>43111</v>
      </c>
      <c r="C1304" s="9">
        <f t="shared" si="86"/>
        <v>1</v>
      </c>
      <c r="D1304">
        <f t="shared" si="83"/>
        <v>2018</v>
      </c>
      <c r="E1304">
        <f t="shared" si="84"/>
        <v>1</v>
      </c>
      <c r="F1304" t="s">
        <v>664</v>
      </c>
      <c r="G1304" t="s">
        <v>733</v>
      </c>
      <c r="H1304" t="s">
        <v>244</v>
      </c>
      <c r="J1304">
        <v>22</v>
      </c>
      <c r="K1304">
        <f t="shared" si="85"/>
        <v>22</v>
      </c>
      <c r="R1304" t="s">
        <v>1348</v>
      </c>
    </row>
    <row r="1305" spans="1:18" x14ac:dyDescent="0.25">
      <c r="A1305" t="s">
        <v>341</v>
      </c>
      <c r="B1305" s="4">
        <v>43112</v>
      </c>
      <c r="C1305" s="9">
        <f t="shared" si="86"/>
        <v>1</v>
      </c>
      <c r="D1305">
        <f t="shared" si="83"/>
        <v>2018</v>
      </c>
      <c r="E1305">
        <f t="shared" si="84"/>
        <v>1</v>
      </c>
      <c r="F1305" t="s">
        <v>664</v>
      </c>
      <c r="G1305" t="s">
        <v>409</v>
      </c>
      <c r="H1305" t="s">
        <v>244</v>
      </c>
      <c r="J1305">
        <v>34</v>
      </c>
      <c r="K1305">
        <f t="shared" si="85"/>
        <v>34</v>
      </c>
      <c r="R1305" t="s">
        <v>1348</v>
      </c>
    </row>
    <row r="1306" spans="1:18" x14ac:dyDescent="0.25">
      <c r="A1306" t="s">
        <v>341</v>
      </c>
      <c r="B1306" s="4">
        <v>43113</v>
      </c>
      <c r="C1306" s="9">
        <f t="shared" si="86"/>
        <v>1</v>
      </c>
      <c r="D1306">
        <f t="shared" si="83"/>
        <v>2018</v>
      </c>
      <c r="E1306">
        <f t="shared" si="84"/>
        <v>1</v>
      </c>
      <c r="F1306" t="s">
        <v>664</v>
      </c>
      <c r="G1306" t="s">
        <v>409</v>
      </c>
      <c r="H1306" t="s">
        <v>153</v>
      </c>
      <c r="J1306">
        <v>34</v>
      </c>
      <c r="K1306">
        <f t="shared" si="85"/>
        <v>34</v>
      </c>
      <c r="M1306" t="s">
        <v>734</v>
      </c>
      <c r="R1306" t="s">
        <v>1348</v>
      </c>
    </row>
    <row r="1307" spans="1:18" x14ac:dyDescent="0.25">
      <c r="A1307" t="s">
        <v>341</v>
      </c>
      <c r="B1307" s="4">
        <v>43114</v>
      </c>
      <c r="C1307" s="9">
        <f t="shared" si="86"/>
        <v>1</v>
      </c>
      <c r="D1307">
        <f t="shared" si="83"/>
        <v>2018</v>
      </c>
      <c r="E1307">
        <f t="shared" si="84"/>
        <v>1</v>
      </c>
      <c r="F1307" t="s">
        <v>664</v>
      </c>
      <c r="G1307" t="s">
        <v>409</v>
      </c>
      <c r="H1307" t="s">
        <v>575</v>
      </c>
      <c r="J1307">
        <v>38</v>
      </c>
      <c r="K1307">
        <f t="shared" si="85"/>
        <v>38</v>
      </c>
      <c r="R1307" t="s">
        <v>1348</v>
      </c>
    </row>
    <row r="1308" spans="1:18" x14ac:dyDescent="0.25">
      <c r="A1308" t="s">
        <v>341</v>
      </c>
      <c r="B1308" s="4">
        <v>43158</v>
      </c>
      <c r="C1308" s="9">
        <f t="shared" si="86"/>
        <v>2</v>
      </c>
      <c r="D1308">
        <f t="shared" si="83"/>
        <v>2018</v>
      </c>
      <c r="E1308">
        <f t="shared" si="84"/>
        <v>1</v>
      </c>
      <c r="F1308" t="s">
        <v>664</v>
      </c>
      <c r="G1308" t="s">
        <v>735</v>
      </c>
      <c r="H1308" t="s">
        <v>735</v>
      </c>
      <c r="J1308">
        <v>58</v>
      </c>
      <c r="K1308">
        <f t="shared" si="85"/>
        <v>58</v>
      </c>
      <c r="L1308" t="s">
        <v>736</v>
      </c>
      <c r="M1308" t="s">
        <v>737</v>
      </c>
      <c r="R1308" t="s">
        <v>1349</v>
      </c>
    </row>
    <row r="1309" spans="1:18" x14ac:dyDescent="0.25">
      <c r="A1309" t="s">
        <v>341</v>
      </c>
      <c r="B1309" s="4">
        <v>43159</v>
      </c>
      <c r="C1309" s="9">
        <f t="shared" si="86"/>
        <v>2</v>
      </c>
      <c r="D1309">
        <f t="shared" si="83"/>
        <v>2018</v>
      </c>
      <c r="E1309">
        <f t="shared" si="84"/>
        <v>1</v>
      </c>
      <c r="F1309" t="s">
        <v>664</v>
      </c>
      <c r="G1309" t="s">
        <v>735</v>
      </c>
      <c r="H1309" t="s">
        <v>735</v>
      </c>
      <c r="I1309">
        <v>2</v>
      </c>
      <c r="J1309">
        <v>10</v>
      </c>
      <c r="K1309">
        <f t="shared" si="85"/>
        <v>130</v>
      </c>
      <c r="L1309" t="s">
        <v>736</v>
      </c>
      <c r="R1309" t="s">
        <v>1349</v>
      </c>
    </row>
    <row r="1310" spans="1:18" x14ac:dyDescent="0.25">
      <c r="A1310" t="s">
        <v>341</v>
      </c>
      <c r="B1310" s="4">
        <v>43167</v>
      </c>
      <c r="C1310" s="9">
        <f t="shared" si="86"/>
        <v>3</v>
      </c>
      <c r="D1310">
        <f t="shared" si="83"/>
        <v>2018</v>
      </c>
      <c r="E1310">
        <f t="shared" si="84"/>
        <v>1</v>
      </c>
      <c r="F1310" t="s">
        <v>664</v>
      </c>
      <c r="G1310" t="s">
        <v>409</v>
      </c>
      <c r="H1310" t="s">
        <v>153</v>
      </c>
      <c r="J1310">
        <v>42</v>
      </c>
      <c r="K1310">
        <f t="shared" si="85"/>
        <v>42</v>
      </c>
      <c r="R1310" t="s">
        <v>1348</v>
      </c>
    </row>
    <row r="1311" spans="1:18" x14ac:dyDescent="0.25">
      <c r="A1311" t="s">
        <v>341</v>
      </c>
      <c r="B1311" s="4">
        <v>43184</v>
      </c>
      <c r="C1311" s="9">
        <f t="shared" si="86"/>
        <v>3</v>
      </c>
      <c r="D1311">
        <f t="shared" si="83"/>
        <v>2018</v>
      </c>
      <c r="E1311">
        <f t="shared" si="84"/>
        <v>1</v>
      </c>
      <c r="F1311" t="s">
        <v>664</v>
      </c>
      <c r="G1311" t="s">
        <v>101</v>
      </c>
      <c r="H1311" t="s">
        <v>153</v>
      </c>
      <c r="I1311">
        <v>1</v>
      </c>
      <c r="J1311">
        <v>25</v>
      </c>
      <c r="K1311">
        <f t="shared" si="85"/>
        <v>85</v>
      </c>
      <c r="M1311" t="s">
        <v>738</v>
      </c>
      <c r="R1311" t="s">
        <v>1348</v>
      </c>
    </row>
    <row r="1312" spans="1:18" x14ac:dyDescent="0.25">
      <c r="A1312" t="s">
        <v>341</v>
      </c>
      <c r="B1312" s="4">
        <v>43196</v>
      </c>
      <c r="C1312" s="9">
        <f t="shared" si="86"/>
        <v>4</v>
      </c>
      <c r="D1312">
        <f t="shared" si="83"/>
        <v>2018</v>
      </c>
      <c r="E1312">
        <f t="shared" si="84"/>
        <v>1</v>
      </c>
      <c r="F1312" t="s">
        <v>664</v>
      </c>
      <c r="G1312" t="s">
        <v>409</v>
      </c>
      <c r="H1312" t="s">
        <v>575</v>
      </c>
      <c r="J1312">
        <v>39</v>
      </c>
      <c r="K1312">
        <f t="shared" si="85"/>
        <v>39</v>
      </c>
      <c r="R1312" t="s">
        <v>1348</v>
      </c>
    </row>
    <row r="1313" spans="1:18" x14ac:dyDescent="0.25">
      <c r="A1313" t="s">
        <v>341</v>
      </c>
      <c r="B1313" s="4">
        <v>43209</v>
      </c>
      <c r="C1313" s="9">
        <f t="shared" si="86"/>
        <v>4</v>
      </c>
      <c r="D1313">
        <f t="shared" si="83"/>
        <v>2018</v>
      </c>
      <c r="E1313">
        <f t="shared" si="84"/>
        <v>1</v>
      </c>
      <c r="F1313" t="s">
        <v>664</v>
      </c>
      <c r="G1313" t="s">
        <v>621</v>
      </c>
      <c r="H1313" t="s">
        <v>244</v>
      </c>
      <c r="J1313">
        <v>15</v>
      </c>
      <c r="K1313">
        <f t="shared" si="85"/>
        <v>15</v>
      </c>
      <c r="R1313" t="s">
        <v>1348</v>
      </c>
    </row>
    <row r="1314" spans="1:18" x14ac:dyDescent="0.25">
      <c r="A1314" t="s">
        <v>341</v>
      </c>
      <c r="B1314" s="4">
        <v>43211</v>
      </c>
      <c r="C1314" s="9">
        <f t="shared" si="86"/>
        <v>4</v>
      </c>
      <c r="D1314">
        <f t="shared" si="83"/>
        <v>2018</v>
      </c>
      <c r="E1314">
        <f t="shared" si="84"/>
        <v>1</v>
      </c>
      <c r="F1314" t="s">
        <v>664</v>
      </c>
      <c r="G1314" t="s">
        <v>101</v>
      </c>
      <c r="H1314" t="s">
        <v>244</v>
      </c>
      <c r="I1314">
        <v>2</v>
      </c>
      <c r="J1314">
        <v>4</v>
      </c>
      <c r="K1314">
        <f t="shared" si="85"/>
        <v>124</v>
      </c>
      <c r="M1314" t="s">
        <v>739</v>
      </c>
      <c r="R1314" t="s">
        <v>1348</v>
      </c>
    </row>
    <row r="1315" spans="1:18" x14ac:dyDescent="0.25">
      <c r="A1315" t="s">
        <v>341</v>
      </c>
      <c r="B1315" s="4">
        <v>43212</v>
      </c>
      <c r="C1315" s="9">
        <f t="shared" si="86"/>
        <v>4</v>
      </c>
      <c r="D1315">
        <f t="shared" si="83"/>
        <v>2018</v>
      </c>
      <c r="E1315">
        <f t="shared" si="84"/>
        <v>1</v>
      </c>
      <c r="F1315" t="s">
        <v>664</v>
      </c>
      <c r="G1315" t="s">
        <v>101</v>
      </c>
      <c r="H1315" t="s">
        <v>689</v>
      </c>
      <c r="I1315">
        <v>1</v>
      </c>
      <c r="J1315">
        <v>27</v>
      </c>
      <c r="K1315">
        <f t="shared" si="85"/>
        <v>87</v>
      </c>
      <c r="M1315" t="s">
        <v>478</v>
      </c>
      <c r="R1315" t="s">
        <v>1348</v>
      </c>
    </row>
    <row r="1316" spans="1:18" x14ac:dyDescent="0.25">
      <c r="A1316" t="s">
        <v>341</v>
      </c>
      <c r="B1316" s="4">
        <v>43228</v>
      </c>
      <c r="C1316" s="9">
        <f t="shared" si="86"/>
        <v>5</v>
      </c>
      <c r="D1316">
        <f t="shared" si="83"/>
        <v>2018</v>
      </c>
      <c r="E1316">
        <f t="shared" si="84"/>
        <v>1</v>
      </c>
      <c r="F1316" t="s">
        <v>664</v>
      </c>
      <c r="G1316" t="s">
        <v>740</v>
      </c>
      <c r="H1316" t="s">
        <v>741</v>
      </c>
      <c r="J1316">
        <v>49</v>
      </c>
      <c r="K1316">
        <f t="shared" si="85"/>
        <v>49</v>
      </c>
      <c r="R1316" t="s">
        <v>1348</v>
      </c>
    </row>
    <row r="1317" spans="1:18" x14ac:dyDescent="0.25">
      <c r="A1317" t="s">
        <v>341</v>
      </c>
      <c r="B1317" s="4">
        <v>43238</v>
      </c>
      <c r="C1317" s="9">
        <f t="shared" si="86"/>
        <v>5</v>
      </c>
      <c r="D1317">
        <f t="shared" si="83"/>
        <v>2018</v>
      </c>
      <c r="E1317">
        <f t="shared" si="84"/>
        <v>1</v>
      </c>
      <c r="F1317" t="s">
        <v>664</v>
      </c>
      <c r="G1317" t="s">
        <v>621</v>
      </c>
      <c r="H1317" t="s">
        <v>244</v>
      </c>
      <c r="J1317">
        <v>8</v>
      </c>
      <c r="K1317">
        <f t="shared" si="85"/>
        <v>8</v>
      </c>
      <c r="R1317" t="s">
        <v>1348</v>
      </c>
    </row>
    <row r="1318" spans="1:18" x14ac:dyDescent="0.25">
      <c r="A1318" t="s">
        <v>341</v>
      </c>
      <c r="B1318" s="4">
        <v>43241</v>
      </c>
      <c r="C1318" s="9">
        <f t="shared" si="86"/>
        <v>5</v>
      </c>
      <c r="D1318">
        <f t="shared" si="83"/>
        <v>2018</v>
      </c>
      <c r="E1318">
        <f t="shared" si="84"/>
        <v>1</v>
      </c>
      <c r="F1318" t="s">
        <v>664</v>
      </c>
      <c r="G1318" t="s">
        <v>754</v>
      </c>
      <c r="H1318" t="s">
        <v>752</v>
      </c>
      <c r="J1318">
        <v>27</v>
      </c>
      <c r="K1318">
        <f t="shared" si="85"/>
        <v>27</v>
      </c>
      <c r="M1318" t="s">
        <v>753</v>
      </c>
      <c r="R1318" t="s">
        <v>1348</v>
      </c>
    </row>
    <row r="1319" spans="1:18" x14ac:dyDescent="0.25">
      <c r="A1319" t="s">
        <v>341</v>
      </c>
      <c r="B1319" s="4">
        <v>43241</v>
      </c>
      <c r="C1319" s="9">
        <f t="shared" si="86"/>
        <v>5</v>
      </c>
      <c r="D1319">
        <f t="shared" ref="D1319:D1382" si="87">YEAR(B1319)</f>
        <v>2018</v>
      </c>
      <c r="E1319">
        <f t="shared" ref="E1319:E1382" si="88">IF(OR(A1319 = "GS",A1319 = "BP"),IF( OR(A1318="GS",A1318="BP"),IF(B1318=B1319,0,1),1),0)</f>
        <v>0</v>
      </c>
      <c r="F1319" t="s">
        <v>664</v>
      </c>
      <c r="G1319" t="s">
        <v>754</v>
      </c>
      <c r="H1319" t="s">
        <v>752</v>
      </c>
      <c r="I1319">
        <v>1</v>
      </c>
      <c r="J1319">
        <v>18</v>
      </c>
      <c r="K1319">
        <f t="shared" ref="K1319:K1382" si="89">I1319*60+J1319</f>
        <v>78</v>
      </c>
      <c r="M1319" t="s">
        <v>753</v>
      </c>
      <c r="R1319" t="s">
        <v>1348</v>
      </c>
    </row>
    <row r="1320" spans="1:18" x14ac:dyDescent="0.25">
      <c r="A1320" t="s">
        <v>341</v>
      </c>
      <c r="B1320" s="4">
        <v>43241</v>
      </c>
      <c r="C1320" s="9">
        <f t="shared" si="86"/>
        <v>5</v>
      </c>
      <c r="D1320">
        <f t="shared" si="87"/>
        <v>2018</v>
      </c>
      <c r="E1320">
        <f t="shared" si="88"/>
        <v>0</v>
      </c>
      <c r="F1320" t="s">
        <v>664</v>
      </c>
      <c r="G1320" t="s">
        <v>754</v>
      </c>
      <c r="H1320" t="s">
        <v>752</v>
      </c>
      <c r="J1320">
        <v>12</v>
      </c>
      <c r="K1320">
        <f t="shared" si="89"/>
        <v>12</v>
      </c>
      <c r="M1320" t="s">
        <v>753</v>
      </c>
      <c r="R1320" t="s">
        <v>1348</v>
      </c>
    </row>
    <row r="1321" spans="1:18" x14ac:dyDescent="0.25">
      <c r="A1321" t="s">
        <v>341</v>
      </c>
      <c r="B1321" s="4">
        <v>43246</v>
      </c>
      <c r="C1321" s="9">
        <f t="shared" si="86"/>
        <v>5</v>
      </c>
      <c r="D1321">
        <f t="shared" si="87"/>
        <v>2018</v>
      </c>
      <c r="E1321">
        <f t="shared" si="88"/>
        <v>1</v>
      </c>
      <c r="F1321" t="s">
        <v>664</v>
      </c>
      <c r="G1321" t="s">
        <v>101</v>
      </c>
      <c r="H1321" t="s">
        <v>244</v>
      </c>
      <c r="J1321">
        <v>50</v>
      </c>
      <c r="K1321">
        <f t="shared" si="89"/>
        <v>50</v>
      </c>
      <c r="R1321" t="s">
        <v>1348</v>
      </c>
    </row>
    <row r="1322" spans="1:18" x14ac:dyDescent="0.25">
      <c r="A1322" t="s">
        <v>341</v>
      </c>
      <c r="B1322" s="4">
        <v>43252</v>
      </c>
      <c r="C1322" s="9">
        <f t="shared" si="86"/>
        <v>6</v>
      </c>
      <c r="D1322">
        <f t="shared" si="87"/>
        <v>2018</v>
      </c>
      <c r="E1322">
        <f t="shared" si="88"/>
        <v>1</v>
      </c>
      <c r="F1322" t="s">
        <v>664</v>
      </c>
      <c r="G1322" t="s">
        <v>101</v>
      </c>
      <c r="H1322" t="s">
        <v>244</v>
      </c>
      <c r="J1322">
        <v>41</v>
      </c>
      <c r="K1322">
        <f t="shared" si="89"/>
        <v>41</v>
      </c>
      <c r="R1322" t="s">
        <v>1348</v>
      </c>
    </row>
    <row r="1323" spans="1:18" x14ac:dyDescent="0.25">
      <c r="A1323" t="s">
        <v>341</v>
      </c>
      <c r="B1323" s="4">
        <v>43258</v>
      </c>
      <c r="C1323" s="9">
        <f t="shared" si="86"/>
        <v>6</v>
      </c>
      <c r="D1323">
        <f t="shared" si="87"/>
        <v>2018</v>
      </c>
      <c r="E1323">
        <f t="shared" si="88"/>
        <v>1</v>
      </c>
      <c r="F1323" t="s">
        <v>664</v>
      </c>
      <c r="G1323" t="s">
        <v>755</v>
      </c>
      <c r="H1323" t="s">
        <v>756</v>
      </c>
      <c r="J1323">
        <v>14</v>
      </c>
      <c r="K1323">
        <f t="shared" si="89"/>
        <v>14</v>
      </c>
      <c r="L1323" t="s">
        <v>759</v>
      </c>
      <c r="R1323" t="s">
        <v>1348</v>
      </c>
    </row>
    <row r="1324" spans="1:18" x14ac:dyDescent="0.25">
      <c r="A1324" t="s">
        <v>341</v>
      </c>
      <c r="B1324" s="4">
        <v>43258</v>
      </c>
      <c r="C1324" s="9">
        <f t="shared" si="86"/>
        <v>6</v>
      </c>
      <c r="D1324">
        <f t="shared" si="87"/>
        <v>2018</v>
      </c>
      <c r="E1324">
        <f t="shared" si="88"/>
        <v>0</v>
      </c>
      <c r="F1324" t="s">
        <v>664</v>
      </c>
      <c r="G1324" t="s">
        <v>757</v>
      </c>
      <c r="H1324" t="s">
        <v>758</v>
      </c>
      <c r="J1324">
        <v>31</v>
      </c>
      <c r="K1324">
        <f t="shared" si="89"/>
        <v>31</v>
      </c>
      <c r="L1324" t="s">
        <v>759</v>
      </c>
      <c r="R1324" t="s">
        <v>1348</v>
      </c>
    </row>
    <row r="1325" spans="1:18" x14ac:dyDescent="0.25">
      <c r="A1325" t="s">
        <v>341</v>
      </c>
      <c r="B1325" s="4">
        <v>43259</v>
      </c>
      <c r="C1325" s="9">
        <f t="shared" si="86"/>
        <v>6</v>
      </c>
      <c r="D1325">
        <f t="shared" si="87"/>
        <v>2018</v>
      </c>
      <c r="E1325">
        <f t="shared" si="88"/>
        <v>1</v>
      </c>
      <c r="F1325" t="s">
        <v>664</v>
      </c>
      <c r="G1325" t="s">
        <v>760</v>
      </c>
      <c r="H1325" t="s">
        <v>266</v>
      </c>
      <c r="J1325">
        <v>15</v>
      </c>
      <c r="K1325">
        <f t="shared" si="89"/>
        <v>15</v>
      </c>
      <c r="L1325" t="s">
        <v>759</v>
      </c>
      <c r="R1325" t="s">
        <v>1349</v>
      </c>
    </row>
    <row r="1326" spans="1:18" x14ac:dyDescent="0.25">
      <c r="A1326" t="s">
        <v>341</v>
      </c>
      <c r="B1326" s="4">
        <v>43260</v>
      </c>
      <c r="C1326" s="9">
        <f t="shared" si="86"/>
        <v>6</v>
      </c>
      <c r="D1326">
        <f t="shared" si="87"/>
        <v>2018</v>
      </c>
      <c r="E1326">
        <f t="shared" si="88"/>
        <v>1</v>
      </c>
      <c r="F1326" t="s">
        <v>664</v>
      </c>
      <c r="G1326" t="s">
        <v>167</v>
      </c>
      <c r="H1326" t="s">
        <v>167</v>
      </c>
      <c r="J1326">
        <v>59</v>
      </c>
      <c r="K1326">
        <f t="shared" si="89"/>
        <v>59</v>
      </c>
      <c r="L1326" t="s">
        <v>759</v>
      </c>
      <c r="R1326" t="s">
        <v>1348</v>
      </c>
    </row>
    <row r="1327" spans="1:18" x14ac:dyDescent="0.25">
      <c r="A1327" t="s">
        <v>341</v>
      </c>
      <c r="B1327" s="4">
        <v>43260</v>
      </c>
      <c r="C1327" s="9">
        <f t="shared" si="86"/>
        <v>6</v>
      </c>
      <c r="D1327">
        <f t="shared" si="87"/>
        <v>2018</v>
      </c>
      <c r="E1327">
        <f t="shared" si="88"/>
        <v>0</v>
      </c>
      <c r="F1327" t="s">
        <v>664</v>
      </c>
      <c r="G1327" t="s">
        <v>167</v>
      </c>
      <c r="H1327" t="s">
        <v>167</v>
      </c>
      <c r="J1327">
        <v>17</v>
      </c>
      <c r="K1327">
        <f t="shared" si="89"/>
        <v>17</v>
      </c>
      <c r="L1327" t="s">
        <v>759</v>
      </c>
      <c r="R1327" t="s">
        <v>1348</v>
      </c>
    </row>
    <row r="1328" spans="1:18" x14ac:dyDescent="0.25">
      <c r="A1328" t="s">
        <v>341</v>
      </c>
      <c r="B1328" s="4">
        <v>43260</v>
      </c>
      <c r="C1328" s="9">
        <f t="shared" si="86"/>
        <v>6</v>
      </c>
      <c r="D1328">
        <f t="shared" si="87"/>
        <v>2018</v>
      </c>
      <c r="E1328">
        <f t="shared" si="88"/>
        <v>0</v>
      </c>
      <c r="F1328" t="s">
        <v>664</v>
      </c>
      <c r="G1328" t="s">
        <v>167</v>
      </c>
      <c r="H1328" t="s">
        <v>167</v>
      </c>
      <c r="J1328">
        <v>19</v>
      </c>
      <c r="K1328">
        <f t="shared" si="89"/>
        <v>19</v>
      </c>
      <c r="L1328" t="s">
        <v>759</v>
      </c>
      <c r="R1328" t="s">
        <v>1348</v>
      </c>
    </row>
    <row r="1329" spans="1:18" x14ac:dyDescent="0.25">
      <c r="A1329" t="s">
        <v>341</v>
      </c>
      <c r="B1329" s="4">
        <v>43260</v>
      </c>
      <c r="C1329" s="9">
        <f t="shared" si="86"/>
        <v>6</v>
      </c>
      <c r="D1329">
        <f t="shared" si="87"/>
        <v>2018</v>
      </c>
      <c r="E1329">
        <f t="shared" si="88"/>
        <v>0</v>
      </c>
      <c r="F1329" t="s">
        <v>664</v>
      </c>
      <c r="G1329" t="s">
        <v>167</v>
      </c>
      <c r="H1329" t="s">
        <v>170</v>
      </c>
      <c r="J1329">
        <v>23</v>
      </c>
      <c r="K1329">
        <f t="shared" si="89"/>
        <v>23</v>
      </c>
      <c r="L1329" t="s">
        <v>759</v>
      </c>
      <c r="R1329" t="s">
        <v>1348</v>
      </c>
    </row>
    <row r="1330" spans="1:18" x14ac:dyDescent="0.25">
      <c r="A1330" t="s">
        <v>341</v>
      </c>
      <c r="B1330" s="4">
        <v>43261</v>
      </c>
      <c r="C1330" s="9">
        <f t="shared" si="86"/>
        <v>6</v>
      </c>
      <c r="D1330">
        <f t="shared" si="87"/>
        <v>2018</v>
      </c>
      <c r="E1330">
        <f t="shared" si="88"/>
        <v>1</v>
      </c>
      <c r="F1330" t="s">
        <v>664</v>
      </c>
      <c r="G1330" t="s">
        <v>167</v>
      </c>
      <c r="H1330" t="s">
        <v>170</v>
      </c>
      <c r="I1330">
        <v>2</v>
      </c>
      <c r="J1330">
        <v>8</v>
      </c>
      <c r="K1330">
        <f t="shared" si="89"/>
        <v>128</v>
      </c>
      <c r="L1330" t="s">
        <v>759</v>
      </c>
      <c r="R1330" t="s">
        <v>1348</v>
      </c>
    </row>
    <row r="1331" spans="1:18" x14ac:dyDescent="0.25">
      <c r="A1331" t="s">
        <v>341</v>
      </c>
      <c r="B1331" s="4">
        <v>43270</v>
      </c>
      <c r="C1331" s="9">
        <f t="shared" si="86"/>
        <v>6</v>
      </c>
      <c r="D1331">
        <f t="shared" si="87"/>
        <v>2018</v>
      </c>
      <c r="E1331">
        <f t="shared" si="88"/>
        <v>1</v>
      </c>
      <c r="F1331" t="s">
        <v>664</v>
      </c>
      <c r="G1331" t="s">
        <v>101</v>
      </c>
      <c r="H1331" t="s">
        <v>153</v>
      </c>
      <c r="J1331">
        <v>55</v>
      </c>
      <c r="K1331">
        <f t="shared" si="89"/>
        <v>55</v>
      </c>
      <c r="R1331" t="s">
        <v>1348</v>
      </c>
    </row>
    <row r="1332" spans="1:18" x14ac:dyDescent="0.25">
      <c r="A1332" t="s">
        <v>341</v>
      </c>
      <c r="B1332" s="4">
        <v>43271</v>
      </c>
      <c r="C1332" s="9">
        <f t="shared" si="86"/>
        <v>6</v>
      </c>
      <c r="D1332">
        <f t="shared" si="87"/>
        <v>2018</v>
      </c>
      <c r="E1332">
        <f t="shared" si="88"/>
        <v>1</v>
      </c>
      <c r="F1332" t="s">
        <v>664</v>
      </c>
      <c r="G1332" t="s">
        <v>101</v>
      </c>
      <c r="H1332" t="s">
        <v>244</v>
      </c>
      <c r="I1332">
        <v>2</v>
      </c>
      <c r="J1332">
        <v>10</v>
      </c>
      <c r="K1332">
        <f t="shared" si="89"/>
        <v>130</v>
      </c>
      <c r="R1332" t="s">
        <v>1348</v>
      </c>
    </row>
    <row r="1333" spans="1:18" x14ac:dyDescent="0.25">
      <c r="A1333" t="s">
        <v>341</v>
      </c>
      <c r="B1333" s="4">
        <v>43274</v>
      </c>
      <c r="C1333" s="9">
        <f t="shared" si="86"/>
        <v>6</v>
      </c>
      <c r="D1333">
        <f t="shared" si="87"/>
        <v>2018</v>
      </c>
      <c r="E1333">
        <f t="shared" si="88"/>
        <v>1</v>
      </c>
      <c r="F1333" t="s">
        <v>664</v>
      </c>
      <c r="G1333" t="s">
        <v>761</v>
      </c>
      <c r="H1333" t="s">
        <v>762</v>
      </c>
      <c r="I1333">
        <v>2</v>
      </c>
      <c r="J1333">
        <v>5</v>
      </c>
      <c r="K1333">
        <f t="shared" si="89"/>
        <v>125</v>
      </c>
      <c r="L1333" t="s">
        <v>763</v>
      </c>
      <c r="M1333" t="s">
        <v>769</v>
      </c>
      <c r="Q1333">
        <v>53.1</v>
      </c>
      <c r="R1333" t="s">
        <v>1359</v>
      </c>
    </row>
    <row r="1334" spans="1:18" x14ac:dyDescent="0.25">
      <c r="A1334" t="s">
        <v>341</v>
      </c>
      <c r="B1334" s="4">
        <v>43274</v>
      </c>
      <c r="C1334" s="9">
        <f t="shared" si="86"/>
        <v>6</v>
      </c>
      <c r="D1334">
        <f t="shared" si="87"/>
        <v>2018</v>
      </c>
      <c r="E1334">
        <f t="shared" si="88"/>
        <v>0</v>
      </c>
      <c r="F1334" t="s">
        <v>664</v>
      </c>
      <c r="G1334" t="s">
        <v>761</v>
      </c>
      <c r="H1334" t="s">
        <v>761</v>
      </c>
      <c r="J1334">
        <v>14</v>
      </c>
      <c r="K1334">
        <f t="shared" si="89"/>
        <v>14</v>
      </c>
      <c r="L1334" t="s">
        <v>763</v>
      </c>
      <c r="M1334" t="s">
        <v>769</v>
      </c>
      <c r="R1334" t="s">
        <v>1359</v>
      </c>
    </row>
    <row r="1335" spans="1:18" x14ac:dyDescent="0.25">
      <c r="A1335" t="s">
        <v>341</v>
      </c>
      <c r="B1335" s="4">
        <v>43274</v>
      </c>
      <c r="C1335" s="9">
        <f t="shared" si="86"/>
        <v>6</v>
      </c>
      <c r="D1335">
        <f t="shared" si="87"/>
        <v>2018</v>
      </c>
      <c r="E1335">
        <f t="shared" si="88"/>
        <v>0</v>
      </c>
      <c r="F1335" t="s">
        <v>664</v>
      </c>
      <c r="G1335" t="s">
        <v>761</v>
      </c>
      <c r="H1335" t="s">
        <v>765</v>
      </c>
      <c r="J1335">
        <v>14</v>
      </c>
      <c r="K1335">
        <f t="shared" si="89"/>
        <v>14</v>
      </c>
      <c r="L1335" t="s">
        <v>763</v>
      </c>
      <c r="M1335" t="s">
        <v>769</v>
      </c>
      <c r="R1335" t="s">
        <v>1359</v>
      </c>
    </row>
    <row r="1336" spans="1:18" x14ac:dyDescent="0.25">
      <c r="A1336" t="s">
        <v>341</v>
      </c>
      <c r="B1336" s="4">
        <v>43275</v>
      </c>
      <c r="C1336" s="9">
        <f t="shared" si="86"/>
        <v>6</v>
      </c>
      <c r="D1336">
        <f t="shared" si="87"/>
        <v>2018</v>
      </c>
      <c r="E1336">
        <f t="shared" si="88"/>
        <v>1</v>
      </c>
      <c r="F1336" t="s">
        <v>664</v>
      </c>
      <c r="G1336" t="s">
        <v>766</v>
      </c>
      <c r="H1336" t="s">
        <v>767</v>
      </c>
      <c r="I1336">
        <v>1</v>
      </c>
      <c r="J1336">
        <v>36</v>
      </c>
      <c r="K1336">
        <f t="shared" si="89"/>
        <v>96</v>
      </c>
      <c r="L1336" t="s">
        <v>763</v>
      </c>
      <c r="M1336" t="s">
        <v>768</v>
      </c>
      <c r="Q1336">
        <v>11.1</v>
      </c>
      <c r="R1336" t="s">
        <v>1359</v>
      </c>
    </row>
    <row r="1337" spans="1:18" x14ac:dyDescent="0.25">
      <c r="A1337" t="s">
        <v>341</v>
      </c>
      <c r="B1337" s="4">
        <v>43277</v>
      </c>
      <c r="C1337" s="9">
        <f t="shared" si="86"/>
        <v>6</v>
      </c>
      <c r="D1337">
        <f t="shared" si="87"/>
        <v>2018</v>
      </c>
      <c r="E1337">
        <f t="shared" si="88"/>
        <v>1</v>
      </c>
      <c r="F1337" t="s">
        <v>664</v>
      </c>
      <c r="G1337" t="s">
        <v>770</v>
      </c>
      <c r="H1337" t="s">
        <v>771</v>
      </c>
      <c r="J1337">
        <v>15</v>
      </c>
      <c r="K1337">
        <f t="shared" si="89"/>
        <v>15</v>
      </c>
      <c r="L1337" t="s">
        <v>763</v>
      </c>
      <c r="M1337" t="s">
        <v>772</v>
      </c>
      <c r="R1337" t="s">
        <v>1359</v>
      </c>
    </row>
    <row r="1338" spans="1:18" x14ac:dyDescent="0.25">
      <c r="A1338" t="s">
        <v>341</v>
      </c>
      <c r="B1338" s="4">
        <v>43277</v>
      </c>
      <c r="C1338" s="9">
        <f t="shared" si="86"/>
        <v>6</v>
      </c>
      <c r="D1338">
        <f t="shared" si="87"/>
        <v>2018</v>
      </c>
      <c r="E1338">
        <f t="shared" si="88"/>
        <v>0</v>
      </c>
      <c r="F1338" t="s">
        <v>664</v>
      </c>
      <c r="G1338" t="s">
        <v>770</v>
      </c>
      <c r="H1338" t="s">
        <v>773</v>
      </c>
      <c r="I1338">
        <v>1</v>
      </c>
      <c r="J1338">
        <v>54</v>
      </c>
      <c r="K1338">
        <f t="shared" si="89"/>
        <v>114</v>
      </c>
      <c r="L1338" t="s">
        <v>763</v>
      </c>
      <c r="M1338" t="s">
        <v>774</v>
      </c>
      <c r="Q1338">
        <v>47.8</v>
      </c>
      <c r="R1338" t="s">
        <v>1359</v>
      </c>
    </row>
    <row r="1339" spans="1:18" x14ac:dyDescent="0.25">
      <c r="A1339" t="s">
        <v>341</v>
      </c>
      <c r="B1339" s="4">
        <v>43278</v>
      </c>
      <c r="C1339" s="9">
        <f t="shared" si="86"/>
        <v>6</v>
      </c>
      <c r="D1339">
        <f t="shared" si="87"/>
        <v>2018</v>
      </c>
      <c r="E1339">
        <f t="shared" si="88"/>
        <v>1</v>
      </c>
      <c r="F1339" t="s">
        <v>664</v>
      </c>
      <c r="G1339" t="s">
        <v>776</v>
      </c>
      <c r="H1339" t="s">
        <v>777</v>
      </c>
      <c r="I1339">
        <v>1</v>
      </c>
      <c r="J1339">
        <v>47</v>
      </c>
      <c r="K1339">
        <f t="shared" si="89"/>
        <v>107</v>
      </c>
      <c r="L1339" t="s">
        <v>763</v>
      </c>
      <c r="M1339" t="s">
        <v>778</v>
      </c>
      <c r="Q1339">
        <v>52.1</v>
      </c>
      <c r="R1339" t="s">
        <v>1359</v>
      </c>
    </row>
    <row r="1340" spans="1:18" x14ac:dyDescent="0.25">
      <c r="A1340" t="s">
        <v>341</v>
      </c>
      <c r="B1340" s="4">
        <v>43279</v>
      </c>
      <c r="C1340" s="9">
        <f t="shared" si="86"/>
        <v>6</v>
      </c>
      <c r="D1340">
        <f t="shared" si="87"/>
        <v>2018</v>
      </c>
      <c r="E1340">
        <f t="shared" si="88"/>
        <v>1</v>
      </c>
      <c r="F1340" t="s">
        <v>664</v>
      </c>
      <c r="G1340" t="s">
        <v>776</v>
      </c>
      <c r="H1340" t="s">
        <v>779</v>
      </c>
      <c r="J1340">
        <v>49</v>
      </c>
      <c r="K1340">
        <f t="shared" si="89"/>
        <v>49</v>
      </c>
      <c r="L1340" t="s">
        <v>763</v>
      </c>
      <c r="M1340" t="s">
        <v>775</v>
      </c>
      <c r="R1340" t="s">
        <v>1359</v>
      </c>
    </row>
    <row r="1341" spans="1:18" x14ac:dyDescent="0.25">
      <c r="A1341" t="s">
        <v>341</v>
      </c>
      <c r="B1341" s="4">
        <v>43279</v>
      </c>
      <c r="C1341" s="9">
        <f t="shared" si="86"/>
        <v>6</v>
      </c>
      <c r="D1341">
        <f t="shared" si="87"/>
        <v>2018</v>
      </c>
      <c r="E1341">
        <f t="shared" si="88"/>
        <v>0</v>
      </c>
      <c r="F1341" t="s">
        <v>664</v>
      </c>
      <c r="G1341" t="s">
        <v>780</v>
      </c>
      <c r="H1341" t="s">
        <v>780</v>
      </c>
      <c r="J1341">
        <v>14</v>
      </c>
      <c r="K1341">
        <f t="shared" si="89"/>
        <v>14</v>
      </c>
      <c r="L1341" t="s">
        <v>763</v>
      </c>
      <c r="M1341" t="s">
        <v>772</v>
      </c>
      <c r="R1341" t="s">
        <v>1359</v>
      </c>
    </row>
    <row r="1342" spans="1:18" x14ac:dyDescent="0.25">
      <c r="A1342" t="s">
        <v>341</v>
      </c>
      <c r="B1342" s="4">
        <v>43280</v>
      </c>
      <c r="C1342" s="9">
        <f t="shared" si="86"/>
        <v>6</v>
      </c>
      <c r="D1342">
        <f t="shared" si="87"/>
        <v>2018</v>
      </c>
      <c r="E1342">
        <f t="shared" si="88"/>
        <v>1</v>
      </c>
      <c r="F1342" t="s">
        <v>664</v>
      </c>
      <c r="G1342" t="s">
        <v>770</v>
      </c>
      <c r="H1342" t="s">
        <v>781</v>
      </c>
      <c r="J1342">
        <v>36</v>
      </c>
      <c r="K1342">
        <f t="shared" si="89"/>
        <v>36</v>
      </c>
      <c r="L1342" t="s">
        <v>763</v>
      </c>
      <c r="M1342" t="s">
        <v>772</v>
      </c>
      <c r="R1342" t="s">
        <v>1359</v>
      </c>
    </row>
    <row r="1343" spans="1:18" x14ac:dyDescent="0.25">
      <c r="A1343" t="s">
        <v>341</v>
      </c>
      <c r="B1343" s="4">
        <v>43294</v>
      </c>
      <c r="C1343" s="9">
        <f t="shared" si="86"/>
        <v>7</v>
      </c>
      <c r="D1343">
        <f t="shared" si="87"/>
        <v>2018</v>
      </c>
      <c r="E1343">
        <f t="shared" si="88"/>
        <v>1</v>
      </c>
      <c r="F1343" t="s">
        <v>664</v>
      </c>
      <c r="G1343" t="s">
        <v>595</v>
      </c>
      <c r="H1343" t="s">
        <v>741</v>
      </c>
      <c r="I1343">
        <v>1</v>
      </c>
      <c r="J1343">
        <v>14</v>
      </c>
      <c r="K1343">
        <f t="shared" si="89"/>
        <v>74</v>
      </c>
      <c r="R1343" t="s">
        <v>1348</v>
      </c>
    </row>
    <row r="1344" spans="1:18" x14ac:dyDescent="0.25">
      <c r="A1344" t="s">
        <v>341</v>
      </c>
      <c r="B1344" s="4">
        <v>43295</v>
      </c>
      <c r="C1344" s="9">
        <f t="shared" si="86"/>
        <v>7</v>
      </c>
      <c r="D1344">
        <f t="shared" si="87"/>
        <v>2018</v>
      </c>
      <c r="E1344">
        <f t="shared" si="88"/>
        <v>1</v>
      </c>
      <c r="F1344" t="s">
        <v>664</v>
      </c>
      <c r="G1344" t="s">
        <v>101</v>
      </c>
      <c r="H1344" t="s">
        <v>153</v>
      </c>
      <c r="J1344">
        <v>40</v>
      </c>
      <c r="K1344">
        <f t="shared" si="89"/>
        <v>40</v>
      </c>
      <c r="R1344" t="s">
        <v>1348</v>
      </c>
    </row>
    <row r="1345" spans="1:18" x14ac:dyDescent="0.25">
      <c r="A1345" t="s">
        <v>341</v>
      </c>
      <c r="B1345" s="4">
        <v>43299</v>
      </c>
      <c r="C1345" s="9">
        <f t="shared" si="86"/>
        <v>7</v>
      </c>
      <c r="D1345">
        <f t="shared" si="87"/>
        <v>2018</v>
      </c>
      <c r="E1345">
        <f t="shared" si="88"/>
        <v>1</v>
      </c>
      <c r="F1345" t="s">
        <v>664</v>
      </c>
      <c r="G1345" t="s">
        <v>595</v>
      </c>
      <c r="H1345" t="s">
        <v>244</v>
      </c>
      <c r="I1345">
        <v>2</v>
      </c>
      <c r="J1345">
        <v>13</v>
      </c>
      <c r="K1345">
        <f t="shared" si="89"/>
        <v>133</v>
      </c>
      <c r="R1345" t="s">
        <v>1348</v>
      </c>
    </row>
    <row r="1346" spans="1:18" x14ac:dyDescent="0.25">
      <c r="A1346" t="s">
        <v>341</v>
      </c>
      <c r="B1346" s="4">
        <v>43300</v>
      </c>
      <c r="C1346" s="9">
        <f t="shared" si="86"/>
        <v>7</v>
      </c>
      <c r="D1346">
        <f t="shared" si="87"/>
        <v>2018</v>
      </c>
      <c r="E1346">
        <f t="shared" si="88"/>
        <v>1</v>
      </c>
      <c r="F1346" t="s">
        <v>664</v>
      </c>
      <c r="G1346" t="s">
        <v>595</v>
      </c>
      <c r="H1346" t="s">
        <v>153</v>
      </c>
      <c r="J1346">
        <v>39</v>
      </c>
      <c r="K1346">
        <f t="shared" si="89"/>
        <v>39</v>
      </c>
      <c r="R1346" t="s">
        <v>1348</v>
      </c>
    </row>
    <row r="1347" spans="1:18" x14ac:dyDescent="0.25">
      <c r="A1347" t="s">
        <v>341</v>
      </c>
      <c r="B1347" s="4">
        <v>43305</v>
      </c>
      <c r="C1347" s="9">
        <f t="shared" ref="C1347:C1410" si="90">MONTH(B1347)</f>
        <v>7</v>
      </c>
      <c r="D1347">
        <f t="shared" si="87"/>
        <v>2018</v>
      </c>
      <c r="E1347">
        <f t="shared" si="88"/>
        <v>1</v>
      </c>
      <c r="F1347" t="s">
        <v>664</v>
      </c>
      <c r="G1347" t="s">
        <v>595</v>
      </c>
      <c r="H1347" t="s">
        <v>273</v>
      </c>
      <c r="I1347">
        <v>1</v>
      </c>
      <c r="J1347">
        <v>42</v>
      </c>
      <c r="K1347">
        <f t="shared" si="89"/>
        <v>102</v>
      </c>
      <c r="M1347" t="s">
        <v>786</v>
      </c>
      <c r="R1347" t="s">
        <v>1348</v>
      </c>
    </row>
    <row r="1348" spans="1:18" x14ac:dyDescent="0.25">
      <c r="A1348" t="s">
        <v>341</v>
      </c>
      <c r="B1348" s="4">
        <v>43306</v>
      </c>
      <c r="C1348" s="9">
        <f t="shared" si="90"/>
        <v>7</v>
      </c>
      <c r="D1348">
        <f t="shared" si="87"/>
        <v>2018</v>
      </c>
      <c r="E1348">
        <f t="shared" si="88"/>
        <v>1</v>
      </c>
      <c r="F1348" t="s">
        <v>664</v>
      </c>
      <c r="G1348" t="s">
        <v>409</v>
      </c>
      <c r="H1348" t="s">
        <v>153</v>
      </c>
      <c r="J1348">
        <v>35</v>
      </c>
      <c r="K1348">
        <f t="shared" si="89"/>
        <v>35</v>
      </c>
      <c r="R1348" t="s">
        <v>1348</v>
      </c>
    </row>
    <row r="1349" spans="1:18" x14ac:dyDescent="0.25">
      <c r="A1349" t="s">
        <v>341</v>
      </c>
      <c r="B1349" s="4">
        <v>43316</v>
      </c>
      <c r="C1349" s="9">
        <f t="shared" si="90"/>
        <v>8</v>
      </c>
      <c r="D1349">
        <f t="shared" si="87"/>
        <v>2018</v>
      </c>
      <c r="E1349">
        <f t="shared" si="88"/>
        <v>1</v>
      </c>
      <c r="F1349" t="s">
        <v>664</v>
      </c>
      <c r="G1349" t="s">
        <v>595</v>
      </c>
      <c r="H1349" t="s">
        <v>153</v>
      </c>
      <c r="J1349">
        <v>54</v>
      </c>
      <c r="K1349">
        <f t="shared" si="89"/>
        <v>54</v>
      </c>
      <c r="R1349" t="s">
        <v>1348</v>
      </c>
    </row>
    <row r="1350" spans="1:18" x14ac:dyDescent="0.25">
      <c r="A1350" t="s">
        <v>341</v>
      </c>
      <c r="B1350" s="4">
        <v>43317</v>
      </c>
      <c r="C1350" s="9">
        <f t="shared" si="90"/>
        <v>8</v>
      </c>
      <c r="D1350">
        <f t="shared" si="87"/>
        <v>2018</v>
      </c>
      <c r="E1350">
        <f t="shared" si="88"/>
        <v>1</v>
      </c>
      <c r="F1350" t="s">
        <v>664</v>
      </c>
      <c r="G1350" t="s">
        <v>406</v>
      </c>
      <c r="H1350" t="s">
        <v>741</v>
      </c>
      <c r="I1350">
        <v>1</v>
      </c>
      <c r="J1350">
        <v>38</v>
      </c>
      <c r="K1350">
        <f t="shared" si="89"/>
        <v>98</v>
      </c>
      <c r="R1350" t="s">
        <v>1348</v>
      </c>
    </row>
    <row r="1351" spans="1:18" x14ac:dyDescent="0.25">
      <c r="A1351" t="s">
        <v>341</v>
      </c>
      <c r="B1351" s="4">
        <v>43324</v>
      </c>
      <c r="C1351" s="9">
        <f t="shared" si="90"/>
        <v>8</v>
      </c>
      <c r="D1351">
        <f t="shared" si="87"/>
        <v>2018</v>
      </c>
      <c r="E1351">
        <f t="shared" si="88"/>
        <v>1</v>
      </c>
      <c r="F1351" t="s">
        <v>664</v>
      </c>
      <c r="G1351" t="s">
        <v>101</v>
      </c>
      <c r="H1351" t="s">
        <v>244</v>
      </c>
      <c r="J1351">
        <v>12</v>
      </c>
      <c r="K1351">
        <f t="shared" si="89"/>
        <v>12</v>
      </c>
      <c r="M1351" t="s">
        <v>587</v>
      </c>
      <c r="R1351" t="s">
        <v>1348</v>
      </c>
    </row>
    <row r="1352" spans="1:18" x14ac:dyDescent="0.25">
      <c r="A1352" t="s">
        <v>341</v>
      </c>
      <c r="B1352" s="4">
        <v>43333</v>
      </c>
      <c r="C1352" s="9">
        <f t="shared" si="90"/>
        <v>8</v>
      </c>
      <c r="D1352">
        <f t="shared" si="87"/>
        <v>2018</v>
      </c>
      <c r="E1352">
        <f t="shared" si="88"/>
        <v>1</v>
      </c>
      <c r="F1352" t="s">
        <v>664</v>
      </c>
      <c r="G1352" t="s">
        <v>595</v>
      </c>
      <c r="H1352" t="s">
        <v>153</v>
      </c>
      <c r="J1352">
        <v>30</v>
      </c>
      <c r="K1352">
        <f t="shared" si="89"/>
        <v>30</v>
      </c>
      <c r="R1352" t="s">
        <v>1348</v>
      </c>
    </row>
    <row r="1353" spans="1:18" x14ac:dyDescent="0.25">
      <c r="A1353" t="s">
        <v>341</v>
      </c>
      <c r="B1353" s="4">
        <v>43334</v>
      </c>
      <c r="C1353" s="9">
        <f t="shared" si="90"/>
        <v>8</v>
      </c>
      <c r="D1353">
        <f t="shared" si="87"/>
        <v>2018</v>
      </c>
      <c r="E1353">
        <f t="shared" si="88"/>
        <v>1</v>
      </c>
      <c r="F1353" t="s">
        <v>664</v>
      </c>
      <c r="G1353" t="s">
        <v>595</v>
      </c>
      <c r="H1353" t="s">
        <v>244</v>
      </c>
      <c r="J1353">
        <v>18</v>
      </c>
      <c r="K1353">
        <f t="shared" si="89"/>
        <v>18</v>
      </c>
      <c r="R1353" t="s">
        <v>1348</v>
      </c>
    </row>
    <row r="1354" spans="1:18" x14ac:dyDescent="0.25">
      <c r="A1354" t="s">
        <v>341</v>
      </c>
      <c r="B1354" s="4">
        <v>43335</v>
      </c>
      <c r="C1354" s="9">
        <f t="shared" si="90"/>
        <v>8</v>
      </c>
      <c r="D1354">
        <f t="shared" si="87"/>
        <v>2018</v>
      </c>
      <c r="E1354">
        <f t="shared" si="88"/>
        <v>1</v>
      </c>
      <c r="F1354" t="s">
        <v>664</v>
      </c>
      <c r="G1354" t="s">
        <v>101</v>
      </c>
      <c r="H1354" t="s">
        <v>153</v>
      </c>
      <c r="I1354">
        <v>1</v>
      </c>
      <c r="J1354">
        <v>34</v>
      </c>
      <c r="K1354">
        <f t="shared" si="89"/>
        <v>94</v>
      </c>
      <c r="R1354" t="s">
        <v>1348</v>
      </c>
    </row>
    <row r="1355" spans="1:18" x14ac:dyDescent="0.25">
      <c r="A1355" t="s">
        <v>341</v>
      </c>
      <c r="B1355" s="4">
        <v>43339</v>
      </c>
      <c r="C1355" s="9">
        <f t="shared" si="90"/>
        <v>8</v>
      </c>
      <c r="D1355">
        <f t="shared" si="87"/>
        <v>2018</v>
      </c>
      <c r="E1355">
        <f t="shared" si="88"/>
        <v>1</v>
      </c>
      <c r="F1355" t="s">
        <v>664</v>
      </c>
      <c r="G1355" t="s">
        <v>101</v>
      </c>
      <c r="H1355" t="s">
        <v>244</v>
      </c>
      <c r="I1355">
        <v>1</v>
      </c>
      <c r="J1355">
        <v>28</v>
      </c>
      <c r="K1355">
        <f t="shared" si="89"/>
        <v>88</v>
      </c>
      <c r="R1355" t="s">
        <v>1348</v>
      </c>
    </row>
    <row r="1356" spans="1:18" x14ac:dyDescent="0.25">
      <c r="A1356" t="s">
        <v>341</v>
      </c>
      <c r="B1356" s="4">
        <v>43344</v>
      </c>
      <c r="C1356" s="9">
        <f t="shared" si="90"/>
        <v>9</v>
      </c>
      <c r="D1356">
        <f t="shared" si="87"/>
        <v>2018</v>
      </c>
      <c r="E1356">
        <f t="shared" si="88"/>
        <v>1</v>
      </c>
      <c r="F1356" t="s">
        <v>664</v>
      </c>
      <c r="G1356" t="s">
        <v>697</v>
      </c>
      <c r="H1356" t="s">
        <v>698</v>
      </c>
      <c r="I1356">
        <v>1</v>
      </c>
      <c r="J1356">
        <v>2</v>
      </c>
      <c r="K1356">
        <f t="shared" si="89"/>
        <v>62</v>
      </c>
      <c r="L1356" t="s">
        <v>696</v>
      </c>
      <c r="M1356" t="s">
        <v>804</v>
      </c>
      <c r="R1356" t="s">
        <v>1354</v>
      </c>
    </row>
    <row r="1357" spans="1:18" x14ac:dyDescent="0.25">
      <c r="A1357" t="s">
        <v>341</v>
      </c>
      <c r="B1357" s="4">
        <v>43344</v>
      </c>
      <c r="C1357" s="9">
        <f t="shared" si="90"/>
        <v>9</v>
      </c>
      <c r="D1357">
        <f t="shared" si="87"/>
        <v>2018</v>
      </c>
      <c r="E1357">
        <f t="shared" si="88"/>
        <v>0</v>
      </c>
      <c r="F1357" t="s">
        <v>664</v>
      </c>
      <c r="G1357" t="s">
        <v>697</v>
      </c>
      <c r="H1357" t="s">
        <v>788</v>
      </c>
      <c r="I1357">
        <v>1</v>
      </c>
      <c r="J1357">
        <v>39</v>
      </c>
      <c r="K1357">
        <f t="shared" si="89"/>
        <v>99</v>
      </c>
      <c r="L1357" t="s">
        <v>696</v>
      </c>
      <c r="R1357" t="s">
        <v>1354</v>
      </c>
    </row>
    <row r="1358" spans="1:18" x14ac:dyDescent="0.25">
      <c r="A1358" t="s">
        <v>341</v>
      </c>
      <c r="B1358" s="4">
        <v>43345</v>
      </c>
      <c r="C1358" s="9">
        <f t="shared" si="90"/>
        <v>9</v>
      </c>
      <c r="D1358">
        <f t="shared" si="87"/>
        <v>2018</v>
      </c>
      <c r="E1358">
        <f t="shared" si="88"/>
        <v>1</v>
      </c>
      <c r="F1358" t="s">
        <v>664</v>
      </c>
      <c r="G1358" t="s">
        <v>697</v>
      </c>
      <c r="H1358" t="s">
        <v>697</v>
      </c>
      <c r="J1358">
        <v>18</v>
      </c>
      <c r="K1358">
        <f t="shared" si="89"/>
        <v>18</v>
      </c>
      <c r="L1358" t="s">
        <v>696</v>
      </c>
      <c r="R1358" t="s">
        <v>1354</v>
      </c>
    </row>
    <row r="1359" spans="1:18" x14ac:dyDescent="0.25">
      <c r="A1359" t="s">
        <v>341</v>
      </c>
      <c r="B1359" s="4">
        <v>43345</v>
      </c>
      <c r="C1359" s="9">
        <f t="shared" si="90"/>
        <v>9</v>
      </c>
      <c r="D1359">
        <f t="shared" si="87"/>
        <v>2018</v>
      </c>
      <c r="E1359">
        <f t="shared" si="88"/>
        <v>0</v>
      </c>
      <c r="F1359" t="s">
        <v>664</v>
      </c>
      <c r="G1359" t="s">
        <v>697</v>
      </c>
      <c r="H1359" t="s">
        <v>697</v>
      </c>
      <c r="I1359">
        <v>1</v>
      </c>
      <c r="J1359">
        <v>1</v>
      </c>
      <c r="K1359">
        <f t="shared" si="89"/>
        <v>61</v>
      </c>
      <c r="L1359" t="s">
        <v>696</v>
      </c>
      <c r="R1359" t="s">
        <v>1354</v>
      </c>
    </row>
    <row r="1360" spans="1:18" x14ac:dyDescent="0.25">
      <c r="A1360" t="s">
        <v>341</v>
      </c>
      <c r="B1360" s="4">
        <v>43345</v>
      </c>
      <c r="C1360" s="9">
        <f t="shared" si="90"/>
        <v>9</v>
      </c>
      <c r="D1360">
        <f t="shared" si="87"/>
        <v>2018</v>
      </c>
      <c r="E1360">
        <f t="shared" si="88"/>
        <v>0</v>
      </c>
      <c r="F1360" t="s">
        <v>664</v>
      </c>
      <c r="G1360" t="s">
        <v>697</v>
      </c>
      <c r="H1360" t="s">
        <v>699</v>
      </c>
      <c r="J1360">
        <v>58</v>
      </c>
      <c r="K1360">
        <f t="shared" si="89"/>
        <v>58</v>
      </c>
      <c r="L1360" t="s">
        <v>696</v>
      </c>
      <c r="R1360" t="s">
        <v>1354</v>
      </c>
    </row>
    <row r="1361" spans="1:18" x14ac:dyDescent="0.25">
      <c r="A1361" t="s">
        <v>341</v>
      </c>
      <c r="B1361" s="4">
        <v>43346</v>
      </c>
      <c r="C1361" s="9">
        <f t="shared" si="90"/>
        <v>9</v>
      </c>
      <c r="D1361">
        <f t="shared" si="87"/>
        <v>2018</v>
      </c>
      <c r="E1361">
        <f t="shared" si="88"/>
        <v>1</v>
      </c>
      <c r="F1361" t="s">
        <v>664</v>
      </c>
      <c r="G1361" t="s">
        <v>707</v>
      </c>
      <c r="H1361" t="s">
        <v>707</v>
      </c>
      <c r="I1361">
        <v>1</v>
      </c>
      <c r="J1361">
        <v>7</v>
      </c>
      <c r="K1361">
        <f t="shared" si="89"/>
        <v>67</v>
      </c>
      <c r="L1361" t="s">
        <v>696</v>
      </c>
      <c r="R1361" t="s">
        <v>1354</v>
      </c>
    </row>
    <row r="1362" spans="1:18" x14ac:dyDescent="0.25">
      <c r="A1362" t="s">
        <v>341</v>
      </c>
      <c r="B1362" s="4">
        <v>43346</v>
      </c>
      <c r="C1362" s="9">
        <f t="shared" si="90"/>
        <v>9</v>
      </c>
      <c r="D1362">
        <f t="shared" si="87"/>
        <v>2018</v>
      </c>
      <c r="E1362">
        <f t="shared" si="88"/>
        <v>0</v>
      </c>
      <c r="F1362" t="s">
        <v>664</v>
      </c>
      <c r="G1362" t="s">
        <v>707</v>
      </c>
      <c r="H1362" t="s">
        <v>700</v>
      </c>
      <c r="J1362">
        <v>22</v>
      </c>
      <c r="K1362">
        <f t="shared" si="89"/>
        <v>22</v>
      </c>
      <c r="L1362" t="s">
        <v>696</v>
      </c>
      <c r="R1362" t="s">
        <v>1354</v>
      </c>
    </row>
    <row r="1363" spans="1:18" x14ac:dyDescent="0.25">
      <c r="A1363" t="s">
        <v>341</v>
      </c>
      <c r="B1363" s="4">
        <v>43347</v>
      </c>
      <c r="C1363" s="9">
        <f t="shared" si="90"/>
        <v>9</v>
      </c>
      <c r="D1363">
        <f t="shared" si="87"/>
        <v>2018</v>
      </c>
      <c r="E1363">
        <f t="shared" si="88"/>
        <v>1</v>
      </c>
      <c r="F1363" t="s">
        <v>664</v>
      </c>
      <c r="G1363" t="s">
        <v>707</v>
      </c>
      <c r="H1363" t="s">
        <v>700</v>
      </c>
      <c r="I1363">
        <v>1</v>
      </c>
      <c r="J1363">
        <v>51</v>
      </c>
      <c r="K1363">
        <f t="shared" si="89"/>
        <v>111</v>
      </c>
      <c r="L1363" t="s">
        <v>696</v>
      </c>
      <c r="R1363" t="s">
        <v>1354</v>
      </c>
    </row>
    <row r="1364" spans="1:18" x14ac:dyDescent="0.25">
      <c r="A1364" t="s">
        <v>341</v>
      </c>
      <c r="B1364" s="4">
        <v>43348</v>
      </c>
      <c r="C1364" s="9">
        <f t="shared" si="90"/>
        <v>9</v>
      </c>
      <c r="D1364">
        <f t="shared" si="87"/>
        <v>2018</v>
      </c>
      <c r="E1364">
        <f t="shared" si="88"/>
        <v>1</v>
      </c>
      <c r="F1364" t="s">
        <v>664</v>
      </c>
      <c r="G1364" t="s">
        <v>789</v>
      </c>
      <c r="H1364" t="s">
        <v>790</v>
      </c>
      <c r="J1364">
        <v>45</v>
      </c>
      <c r="K1364">
        <f t="shared" si="89"/>
        <v>45</v>
      </c>
      <c r="L1364" t="s">
        <v>696</v>
      </c>
      <c r="R1364" t="s">
        <v>1354</v>
      </c>
    </row>
    <row r="1365" spans="1:18" x14ac:dyDescent="0.25">
      <c r="A1365" t="s">
        <v>341</v>
      </c>
      <c r="B1365" s="4">
        <v>43349</v>
      </c>
      <c r="C1365" s="9">
        <f t="shared" si="90"/>
        <v>9</v>
      </c>
      <c r="D1365">
        <f t="shared" si="87"/>
        <v>2018</v>
      </c>
      <c r="E1365">
        <f t="shared" si="88"/>
        <v>1</v>
      </c>
      <c r="F1365" t="s">
        <v>664</v>
      </c>
      <c r="G1365" t="s">
        <v>789</v>
      </c>
      <c r="H1365" t="s">
        <v>790</v>
      </c>
      <c r="I1365">
        <v>1</v>
      </c>
      <c r="J1365">
        <v>12</v>
      </c>
      <c r="K1365">
        <f t="shared" si="89"/>
        <v>72</v>
      </c>
      <c r="L1365" t="s">
        <v>696</v>
      </c>
      <c r="R1365" t="s">
        <v>1354</v>
      </c>
    </row>
    <row r="1366" spans="1:18" x14ac:dyDescent="0.25">
      <c r="A1366" t="s">
        <v>341</v>
      </c>
      <c r="B1366" s="4">
        <v>43350</v>
      </c>
      <c r="C1366" s="9">
        <f t="shared" si="90"/>
        <v>9</v>
      </c>
      <c r="D1366">
        <f t="shared" si="87"/>
        <v>2018</v>
      </c>
      <c r="E1366">
        <f t="shared" si="88"/>
        <v>1</v>
      </c>
      <c r="F1366" t="s">
        <v>664</v>
      </c>
      <c r="G1366" t="s">
        <v>791</v>
      </c>
      <c r="H1366" t="s">
        <v>791</v>
      </c>
      <c r="J1366">
        <v>39</v>
      </c>
      <c r="K1366">
        <f t="shared" si="89"/>
        <v>39</v>
      </c>
      <c r="L1366" t="s">
        <v>696</v>
      </c>
      <c r="R1366" t="s">
        <v>1354</v>
      </c>
    </row>
    <row r="1367" spans="1:18" x14ac:dyDescent="0.25">
      <c r="A1367" t="s">
        <v>341</v>
      </c>
      <c r="B1367" s="4">
        <v>43350</v>
      </c>
      <c r="C1367" s="9">
        <f t="shared" si="90"/>
        <v>9</v>
      </c>
      <c r="D1367">
        <f t="shared" si="87"/>
        <v>2018</v>
      </c>
      <c r="E1367">
        <f t="shared" si="88"/>
        <v>0</v>
      </c>
      <c r="F1367" t="s">
        <v>664</v>
      </c>
      <c r="G1367" t="s">
        <v>791</v>
      </c>
      <c r="H1367" t="s">
        <v>792</v>
      </c>
      <c r="J1367">
        <v>40</v>
      </c>
      <c r="K1367">
        <f t="shared" si="89"/>
        <v>40</v>
      </c>
      <c r="L1367" t="s">
        <v>696</v>
      </c>
      <c r="R1367" t="s">
        <v>1354</v>
      </c>
    </row>
    <row r="1368" spans="1:18" x14ac:dyDescent="0.25">
      <c r="A1368" t="s">
        <v>341</v>
      </c>
      <c r="B1368" s="4">
        <v>43352</v>
      </c>
      <c r="C1368" s="9">
        <f t="shared" si="90"/>
        <v>9</v>
      </c>
      <c r="D1368">
        <f t="shared" si="87"/>
        <v>2018</v>
      </c>
      <c r="E1368">
        <f t="shared" si="88"/>
        <v>1</v>
      </c>
      <c r="F1368" t="s">
        <v>664</v>
      </c>
      <c r="G1368" t="s">
        <v>792</v>
      </c>
      <c r="H1368" t="s">
        <v>793</v>
      </c>
      <c r="I1368">
        <v>1</v>
      </c>
      <c r="J1368">
        <v>38</v>
      </c>
      <c r="K1368">
        <f t="shared" si="89"/>
        <v>98</v>
      </c>
      <c r="L1368" t="s">
        <v>787</v>
      </c>
      <c r="M1368" t="s">
        <v>805</v>
      </c>
      <c r="R1368" t="s">
        <v>1354</v>
      </c>
    </row>
    <row r="1369" spans="1:18" x14ac:dyDescent="0.25">
      <c r="A1369" t="s">
        <v>341</v>
      </c>
      <c r="B1369" s="4">
        <v>43353</v>
      </c>
      <c r="C1369" s="9">
        <f t="shared" si="90"/>
        <v>9</v>
      </c>
      <c r="D1369">
        <f t="shared" si="87"/>
        <v>2018</v>
      </c>
      <c r="E1369">
        <f t="shared" si="88"/>
        <v>1</v>
      </c>
      <c r="F1369" t="s">
        <v>664</v>
      </c>
      <c r="G1369" t="s">
        <v>794</v>
      </c>
      <c r="H1369" t="s">
        <v>795</v>
      </c>
      <c r="I1369">
        <v>1</v>
      </c>
      <c r="J1369">
        <v>32</v>
      </c>
      <c r="K1369">
        <f t="shared" si="89"/>
        <v>92</v>
      </c>
      <c r="L1369" t="s">
        <v>787</v>
      </c>
      <c r="R1369" t="s">
        <v>1354</v>
      </c>
    </row>
    <row r="1370" spans="1:18" x14ac:dyDescent="0.25">
      <c r="A1370" t="s">
        <v>341</v>
      </c>
      <c r="B1370" s="4">
        <v>43354</v>
      </c>
      <c r="C1370" s="9">
        <f t="shared" si="90"/>
        <v>9</v>
      </c>
      <c r="D1370">
        <f t="shared" si="87"/>
        <v>2018</v>
      </c>
      <c r="E1370">
        <f t="shared" si="88"/>
        <v>1</v>
      </c>
      <c r="F1370" t="s">
        <v>664</v>
      </c>
      <c r="G1370" t="s">
        <v>796</v>
      </c>
      <c r="H1370" t="s">
        <v>797</v>
      </c>
      <c r="I1370">
        <v>1</v>
      </c>
      <c r="J1370">
        <v>20</v>
      </c>
      <c r="K1370">
        <f t="shared" si="89"/>
        <v>80</v>
      </c>
      <c r="L1370" t="s">
        <v>787</v>
      </c>
      <c r="R1370" t="s">
        <v>1354</v>
      </c>
    </row>
    <row r="1371" spans="1:18" x14ac:dyDescent="0.25">
      <c r="A1371" t="s">
        <v>341</v>
      </c>
      <c r="B1371" s="4">
        <v>43355</v>
      </c>
      <c r="C1371" s="9">
        <f t="shared" si="90"/>
        <v>9</v>
      </c>
      <c r="D1371">
        <f t="shared" si="87"/>
        <v>2018</v>
      </c>
      <c r="E1371">
        <f t="shared" si="88"/>
        <v>1</v>
      </c>
      <c r="F1371" t="s">
        <v>664</v>
      </c>
      <c r="G1371" t="s">
        <v>798</v>
      </c>
      <c r="H1371" t="s">
        <v>799</v>
      </c>
      <c r="I1371">
        <v>1</v>
      </c>
      <c r="J1371">
        <v>58</v>
      </c>
      <c r="K1371">
        <f t="shared" si="89"/>
        <v>118</v>
      </c>
      <c r="L1371" t="s">
        <v>787</v>
      </c>
      <c r="R1371" t="s">
        <v>1354</v>
      </c>
    </row>
    <row r="1372" spans="1:18" x14ac:dyDescent="0.25">
      <c r="A1372" t="s">
        <v>341</v>
      </c>
      <c r="B1372" s="4">
        <v>43355</v>
      </c>
      <c r="C1372" s="9">
        <f t="shared" si="90"/>
        <v>9</v>
      </c>
      <c r="D1372">
        <f t="shared" si="87"/>
        <v>2018</v>
      </c>
      <c r="E1372">
        <f t="shared" si="88"/>
        <v>0</v>
      </c>
      <c r="F1372" t="s">
        <v>664</v>
      </c>
      <c r="G1372" t="s">
        <v>798</v>
      </c>
      <c r="H1372" t="s">
        <v>800</v>
      </c>
      <c r="J1372">
        <v>54</v>
      </c>
      <c r="K1372">
        <f t="shared" si="89"/>
        <v>54</v>
      </c>
      <c r="L1372" t="s">
        <v>787</v>
      </c>
      <c r="R1372" t="s">
        <v>1354</v>
      </c>
    </row>
    <row r="1373" spans="1:18" x14ac:dyDescent="0.25">
      <c r="A1373" t="s">
        <v>341</v>
      </c>
      <c r="B1373" s="4">
        <v>43356</v>
      </c>
      <c r="C1373" s="9">
        <f t="shared" si="90"/>
        <v>9</v>
      </c>
      <c r="D1373">
        <f t="shared" si="87"/>
        <v>2018</v>
      </c>
      <c r="E1373">
        <f t="shared" si="88"/>
        <v>1</v>
      </c>
      <c r="F1373" t="s">
        <v>664</v>
      </c>
      <c r="G1373" t="s">
        <v>798</v>
      </c>
      <c r="H1373" t="s">
        <v>801</v>
      </c>
      <c r="I1373">
        <v>2</v>
      </c>
      <c r="J1373">
        <v>32</v>
      </c>
      <c r="K1373">
        <f t="shared" si="89"/>
        <v>152</v>
      </c>
      <c r="L1373" t="s">
        <v>787</v>
      </c>
      <c r="R1373" t="s">
        <v>1354</v>
      </c>
    </row>
    <row r="1374" spans="1:18" x14ac:dyDescent="0.25">
      <c r="A1374" t="s">
        <v>341</v>
      </c>
      <c r="B1374" s="4">
        <v>43356</v>
      </c>
      <c r="C1374" s="9">
        <f t="shared" si="90"/>
        <v>9</v>
      </c>
      <c r="D1374">
        <f t="shared" si="87"/>
        <v>2018</v>
      </c>
      <c r="E1374">
        <f t="shared" si="88"/>
        <v>0</v>
      </c>
      <c r="F1374" t="s">
        <v>664</v>
      </c>
      <c r="G1374" t="s">
        <v>798</v>
      </c>
      <c r="H1374" t="s">
        <v>802</v>
      </c>
      <c r="I1374">
        <v>1</v>
      </c>
      <c r="J1374">
        <v>0</v>
      </c>
      <c r="K1374">
        <f t="shared" si="89"/>
        <v>60</v>
      </c>
      <c r="L1374" t="s">
        <v>787</v>
      </c>
      <c r="R1374" t="s">
        <v>1354</v>
      </c>
    </row>
    <row r="1375" spans="1:18" x14ac:dyDescent="0.25">
      <c r="A1375" t="s">
        <v>341</v>
      </c>
      <c r="B1375" s="4">
        <v>43357</v>
      </c>
      <c r="C1375" s="9">
        <f t="shared" si="90"/>
        <v>9</v>
      </c>
      <c r="D1375">
        <f t="shared" si="87"/>
        <v>2018</v>
      </c>
      <c r="E1375">
        <f t="shared" si="88"/>
        <v>1</v>
      </c>
      <c r="F1375" t="s">
        <v>664</v>
      </c>
      <c r="G1375" t="s">
        <v>789</v>
      </c>
      <c r="H1375" t="s">
        <v>803</v>
      </c>
      <c r="I1375">
        <v>1</v>
      </c>
      <c r="J1375">
        <v>33</v>
      </c>
      <c r="K1375">
        <f t="shared" si="89"/>
        <v>93</v>
      </c>
      <c r="L1375" t="s">
        <v>787</v>
      </c>
      <c r="R1375" t="s">
        <v>1354</v>
      </c>
    </row>
    <row r="1376" spans="1:18" x14ac:dyDescent="0.25">
      <c r="A1376" t="s">
        <v>341</v>
      </c>
      <c r="B1376" s="4">
        <v>43359</v>
      </c>
      <c r="C1376" s="9">
        <f t="shared" si="90"/>
        <v>9</v>
      </c>
      <c r="D1376">
        <f t="shared" si="87"/>
        <v>2018</v>
      </c>
      <c r="E1376">
        <f t="shared" si="88"/>
        <v>1</v>
      </c>
      <c r="F1376" t="s">
        <v>664</v>
      </c>
      <c r="G1376" t="s">
        <v>7</v>
      </c>
      <c r="H1376" t="s">
        <v>55</v>
      </c>
      <c r="J1376">
        <v>18</v>
      </c>
      <c r="K1376">
        <f t="shared" si="89"/>
        <v>18</v>
      </c>
      <c r="R1376" t="s">
        <v>1348</v>
      </c>
    </row>
    <row r="1377" spans="1:18" x14ac:dyDescent="0.25">
      <c r="A1377" t="s">
        <v>341</v>
      </c>
      <c r="B1377" s="4">
        <v>43363</v>
      </c>
      <c r="C1377" s="9">
        <f t="shared" si="90"/>
        <v>9</v>
      </c>
      <c r="D1377">
        <f t="shared" si="87"/>
        <v>2018</v>
      </c>
      <c r="E1377">
        <f t="shared" si="88"/>
        <v>1</v>
      </c>
      <c r="F1377" t="s">
        <v>664</v>
      </c>
      <c r="G1377" t="s">
        <v>595</v>
      </c>
      <c r="H1377" t="s">
        <v>153</v>
      </c>
      <c r="I1377">
        <v>1</v>
      </c>
      <c r="J1377">
        <v>27</v>
      </c>
      <c r="K1377">
        <f t="shared" si="89"/>
        <v>87</v>
      </c>
      <c r="R1377" t="s">
        <v>1348</v>
      </c>
    </row>
    <row r="1378" spans="1:18" x14ac:dyDescent="0.25">
      <c r="A1378" t="s">
        <v>341</v>
      </c>
      <c r="B1378" s="4">
        <v>43369</v>
      </c>
      <c r="C1378" s="9">
        <f t="shared" si="90"/>
        <v>9</v>
      </c>
      <c r="D1378">
        <f t="shared" si="87"/>
        <v>2018</v>
      </c>
      <c r="E1378">
        <f t="shared" si="88"/>
        <v>1</v>
      </c>
      <c r="F1378" t="s">
        <v>664</v>
      </c>
      <c r="G1378" t="s">
        <v>595</v>
      </c>
      <c r="H1378" t="s">
        <v>153</v>
      </c>
      <c r="I1378">
        <v>1</v>
      </c>
      <c r="J1378">
        <v>2</v>
      </c>
      <c r="K1378">
        <f t="shared" si="89"/>
        <v>62</v>
      </c>
      <c r="R1378" t="s">
        <v>1348</v>
      </c>
    </row>
    <row r="1379" spans="1:18" x14ac:dyDescent="0.25">
      <c r="A1379" t="s">
        <v>341</v>
      </c>
      <c r="B1379" s="4">
        <v>43370</v>
      </c>
      <c r="C1379" s="9">
        <f t="shared" si="90"/>
        <v>9</v>
      </c>
      <c r="D1379">
        <f t="shared" si="87"/>
        <v>2018</v>
      </c>
      <c r="E1379">
        <f t="shared" si="88"/>
        <v>1</v>
      </c>
      <c r="F1379" t="s">
        <v>664</v>
      </c>
      <c r="G1379" t="s">
        <v>595</v>
      </c>
      <c r="H1379" t="s">
        <v>741</v>
      </c>
      <c r="J1379">
        <v>19</v>
      </c>
      <c r="K1379">
        <f t="shared" si="89"/>
        <v>19</v>
      </c>
      <c r="R1379" t="s">
        <v>1348</v>
      </c>
    </row>
    <row r="1380" spans="1:18" x14ac:dyDescent="0.25">
      <c r="A1380" t="s">
        <v>341</v>
      </c>
      <c r="B1380" s="4">
        <v>43371</v>
      </c>
      <c r="C1380" s="9">
        <f t="shared" si="90"/>
        <v>9</v>
      </c>
      <c r="D1380">
        <f t="shared" si="87"/>
        <v>2018</v>
      </c>
      <c r="E1380">
        <f t="shared" si="88"/>
        <v>1</v>
      </c>
      <c r="F1380" t="s">
        <v>664</v>
      </c>
      <c r="G1380" t="s">
        <v>595</v>
      </c>
      <c r="H1380" t="s">
        <v>153</v>
      </c>
      <c r="I1380">
        <v>1</v>
      </c>
      <c r="J1380">
        <v>2</v>
      </c>
      <c r="K1380">
        <f t="shared" si="89"/>
        <v>62</v>
      </c>
      <c r="R1380" t="s">
        <v>1348</v>
      </c>
    </row>
    <row r="1381" spans="1:18" x14ac:dyDescent="0.25">
      <c r="A1381" t="s">
        <v>341</v>
      </c>
      <c r="B1381" s="4">
        <v>43389</v>
      </c>
      <c r="C1381" s="9">
        <f t="shared" si="90"/>
        <v>10</v>
      </c>
      <c r="D1381">
        <f t="shared" si="87"/>
        <v>2018</v>
      </c>
      <c r="E1381">
        <f t="shared" si="88"/>
        <v>1</v>
      </c>
      <c r="F1381" t="s">
        <v>664</v>
      </c>
      <c r="G1381" t="s">
        <v>595</v>
      </c>
      <c r="H1381" t="s">
        <v>741</v>
      </c>
      <c r="J1381">
        <v>24</v>
      </c>
      <c r="K1381">
        <f t="shared" si="89"/>
        <v>24</v>
      </c>
      <c r="R1381" t="s">
        <v>1348</v>
      </c>
    </row>
    <row r="1382" spans="1:18" x14ac:dyDescent="0.25">
      <c r="A1382" t="s">
        <v>341</v>
      </c>
      <c r="B1382" s="4">
        <v>43390</v>
      </c>
      <c r="C1382" s="9">
        <f t="shared" si="90"/>
        <v>10</v>
      </c>
      <c r="D1382">
        <f t="shared" si="87"/>
        <v>2018</v>
      </c>
      <c r="E1382">
        <f t="shared" si="88"/>
        <v>1</v>
      </c>
      <c r="F1382" t="s">
        <v>664</v>
      </c>
      <c r="G1382" t="s">
        <v>595</v>
      </c>
      <c r="H1382" t="s">
        <v>244</v>
      </c>
      <c r="J1382">
        <v>20</v>
      </c>
      <c r="K1382">
        <f t="shared" si="89"/>
        <v>20</v>
      </c>
      <c r="R1382" t="s">
        <v>1348</v>
      </c>
    </row>
    <row r="1383" spans="1:18" x14ac:dyDescent="0.25">
      <c r="A1383" t="s">
        <v>341</v>
      </c>
      <c r="B1383" s="4">
        <v>43392</v>
      </c>
      <c r="C1383" s="9">
        <f t="shared" si="90"/>
        <v>10</v>
      </c>
      <c r="D1383">
        <f t="shared" ref="D1383:D1446" si="91">YEAR(B1383)</f>
        <v>2018</v>
      </c>
      <c r="E1383">
        <f t="shared" ref="E1383:E1446" si="92">IF(OR(A1383 = "GS",A1383 = "BP"),IF( OR(A1382="GS",A1382="BP"),IF(B1382=B1383,0,1),1),0)</f>
        <v>1</v>
      </c>
      <c r="F1383" t="s">
        <v>664</v>
      </c>
      <c r="G1383" t="s">
        <v>595</v>
      </c>
      <c r="H1383" t="s">
        <v>153</v>
      </c>
      <c r="I1383">
        <v>1</v>
      </c>
      <c r="J1383">
        <v>7</v>
      </c>
      <c r="K1383">
        <f t="shared" ref="K1383:K1446" si="93">I1383*60+J1383</f>
        <v>67</v>
      </c>
      <c r="R1383" t="s">
        <v>1348</v>
      </c>
    </row>
    <row r="1384" spans="1:18" x14ac:dyDescent="0.25">
      <c r="A1384" t="s">
        <v>341</v>
      </c>
      <c r="B1384" s="4">
        <v>43393</v>
      </c>
      <c r="C1384" s="9">
        <f t="shared" si="90"/>
        <v>10</v>
      </c>
      <c r="D1384">
        <f t="shared" si="91"/>
        <v>2018</v>
      </c>
      <c r="E1384">
        <f t="shared" si="92"/>
        <v>1</v>
      </c>
      <c r="F1384" t="s">
        <v>664</v>
      </c>
      <c r="G1384" t="s">
        <v>595</v>
      </c>
      <c r="H1384" t="s">
        <v>153</v>
      </c>
      <c r="I1384">
        <v>1</v>
      </c>
      <c r="J1384">
        <v>5</v>
      </c>
      <c r="K1384">
        <f t="shared" si="93"/>
        <v>65</v>
      </c>
      <c r="R1384" t="s">
        <v>1348</v>
      </c>
    </row>
    <row r="1385" spans="1:18" x14ac:dyDescent="0.25">
      <c r="A1385" t="s">
        <v>341</v>
      </c>
      <c r="B1385" s="4">
        <v>43429</v>
      </c>
      <c r="C1385" s="9">
        <f t="shared" si="90"/>
        <v>11</v>
      </c>
      <c r="D1385">
        <f t="shared" si="91"/>
        <v>2018</v>
      </c>
      <c r="E1385">
        <f t="shared" si="92"/>
        <v>1</v>
      </c>
      <c r="F1385" t="s">
        <v>664</v>
      </c>
      <c r="G1385" t="s">
        <v>807</v>
      </c>
      <c r="H1385" t="s">
        <v>808</v>
      </c>
      <c r="I1385">
        <v>1</v>
      </c>
      <c r="J1385">
        <v>32</v>
      </c>
      <c r="K1385">
        <f t="shared" si="93"/>
        <v>92</v>
      </c>
      <c r="L1385" t="s">
        <v>809</v>
      </c>
      <c r="M1385" t="s">
        <v>810</v>
      </c>
      <c r="R1385" t="s">
        <v>1360</v>
      </c>
    </row>
    <row r="1386" spans="1:18" x14ac:dyDescent="0.25">
      <c r="A1386" t="s">
        <v>341</v>
      </c>
      <c r="B1386" s="4">
        <v>43429</v>
      </c>
      <c r="C1386" s="9">
        <f t="shared" si="90"/>
        <v>11</v>
      </c>
      <c r="D1386">
        <f t="shared" si="91"/>
        <v>2018</v>
      </c>
      <c r="E1386">
        <f t="shared" si="92"/>
        <v>0</v>
      </c>
      <c r="F1386" t="s">
        <v>664</v>
      </c>
      <c r="G1386" t="s">
        <v>807</v>
      </c>
      <c r="H1386" t="s">
        <v>808</v>
      </c>
      <c r="J1386">
        <v>46</v>
      </c>
      <c r="K1386">
        <f t="shared" si="93"/>
        <v>46</v>
      </c>
      <c r="L1386" t="s">
        <v>809</v>
      </c>
      <c r="R1386" t="s">
        <v>1360</v>
      </c>
    </row>
    <row r="1387" spans="1:18" x14ac:dyDescent="0.25">
      <c r="A1387" t="s">
        <v>341</v>
      </c>
      <c r="B1387" s="4">
        <v>43430</v>
      </c>
      <c r="C1387" s="9">
        <f t="shared" si="90"/>
        <v>11</v>
      </c>
      <c r="D1387">
        <f t="shared" si="91"/>
        <v>2018</v>
      </c>
      <c r="E1387">
        <f t="shared" si="92"/>
        <v>1</v>
      </c>
      <c r="F1387" t="s">
        <v>664</v>
      </c>
      <c r="G1387" t="s">
        <v>806</v>
      </c>
      <c r="H1387" t="s">
        <v>811</v>
      </c>
      <c r="I1387">
        <v>1</v>
      </c>
      <c r="J1387">
        <v>36</v>
      </c>
      <c r="K1387">
        <f t="shared" si="93"/>
        <v>96</v>
      </c>
      <c r="L1387" t="s">
        <v>809</v>
      </c>
      <c r="R1387" t="s">
        <v>1360</v>
      </c>
    </row>
    <row r="1388" spans="1:18" x14ac:dyDescent="0.25">
      <c r="A1388" t="s">
        <v>341</v>
      </c>
      <c r="B1388" s="4">
        <v>43431</v>
      </c>
      <c r="C1388" s="9">
        <f t="shared" si="90"/>
        <v>11</v>
      </c>
      <c r="D1388">
        <f t="shared" si="91"/>
        <v>2018</v>
      </c>
      <c r="E1388">
        <f t="shared" si="92"/>
        <v>1</v>
      </c>
      <c r="F1388" t="s">
        <v>664</v>
      </c>
      <c r="G1388" t="s">
        <v>806</v>
      </c>
      <c r="H1388" t="s">
        <v>811</v>
      </c>
      <c r="I1388">
        <v>1</v>
      </c>
      <c r="J1388">
        <v>6</v>
      </c>
      <c r="K1388">
        <f t="shared" si="93"/>
        <v>66</v>
      </c>
      <c r="L1388" t="s">
        <v>809</v>
      </c>
      <c r="R1388" t="s">
        <v>1360</v>
      </c>
    </row>
    <row r="1389" spans="1:18" x14ac:dyDescent="0.25">
      <c r="A1389" t="s">
        <v>341</v>
      </c>
      <c r="B1389" s="4">
        <v>43435</v>
      </c>
      <c r="C1389" s="9">
        <f t="shared" si="90"/>
        <v>12</v>
      </c>
      <c r="D1389">
        <f t="shared" si="91"/>
        <v>2018</v>
      </c>
      <c r="E1389">
        <f t="shared" si="92"/>
        <v>1</v>
      </c>
      <c r="F1389" t="s">
        <v>664</v>
      </c>
      <c r="G1389" t="s">
        <v>812</v>
      </c>
      <c r="H1389" t="s">
        <v>813</v>
      </c>
      <c r="J1389">
        <v>22</v>
      </c>
      <c r="K1389">
        <f t="shared" si="93"/>
        <v>22</v>
      </c>
      <c r="L1389" t="s">
        <v>809</v>
      </c>
      <c r="M1389" t="s">
        <v>814</v>
      </c>
      <c r="R1389" t="s">
        <v>1360</v>
      </c>
    </row>
    <row r="1390" spans="1:18" x14ac:dyDescent="0.25">
      <c r="A1390" t="s">
        <v>341</v>
      </c>
      <c r="B1390" s="4">
        <v>43436</v>
      </c>
      <c r="C1390" s="9">
        <f t="shared" si="90"/>
        <v>12</v>
      </c>
      <c r="D1390">
        <f t="shared" si="91"/>
        <v>2018</v>
      </c>
      <c r="E1390">
        <f t="shared" si="92"/>
        <v>1</v>
      </c>
      <c r="F1390" t="s">
        <v>664</v>
      </c>
      <c r="G1390" t="s">
        <v>815</v>
      </c>
      <c r="H1390" t="s">
        <v>816</v>
      </c>
      <c r="I1390">
        <v>1</v>
      </c>
      <c r="J1390">
        <v>41</v>
      </c>
      <c r="K1390">
        <f t="shared" si="93"/>
        <v>101</v>
      </c>
      <c r="L1390" t="s">
        <v>809</v>
      </c>
      <c r="R1390" t="s">
        <v>1360</v>
      </c>
    </row>
    <row r="1391" spans="1:18" x14ac:dyDescent="0.25">
      <c r="A1391" t="s">
        <v>341</v>
      </c>
      <c r="B1391" s="4">
        <v>43436</v>
      </c>
      <c r="C1391" s="9">
        <f t="shared" si="90"/>
        <v>12</v>
      </c>
      <c r="D1391">
        <f t="shared" si="91"/>
        <v>2018</v>
      </c>
      <c r="E1391">
        <f t="shared" si="92"/>
        <v>0</v>
      </c>
      <c r="F1391" t="s">
        <v>664</v>
      </c>
      <c r="G1391" t="s">
        <v>815</v>
      </c>
      <c r="H1391" t="s">
        <v>817</v>
      </c>
      <c r="I1391">
        <v>1</v>
      </c>
      <c r="J1391">
        <v>25</v>
      </c>
      <c r="K1391">
        <f t="shared" si="93"/>
        <v>85</v>
      </c>
      <c r="L1391" t="s">
        <v>809</v>
      </c>
      <c r="R1391" t="s">
        <v>1360</v>
      </c>
    </row>
    <row r="1392" spans="1:18" x14ac:dyDescent="0.25">
      <c r="A1392" t="s">
        <v>341</v>
      </c>
      <c r="B1392" s="4">
        <v>43437</v>
      </c>
      <c r="C1392" s="9">
        <f t="shared" si="90"/>
        <v>12</v>
      </c>
      <c r="D1392">
        <f t="shared" si="91"/>
        <v>2018</v>
      </c>
      <c r="E1392">
        <f t="shared" si="92"/>
        <v>1</v>
      </c>
      <c r="F1392" t="s">
        <v>664</v>
      </c>
      <c r="G1392" t="s">
        <v>815</v>
      </c>
      <c r="H1392" t="s">
        <v>818</v>
      </c>
      <c r="I1392">
        <v>1</v>
      </c>
      <c r="J1392">
        <v>23</v>
      </c>
      <c r="K1392">
        <f t="shared" si="93"/>
        <v>83</v>
      </c>
      <c r="L1392" t="s">
        <v>809</v>
      </c>
      <c r="R1392" t="s">
        <v>1360</v>
      </c>
    </row>
    <row r="1393" spans="1:19" x14ac:dyDescent="0.25">
      <c r="A1393" t="s">
        <v>341</v>
      </c>
      <c r="B1393" s="4">
        <v>43437</v>
      </c>
      <c r="C1393" s="9">
        <f t="shared" si="90"/>
        <v>12</v>
      </c>
      <c r="D1393">
        <f t="shared" si="91"/>
        <v>2018</v>
      </c>
      <c r="E1393">
        <f t="shared" si="92"/>
        <v>0</v>
      </c>
      <c r="F1393" t="s">
        <v>664</v>
      </c>
      <c r="G1393" t="s">
        <v>815</v>
      </c>
      <c r="H1393" t="s">
        <v>817</v>
      </c>
      <c r="J1393">
        <v>55</v>
      </c>
      <c r="K1393">
        <f t="shared" si="93"/>
        <v>55</v>
      </c>
      <c r="L1393" t="s">
        <v>809</v>
      </c>
      <c r="R1393" t="s">
        <v>1360</v>
      </c>
    </row>
    <row r="1394" spans="1:19" x14ac:dyDescent="0.25">
      <c r="A1394" t="s">
        <v>341</v>
      </c>
      <c r="B1394" s="4">
        <v>43438</v>
      </c>
      <c r="C1394" s="9">
        <f t="shared" si="90"/>
        <v>12</v>
      </c>
      <c r="D1394">
        <f t="shared" si="91"/>
        <v>2018</v>
      </c>
      <c r="E1394">
        <f t="shared" si="92"/>
        <v>1</v>
      </c>
      <c r="F1394" t="s">
        <v>664</v>
      </c>
      <c r="G1394" t="s">
        <v>819</v>
      </c>
      <c r="H1394" t="s">
        <v>820</v>
      </c>
      <c r="J1394">
        <v>58</v>
      </c>
      <c r="K1394">
        <f t="shared" si="93"/>
        <v>58</v>
      </c>
      <c r="L1394" t="s">
        <v>809</v>
      </c>
      <c r="R1394" t="s">
        <v>1360</v>
      </c>
    </row>
    <row r="1395" spans="1:19" x14ac:dyDescent="0.25">
      <c r="A1395" t="s">
        <v>341</v>
      </c>
      <c r="B1395" s="4">
        <v>43438</v>
      </c>
      <c r="C1395" s="9">
        <f t="shared" si="90"/>
        <v>12</v>
      </c>
      <c r="D1395">
        <f t="shared" si="91"/>
        <v>2018</v>
      </c>
      <c r="E1395">
        <f t="shared" si="92"/>
        <v>0</v>
      </c>
      <c r="F1395" t="s">
        <v>664</v>
      </c>
      <c r="G1395" t="s">
        <v>819</v>
      </c>
      <c r="H1395" t="s">
        <v>821</v>
      </c>
      <c r="J1395">
        <v>37</v>
      </c>
      <c r="K1395">
        <f t="shared" si="93"/>
        <v>37</v>
      </c>
      <c r="L1395" t="s">
        <v>809</v>
      </c>
      <c r="R1395" t="s">
        <v>1360</v>
      </c>
    </row>
    <row r="1396" spans="1:19" x14ac:dyDescent="0.25">
      <c r="A1396" t="s">
        <v>341</v>
      </c>
      <c r="B1396" s="4">
        <v>43439</v>
      </c>
      <c r="C1396" s="9">
        <f t="shared" si="90"/>
        <v>12</v>
      </c>
      <c r="D1396">
        <f t="shared" si="91"/>
        <v>2018</v>
      </c>
      <c r="E1396">
        <f t="shared" si="92"/>
        <v>1</v>
      </c>
      <c r="F1396" t="s">
        <v>664</v>
      </c>
      <c r="G1396" t="s">
        <v>819</v>
      </c>
      <c r="H1396" t="s">
        <v>822</v>
      </c>
      <c r="I1396">
        <v>1</v>
      </c>
      <c r="J1396">
        <v>32</v>
      </c>
      <c r="K1396">
        <f t="shared" si="93"/>
        <v>92</v>
      </c>
      <c r="L1396" t="s">
        <v>809</v>
      </c>
      <c r="R1396" t="s">
        <v>1360</v>
      </c>
    </row>
    <row r="1397" spans="1:19" x14ac:dyDescent="0.25">
      <c r="A1397" t="s">
        <v>341</v>
      </c>
      <c r="B1397" s="4">
        <v>43440</v>
      </c>
      <c r="C1397" s="9">
        <f t="shared" si="90"/>
        <v>12</v>
      </c>
      <c r="D1397">
        <f t="shared" si="91"/>
        <v>2018</v>
      </c>
      <c r="E1397">
        <f t="shared" si="92"/>
        <v>1</v>
      </c>
      <c r="F1397" t="s">
        <v>664</v>
      </c>
      <c r="G1397" t="s">
        <v>815</v>
      </c>
      <c r="H1397" t="s">
        <v>818</v>
      </c>
      <c r="I1397">
        <v>1</v>
      </c>
      <c r="J1397">
        <v>51</v>
      </c>
      <c r="K1397">
        <f t="shared" si="93"/>
        <v>111</v>
      </c>
      <c r="L1397" t="s">
        <v>809</v>
      </c>
      <c r="R1397" t="s">
        <v>1360</v>
      </c>
    </row>
    <row r="1398" spans="1:19" x14ac:dyDescent="0.25">
      <c r="A1398" t="s">
        <v>341</v>
      </c>
      <c r="B1398" s="4">
        <v>43440</v>
      </c>
      <c r="C1398" s="9">
        <f t="shared" si="90"/>
        <v>12</v>
      </c>
      <c r="D1398">
        <f t="shared" si="91"/>
        <v>2018</v>
      </c>
      <c r="E1398">
        <f t="shared" si="92"/>
        <v>0</v>
      </c>
      <c r="F1398" t="s">
        <v>664</v>
      </c>
      <c r="G1398" t="s">
        <v>815</v>
      </c>
      <c r="H1398" t="s">
        <v>817</v>
      </c>
      <c r="J1398">
        <v>48</v>
      </c>
      <c r="K1398">
        <f t="shared" si="93"/>
        <v>48</v>
      </c>
      <c r="L1398" t="s">
        <v>809</v>
      </c>
      <c r="R1398" t="s">
        <v>1360</v>
      </c>
    </row>
    <row r="1399" spans="1:19" x14ac:dyDescent="0.25">
      <c r="A1399" t="s">
        <v>341</v>
      </c>
      <c r="B1399" s="4">
        <v>43441</v>
      </c>
      <c r="C1399" s="9">
        <f t="shared" si="90"/>
        <v>12</v>
      </c>
      <c r="D1399">
        <f t="shared" si="91"/>
        <v>2018</v>
      </c>
      <c r="E1399">
        <f t="shared" si="92"/>
        <v>1</v>
      </c>
      <c r="F1399" t="s">
        <v>664</v>
      </c>
      <c r="G1399" t="s">
        <v>823</v>
      </c>
      <c r="H1399" t="s">
        <v>825</v>
      </c>
      <c r="I1399">
        <v>1</v>
      </c>
      <c r="J1399">
        <v>5</v>
      </c>
      <c r="K1399">
        <f t="shared" si="93"/>
        <v>65</v>
      </c>
      <c r="L1399" t="s">
        <v>809</v>
      </c>
      <c r="M1399" t="s">
        <v>824</v>
      </c>
      <c r="R1399" t="s">
        <v>1360</v>
      </c>
    </row>
    <row r="1400" spans="1:19" x14ac:dyDescent="0.25">
      <c r="A1400" t="s">
        <v>341</v>
      </c>
      <c r="B1400" s="4">
        <v>43512</v>
      </c>
      <c r="C1400" s="9">
        <f t="shared" si="90"/>
        <v>2</v>
      </c>
      <c r="D1400">
        <f t="shared" si="91"/>
        <v>2019</v>
      </c>
      <c r="E1400">
        <f t="shared" si="92"/>
        <v>1</v>
      </c>
      <c r="F1400" t="s">
        <v>664</v>
      </c>
      <c r="G1400" t="s">
        <v>409</v>
      </c>
      <c r="H1400" t="s">
        <v>153</v>
      </c>
      <c r="I1400">
        <v>1</v>
      </c>
      <c r="J1400">
        <v>23</v>
      </c>
      <c r="K1400">
        <f t="shared" si="93"/>
        <v>83</v>
      </c>
      <c r="R1400" t="s">
        <v>1348</v>
      </c>
    </row>
    <row r="1401" spans="1:19" x14ac:dyDescent="0.25">
      <c r="A1401" t="s">
        <v>341</v>
      </c>
      <c r="B1401" s="4">
        <v>43545</v>
      </c>
      <c r="C1401" s="9">
        <f t="shared" si="90"/>
        <v>3</v>
      </c>
      <c r="D1401">
        <f t="shared" si="91"/>
        <v>2019</v>
      </c>
      <c r="E1401">
        <v>1</v>
      </c>
      <c r="F1401" t="s">
        <v>664</v>
      </c>
      <c r="G1401" t="s">
        <v>493</v>
      </c>
      <c r="H1401" t="s">
        <v>493</v>
      </c>
      <c r="J1401">
        <v>12</v>
      </c>
      <c r="K1401">
        <f t="shared" si="93"/>
        <v>12</v>
      </c>
      <c r="L1401" t="s">
        <v>617</v>
      </c>
      <c r="M1401" t="s">
        <v>827</v>
      </c>
      <c r="R1401" t="s">
        <v>1349</v>
      </c>
      <c r="S1401" t="s">
        <v>1367</v>
      </c>
    </row>
    <row r="1402" spans="1:19" x14ac:dyDescent="0.25">
      <c r="A1402" t="s">
        <v>341</v>
      </c>
      <c r="B1402" s="4">
        <v>43545</v>
      </c>
      <c r="C1402" s="9">
        <f t="shared" si="90"/>
        <v>3</v>
      </c>
      <c r="D1402">
        <f t="shared" si="91"/>
        <v>2019</v>
      </c>
      <c r="E1402">
        <f t="shared" si="92"/>
        <v>0</v>
      </c>
      <c r="F1402" t="s">
        <v>664</v>
      </c>
      <c r="G1402" t="s">
        <v>493</v>
      </c>
      <c r="H1402" t="s">
        <v>493</v>
      </c>
      <c r="J1402">
        <v>15</v>
      </c>
      <c r="K1402">
        <f t="shared" si="93"/>
        <v>15</v>
      </c>
      <c r="L1402" t="s">
        <v>617</v>
      </c>
      <c r="R1402" t="s">
        <v>1349</v>
      </c>
      <c r="S1402" t="s">
        <v>1367</v>
      </c>
    </row>
    <row r="1403" spans="1:19" x14ac:dyDescent="0.25">
      <c r="A1403" t="s">
        <v>341</v>
      </c>
      <c r="B1403" s="4">
        <v>43545</v>
      </c>
      <c r="C1403" s="9">
        <f t="shared" si="90"/>
        <v>3</v>
      </c>
      <c r="D1403">
        <f t="shared" si="91"/>
        <v>2019</v>
      </c>
      <c r="E1403">
        <f t="shared" si="92"/>
        <v>0</v>
      </c>
      <c r="F1403" t="s">
        <v>664</v>
      </c>
      <c r="G1403" t="s">
        <v>493</v>
      </c>
      <c r="H1403" t="s">
        <v>498</v>
      </c>
      <c r="J1403">
        <v>27</v>
      </c>
      <c r="K1403">
        <f t="shared" si="93"/>
        <v>27</v>
      </c>
      <c r="L1403" t="s">
        <v>617</v>
      </c>
      <c r="R1403" t="s">
        <v>1349</v>
      </c>
      <c r="S1403" t="s">
        <v>1367</v>
      </c>
    </row>
    <row r="1404" spans="1:19" x14ac:dyDescent="0.25">
      <c r="A1404" t="s">
        <v>341</v>
      </c>
      <c r="B1404" s="4">
        <v>43546</v>
      </c>
      <c r="C1404" s="9">
        <f t="shared" si="90"/>
        <v>3</v>
      </c>
      <c r="D1404">
        <f t="shared" si="91"/>
        <v>2019</v>
      </c>
      <c r="E1404">
        <v>1</v>
      </c>
      <c r="F1404" t="s">
        <v>664</v>
      </c>
      <c r="G1404" t="s">
        <v>493</v>
      </c>
      <c r="H1404" t="s">
        <v>493</v>
      </c>
      <c r="J1404">
        <v>25</v>
      </c>
      <c r="K1404">
        <f t="shared" si="93"/>
        <v>25</v>
      </c>
      <c r="L1404" t="s">
        <v>617</v>
      </c>
      <c r="R1404" t="s">
        <v>1349</v>
      </c>
      <c r="S1404" t="s">
        <v>1367</v>
      </c>
    </row>
    <row r="1405" spans="1:19" x14ac:dyDescent="0.25">
      <c r="A1405" t="s">
        <v>341</v>
      </c>
      <c r="B1405" s="4">
        <v>43546</v>
      </c>
      <c r="C1405" s="9">
        <f t="shared" si="90"/>
        <v>3</v>
      </c>
      <c r="D1405">
        <f t="shared" si="91"/>
        <v>2019</v>
      </c>
      <c r="E1405">
        <f t="shared" si="92"/>
        <v>0</v>
      </c>
      <c r="F1405" t="s">
        <v>664</v>
      </c>
      <c r="G1405" t="s">
        <v>493</v>
      </c>
      <c r="H1405" t="s">
        <v>493</v>
      </c>
      <c r="J1405">
        <v>40</v>
      </c>
      <c r="K1405">
        <f t="shared" si="93"/>
        <v>40</v>
      </c>
      <c r="L1405" t="s">
        <v>617</v>
      </c>
      <c r="R1405" t="s">
        <v>1349</v>
      </c>
      <c r="S1405" t="s">
        <v>1367</v>
      </c>
    </row>
    <row r="1406" spans="1:19" x14ac:dyDescent="0.25">
      <c r="A1406" t="s">
        <v>341</v>
      </c>
      <c r="B1406" s="4">
        <v>43546</v>
      </c>
      <c r="C1406" s="9">
        <f t="shared" si="90"/>
        <v>3</v>
      </c>
      <c r="D1406">
        <f t="shared" si="91"/>
        <v>2019</v>
      </c>
      <c r="E1406">
        <f t="shared" si="92"/>
        <v>0</v>
      </c>
      <c r="F1406" t="s">
        <v>664</v>
      </c>
      <c r="G1406" t="s">
        <v>493</v>
      </c>
      <c r="H1406" t="s">
        <v>498</v>
      </c>
      <c r="J1406">
        <v>48</v>
      </c>
      <c r="K1406">
        <f t="shared" si="93"/>
        <v>48</v>
      </c>
      <c r="L1406" t="s">
        <v>617</v>
      </c>
      <c r="R1406" t="s">
        <v>1349</v>
      </c>
      <c r="S1406" t="s">
        <v>1367</v>
      </c>
    </row>
    <row r="1407" spans="1:19" x14ac:dyDescent="0.25">
      <c r="A1407" t="s">
        <v>341</v>
      </c>
      <c r="B1407" s="4">
        <v>43547</v>
      </c>
      <c r="C1407" s="9">
        <f t="shared" si="90"/>
        <v>3</v>
      </c>
      <c r="D1407">
        <f t="shared" si="91"/>
        <v>2019</v>
      </c>
      <c r="E1407">
        <v>1</v>
      </c>
      <c r="F1407" t="s">
        <v>664</v>
      </c>
      <c r="G1407" t="s">
        <v>493</v>
      </c>
      <c r="H1407" t="s">
        <v>618</v>
      </c>
      <c r="J1407">
        <v>32</v>
      </c>
      <c r="K1407">
        <f t="shared" si="93"/>
        <v>32</v>
      </c>
      <c r="L1407" t="s">
        <v>617</v>
      </c>
      <c r="R1407" t="s">
        <v>1349</v>
      </c>
      <c r="S1407" t="s">
        <v>1367</v>
      </c>
    </row>
    <row r="1408" spans="1:19" x14ac:dyDescent="0.25">
      <c r="A1408" t="s">
        <v>341</v>
      </c>
      <c r="B1408" s="4">
        <v>43547</v>
      </c>
      <c r="C1408" s="9">
        <f t="shared" si="90"/>
        <v>3</v>
      </c>
      <c r="D1408">
        <f t="shared" si="91"/>
        <v>2019</v>
      </c>
      <c r="E1408">
        <f t="shared" si="92"/>
        <v>0</v>
      </c>
      <c r="F1408" t="s">
        <v>664</v>
      </c>
      <c r="G1408" t="s">
        <v>493</v>
      </c>
      <c r="H1408" t="s">
        <v>493</v>
      </c>
      <c r="J1408">
        <v>29</v>
      </c>
      <c r="K1408">
        <f t="shared" si="93"/>
        <v>29</v>
      </c>
      <c r="L1408" t="s">
        <v>617</v>
      </c>
      <c r="R1408" t="s">
        <v>1349</v>
      </c>
      <c r="S1408" t="s">
        <v>1367</v>
      </c>
    </row>
    <row r="1409" spans="1:19" x14ac:dyDescent="0.25">
      <c r="A1409" t="s">
        <v>341</v>
      </c>
      <c r="B1409" s="4">
        <v>43547</v>
      </c>
      <c r="C1409" s="9">
        <f t="shared" si="90"/>
        <v>3</v>
      </c>
      <c r="D1409">
        <f t="shared" si="91"/>
        <v>2019</v>
      </c>
      <c r="E1409">
        <f t="shared" si="92"/>
        <v>0</v>
      </c>
      <c r="F1409" t="s">
        <v>664</v>
      </c>
      <c r="G1409" t="s">
        <v>493</v>
      </c>
      <c r="H1409" t="s">
        <v>493</v>
      </c>
      <c r="J1409">
        <v>29</v>
      </c>
      <c r="K1409">
        <f t="shared" si="93"/>
        <v>29</v>
      </c>
      <c r="L1409" t="s">
        <v>617</v>
      </c>
      <c r="R1409" t="s">
        <v>1349</v>
      </c>
      <c r="S1409" t="s">
        <v>1367</v>
      </c>
    </row>
    <row r="1410" spans="1:19" x14ac:dyDescent="0.25">
      <c r="A1410" t="s">
        <v>341</v>
      </c>
      <c r="B1410" s="4">
        <v>43547</v>
      </c>
      <c r="C1410" s="9">
        <f t="shared" si="90"/>
        <v>3</v>
      </c>
      <c r="D1410">
        <f t="shared" si="91"/>
        <v>2019</v>
      </c>
      <c r="E1410">
        <f t="shared" si="92"/>
        <v>0</v>
      </c>
      <c r="F1410" t="s">
        <v>664</v>
      </c>
      <c r="G1410" t="s">
        <v>493</v>
      </c>
      <c r="H1410" t="s">
        <v>498</v>
      </c>
      <c r="J1410">
        <v>48</v>
      </c>
      <c r="K1410">
        <f t="shared" si="93"/>
        <v>48</v>
      </c>
      <c r="L1410" t="s">
        <v>617</v>
      </c>
      <c r="R1410" t="s">
        <v>1349</v>
      </c>
      <c r="S1410" t="s">
        <v>1367</v>
      </c>
    </row>
    <row r="1411" spans="1:19" x14ac:dyDescent="0.25">
      <c r="A1411" t="s">
        <v>341</v>
      </c>
      <c r="B1411" s="4">
        <v>43548</v>
      </c>
      <c r="C1411" s="9">
        <f t="shared" ref="C1411:C1474" si="94">MONTH(B1411)</f>
        <v>3</v>
      </c>
      <c r="D1411">
        <f t="shared" si="91"/>
        <v>2019</v>
      </c>
      <c r="E1411">
        <v>1</v>
      </c>
      <c r="F1411" t="s">
        <v>664</v>
      </c>
      <c r="G1411" t="s">
        <v>493</v>
      </c>
      <c r="H1411" t="s">
        <v>493</v>
      </c>
      <c r="J1411">
        <v>23</v>
      </c>
      <c r="K1411">
        <f t="shared" si="93"/>
        <v>23</v>
      </c>
      <c r="L1411" t="s">
        <v>617</v>
      </c>
      <c r="R1411" t="s">
        <v>1349</v>
      </c>
      <c r="S1411" t="s">
        <v>1367</v>
      </c>
    </row>
    <row r="1412" spans="1:19" x14ac:dyDescent="0.25">
      <c r="A1412" t="s">
        <v>341</v>
      </c>
      <c r="B1412" s="4">
        <v>43548</v>
      </c>
      <c r="C1412" s="9">
        <f t="shared" si="94"/>
        <v>3</v>
      </c>
      <c r="D1412">
        <f t="shared" si="91"/>
        <v>2019</v>
      </c>
      <c r="E1412">
        <f t="shared" si="92"/>
        <v>0</v>
      </c>
      <c r="F1412" t="s">
        <v>664</v>
      </c>
      <c r="G1412" t="s">
        <v>493</v>
      </c>
      <c r="H1412" t="s">
        <v>493</v>
      </c>
      <c r="J1412">
        <v>14</v>
      </c>
      <c r="K1412">
        <f t="shared" si="93"/>
        <v>14</v>
      </c>
      <c r="L1412" t="s">
        <v>617</v>
      </c>
      <c r="R1412" t="s">
        <v>1349</v>
      </c>
      <c r="S1412" t="s">
        <v>1367</v>
      </c>
    </row>
    <row r="1413" spans="1:19" x14ac:dyDescent="0.25">
      <c r="A1413" t="s">
        <v>341</v>
      </c>
      <c r="B1413" s="4">
        <v>43548</v>
      </c>
      <c r="C1413" s="9">
        <f t="shared" si="94"/>
        <v>3</v>
      </c>
      <c r="D1413">
        <f t="shared" si="91"/>
        <v>2019</v>
      </c>
      <c r="E1413">
        <f t="shared" si="92"/>
        <v>0</v>
      </c>
      <c r="F1413" t="s">
        <v>664</v>
      </c>
      <c r="G1413" t="s">
        <v>493</v>
      </c>
      <c r="H1413" t="s">
        <v>618</v>
      </c>
      <c r="J1413">
        <v>21</v>
      </c>
      <c r="K1413">
        <f t="shared" si="93"/>
        <v>21</v>
      </c>
      <c r="L1413" t="s">
        <v>617</v>
      </c>
      <c r="R1413" t="s">
        <v>1349</v>
      </c>
      <c r="S1413" t="s">
        <v>1367</v>
      </c>
    </row>
    <row r="1414" spans="1:19" x14ac:dyDescent="0.25">
      <c r="A1414" t="s">
        <v>341</v>
      </c>
      <c r="B1414" s="4">
        <v>43552</v>
      </c>
      <c r="C1414" s="9">
        <f t="shared" si="94"/>
        <v>3</v>
      </c>
      <c r="D1414">
        <f t="shared" si="91"/>
        <v>2019</v>
      </c>
      <c r="E1414">
        <f t="shared" si="92"/>
        <v>1</v>
      </c>
      <c r="F1414" t="s">
        <v>664</v>
      </c>
      <c r="G1414" t="s">
        <v>409</v>
      </c>
      <c r="H1414" t="s">
        <v>153</v>
      </c>
      <c r="J1414">
        <v>52</v>
      </c>
      <c r="K1414">
        <f t="shared" si="93"/>
        <v>52</v>
      </c>
      <c r="R1414" t="s">
        <v>1348</v>
      </c>
    </row>
    <row r="1415" spans="1:19" x14ac:dyDescent="0.25">
      <c r="A1415" t="s">
        <v>341</v>
      </c>
      <c r="B1415" s="4">
        <v>43554</v>
      </c>
      <c r="C1415" s="9">
        <f t="shared" si="94"/>
        <v>3</v>
      </c>
      <c r="D1415">
        <f t="shared" si="91"/>
        <v>2019</v>
      </c>
      <c r="E1415">
        <f t="shared" si="92"/>
        <v>1</v>
      </c>
      <c r="F1415" t="s">
        <v>664</v>
      </c>
      <c r="G1415" t="s">
        <v>101</v>
      </c>
      <c r="H1415" t="s">
        <v>244</v>
      </c>
      <c r="J1415">
        <v>32</v>
      </c>
      <c r="K1415">
        <f t="shared" si="93"/>
        <v>32</v>
      </c>
      <c r="R1415" t="s">
        <v>1348</v>
      </c>
    </row>
    <row r="1416" spans="1:19" x14ac:dyDescent="0.25">
      <c r="A1416" t="s">
        <v>341</v>
      </c>
      <c r="B1416" s="4">
        <v>43555</v>
      </c>
      <c r="C1416" s="9">
        <f t="shared" si="94"/>
        <v>3</v>
      </c>
      <c r="D1416">
        <f t="shared" si="91"/>
        <v>2019</v>
      </c>
      <c r="E1416">
        <f t="shared" si="92"/>
        <v>1</v>
      </c>
      <c r="F1416" t="s">
        <v>664</v>
      </c>
      <c r="G1416" t="s">
        <v>409</v>
      </c>
      <c r="H1416" t="s">
        <v>244</v>
      </c>
      <c r="I1416">
        <v>1</v>
      </c>
      <c r="J1416">
        <v>42</v>
      </c>
      <c r="K1416">
        <f t="shared" si="93"/>
        <v>102</v>
      </c>
      <c r="R1416" t="s">
        <v>1348</v>
      </c>
    </row>
    <row r="1417" spans="1:19" x14ac:dyDescent="0.25">
      <c r="A1417" t="s">
        <v>341</v>
      </c>
      <c r="B1417" s="4">
        <v>43568</v>
      </c>
      <c r="C1417" s="9">
        <f t="shared" si="94"/>
        <v>4</v>
      </c>
      <c r="D1417">
        <f t="shared" si="91"/>
        <v>2019</v>
      </c>
      <c r="E1417">
        <f t="shared" si="92"/>
        <v>1</v>
      </c>
      <c r="F1417" t="s">
        <v>664</v>
      </c>
      <c r="G1417" t="s">
        <v>828</v>
      </c>
      <c r="H1417" t="s">
        <v>829</v>
      </c>
      <c r="I1417">
        <v>1</v>
      </c>
      <c r="J1417">
        <v>11</v>
      </c>
      <c r="K1417">
        <f t="shared" si="93"/>
        <v>71</v>
      </c>
      <c r="L1417" t="s">
        <v>841</v>
      </c>
      <c r="R1417" t="s">
        <v>1349</v>
      </c>
    </row>
    <row r="1418" spans="1:19" x14ac:dyDescent="0.25">
      <c r="A1418" t="s">
        <v>341</v>
      </c>
      <c r="B1418" s="4">
        <v>43569</v>
      </c>
      <c r="C1418" s="9">
        <f t="shared" si="94"/>
        <v>4</v>
      </c>
      <c r="D1418">
        <f t="shared" si="91"/>
        <v>2019</v>
      </c>
      <c r="E1418">
        <f t="shared" si="92"/>
        <v>1</v>
      </c>
      <c r="F1418" t="s">
        <v>664</v>
      </c>
      <c r="G1418" t="s">
        <v>997</v>
      </c>
      <c r="H1418" t="s">
        <v>829</v>
      </c>
      <c r="J1418">
        <v>38</v>
      </c>
      <c r="K1418">
        <f t="shared" si="93"/>
        <v>38</v>
      </c>
      <c r="L1418" t="s">
        <v>841</v>
      </c>
      <c r="R1418" t="s">
        <v>1349</v>
      </c>
    </row>
    <row r="1419" spans="1:19" x14ac:dyDescent="0.25">
      <c r="A1419" t="s">
        <v>341</v>
      </c>
      <c r="B1419" s="4">
        <v>43570</v>
      </c>
      <c r="C1419" s="9">
        <f t="shared" si="94"/>
        <v>4</v>
      </c>
      <c r="D1419">
        <f t="shared" si="91"/>
        <v>2019</v>
      </c>
      <c r="E1419">
        <f t="shared" si="92"/>
        <v>1</v>
      </c>
      <c r="F1419" t="s">
        <v>664</v>
      </c>
      <c r="G1419" t="s">
        <v>830</v>
      </c>
      <c r="H1419" t="s">
        <v>830</v>
      </c>
      <c r="J1419">
        <v>16</v>
      </c>
      <c r="K1419">
        <f t="shared" si="93"/>
        <v>16</v>
      </c>
      <c r="L1419" t="s">
        <v>841</v>
      </c>
      <c r="R1419" t="s">
        <v>1349</v>
      </c>
    </row>
    <row r="1420" spans="1:19" x14ac:dyDescent="0.25">
      <c r="A1420" t="s">
        <v>341</v>
      </c>
      <c r="B1420" s="4">
        <v>43571</v>
      </c>
      <c r="C1420" s="9">
        <f t="shared" si="94"/>
        <v>4</v>
      </c>
      <c r="D1420">
        <f t="shared" si="91"/>
        <v>2019</v>
      </c>
      <c r="E1420">
        <f t="shared" si="92"/>
        <v>1</v>
      </c>
      <c r="F1420" t="s">
        <v>664</v>
      </c>
      <c r="G1420" t="s">
        <v>831</v>
      </c>
      <c r="H1420" t="s">
        <v>832</v>
      </c>
      <c r="J1420">
        <v>28</v>
      </c>
      <c r="K1420">
        <f t="shared" si="93"/>
        <v>28</v>
      </c>
      <c r="L1420" t="s">
        <v>841</v>
      </c>
      <c r="R1420" t="s">
        <v>1349</v>
      </c>
    </row>
    <row r="1421" spans="1:19" x14ac:dyDescent="0.25">
      <c r="A1421" t="s">
        <v>341</v>
      </c>
      <c r="B1421" s="4">
        <v>43571</v>
      </c>
      <c r="C1421" s="9">
        <f t="shared" si="94"/>
        <v>4</v>
      </c>
      <c r="D1421">
        <f t="shared" si="91"/>
        <v>2019</v>
      </c>
      <c r="E1421">
        <f t="shared" si="92"/>
        <v>0</v>
      </c>
      <c r="F1421" t="s">
        <v>664</v>
      </c>
      <c r="G1421" t="s">
        <v>828</v>
      </c>
      <c r="H1421" t="s">
        <v>829</v>
      </c>
      <c r="J1421">
        <v>26</v>
      </c>
      <c r="K1421">
        <f t="shared" si="93"/>
        <v>26</v>
      </c>
      <c r="L1421" t="s">
        <v>841</v>
      </c>
      <c r="R1421" t="s">
        <v>1349</v>
      </c>
    </row>
    <row r="1422" spans="1:19" x14ac:dyDescent="0.25">
      <c r="A1422" t="s">
        <v>341</v>
      </c>
      <c r="B1422" s="4">
        <v>43572</v>
      </c>
      <c r="C1422" s="9">
        <f t="shared" si="94"/>
        <v>4</v>
      </c>
      <c r="D1422">
        <f t="shared" si="91"/>
        <v>2019</v>
      </c>
      <c r="E1422">
        <f t="shared" si="92"/>
        <v>1</v>
      </c>
      <c r="F1422" t="s">
        <v>664</v>
      </c>
      <c r="G1422" t="s">
        <v>1001</v>
      </c>
      <c r="H1422" t="s">
        <v>833</v>
      </c>
      <c r="I1422">
        <v>1</v>
      </c>
      <c r="J1422">
        <v>15</v>
      </c>
      <c r="K1422">
        <f t="shared" si="93"/>
        <v>75</v>
      </c>
      <c r="L1422" t="s">
        <v>841</v>
      </c>
      <c r="M1422" t="s">
        <v>834</v>
      </c>
      <c r="R1422" t="s">
        <v>1349</v>
      </c>
    </row>
    <row r="1423" spans="1:19" x14ac:dyDescent="0.25">
      <c r="A1423" t="s">
        <v>341</v>
      </c>
      <c r="B1423" s="4">
        <v>43572</v>
      </c>
      <c r="C1423" s="9">
        <f t="shared" si="94"/>
        <v>4</v>
      </c>
      <c r="D1423">
        <f t="shared" si="91"/>
        <v>2019</v>
      </c>
      <c r="E1423">
        <f t="shared" si="92"/>
        <v>0</v>
      </c>
      <c r="F1423" t="s">
        <v>664</v>
      </c>
      <c r="G1423" t="s">
        <v>833</v>
      </c>
      <c r="H1423" t="s">
        <v>833</v>
      </c>
      <c r="I1423">
        <v>1</v>
      </c>
      <c r="J1423">
        <v>0</v>
      </c>
      <c r="K1423">
        <f t="shared" si="93"/>
        <v>60</v>
      </c>
      <c r="L1423" t="s">
        <v>841</v>
      </c>
      <c r="R1423" t="s">
        <v>1349</v>
      </c>
    </row>
    <row r="1424" spans="1:19" x14ac:dyDescent="0.25">
      <c r="A1424" t="s">
        <v>341</v>
      </c>
      <c r="B1424" s="4">
        <v>43572</v>
      </c>
      <c r="C1424" s="9">
        <f t="shared" si="94"/>
        <v>4</v>
      </c>
      <c r="D1424">
        <f t="shared" si="91"/>
        <v>2019</v>
      </c>
      <c r="E1424">
        <f t="shared" si="92"/>
        <v>0</v>
      </c>
      <c r="F1424" t="s">
        <v>664</v>
      </c>
      <c r="G1424" t="s">
        <v>833</v>
      </c>
      <c r="H1424" t="s">
        <v>833</v>
      </c>
      <c r="J1424">
        <v>19</v>
      </c>
      <c r="K1424">
        <f t="shared" si="93"/>
        <v>19</v>
      </c>
      <c r="L1424" t="s">
        <v>841</v>
      </c>
      <c r="R1424" t="s">
        <v>1349</v>
      </c>
    </row>
    <row r="1425" spans="1:18" x14ac:dyDescent="0.25">
      <c r="A1425" t="s">
        <v>341</v>
      </c>
      <c r="B1425" s="4">
        <v>43573</v>
      </c>
      <c r="C1425" s="9">
        <f t="shared" si="94"/>
        <v>4</v>
      </c>
      <c r="D1425">
        <f t="shared" si="91"/>
        <v>2019</v>
      </c>
      <c r="E1425">
        <f t="shared" si="92"/>
        <v>1</v>
      </c>
      <c r="F1425" t="s">
        <v>664</v>
      </c>
      <c r="G1425" t="s">
        <v>835</v>
      </c>
      <c r="H1425" t="s">
        <v>835</v>
      </c>
      <c r="J1425">
        <v>8</v>
      </c>
      <c r="K1425">
        <f t="shared" si="93"/>
        <v>8</v>
      </c>
      <c r="L1425" t="s">
        <v>841</v>
      </c>
      <c r="R1425" t="s">
        <v>1349</v>
      </c>
    </row>
    <row r="1426" spans="1:18" x14ac:dyDescent="0.25">
      <c r="A1426" t="s">
        <v>341</v>
      </c>
      <c r="B1426" s="4">
        <v>43573</v>
      </c>
      <c r="C1426" s="9">
        <f t="shared" si="94"/>
        <v>4</v>
      </c>
      <c r="D1426">
        <f t="shared" si="91"/>
        <v>2019</v>
      </c>
      <c r="E1426">
        <f t="shared" si="92"/>
        <v>0</v>
      </c>
      <c r="F1426" t="s">
        <v>664</v>
      </c>
      <c r="G1426" t="s">
        <v>835</v>
      </c>
      <c r="H1426" t="s">
        <v>836</v>
      </c>
      <c r="I1426">
        <v>1</v>
      </c>
      <c r="J1426">
        <v>21</v>
      </c>
      <c r="K1426">
        <f t="shared" si="93"/>
        <v>81</v>
      </c>
      <c r="L1426" t="s">
        <v>841</v>
      </c>
      <c r="R1426" t="s">
        <v>1349</v>
      </c>
    </row>
    <row r="1427" spans="1:18" x14ac:dyDescent="0.25">
      <c r="A1427" t="s">
        <v>341</v>
      </c>
      <c r="B1427" s="4">
        <v>43574</v>
      </c>
      <c r="C1427" s="9">
        <f t="shared" si="94"/>
        <v>4</v>
      </c>
      <c r="D1427">
        <f t="shared" si="91"/>
        <v>2019</v>
      </c>
      <c r="E1427">
        <f t="shared" si="92"/>
        <v>1</v>
      </c>
      <c r="F1427" t="s">
        <v>664</v>
      </c>
      <c r="G1427" t="s">
        <v>828</v>
      </c>
      <c r="H1427" t="s">
        <v>837</v>
      </c>
      <c r="I1427">
        <v>1</v>
      </c>
      <c r="J1427">
        <v>11</v>
      </c>
      <c r="K1427">
        <f t="shared" si="93"/>
        <v>71</v>
      </c>
      <c r="L1427" t="s">
        <v>841</v>
      </c>
      <c r="R1427" t="s">
        <v>1349</v>
      </c>
    </row>
    <row r="1428" spans="1:18" x14ac:dyDescent="0.25">
      <c r="A1428" t="s">
        <v>341</v>
      </c>
      <c r="B1428" s="4">
        <v>43586</v>
      </c>
      <c r="C1428" s="9">
        <f t="shared" si="94"/>
        <v>5</v>
      </c>
      <c r="D1428">
        <f t="shared" si="91"/>
        <v>2019</v>
      </c>
      <c r="E1428">
        <f t="shared" si="92"/>
        <v>1</v>
      </c>
      <c r="F1428" t="s">
        <v>664</v>
      </c>
      <c r="G1428" t="s">
        <v>838</v>
      </c>
      <c r="H1428" t="s">
        <v>839</v>
      </c>
      <c r="I1428">
        <v>1</v>
      </c>
      <c r="J1428">
        <v>12</v>
      </c>
      <c r="K1428">
        <f t="shared" si="93"/>
        <v>72</v>
      </c>
      <c r="M1428" t="s">
        <v>840</v>
      </c>
      <c r="R1428" t="s">
        <v>1348</v>
      </c>
    </row>
    <row r="1429" spans="1:18" x14ac:dyDescent="0.25">
      <c r="A1429" t="s">
        <v>341</v>
      </c>
      <c r="B1429" s="4">
        <v>43616</v>
      </c>
      <c r="C1429" s="9">
        <f t="shared" si="94"/>
        <v>5</v>
      </c>
      <c r="D1429">
        <f t="shared" si="91"/>
        <v>2019</v>
      </c>
      <c r="E1429">
        <f t="shared" si="92"/>
        <v>1</v>
      </c>
      <c r="F1429" t="s">
        <v>664</v>
      </c>
      <c r="G1429" t="s">
        <v>842</v>
      </c>
      <c r="H1429" t="s">
        <v>842</v>
      </c>
      <c r="J1429">
        <v>2</v>
      </c>
      <c r="K1429">
        <f t="shared" si="93"/>
        <v>2</v>
      </c>
      <c r="L1429" t="s">
        <v>509</v>
      </c>
      <c r="M1429" t="s">
        <v>844</v>
      </c>
      <c r="R1429" t="s">
        <v>1355</v>
      </c>
    </row>
    <row r="1430" spans="1:18" x14ac:dyDescent="0.25">
      <c r="A1430" t="s">
        <v>341</v>
      </c>
      <c r="B1430" s="4">
        <v>43617</v>
      </c>
      <c r="C1430" s="9">
        <f t="shared" si="94"/>
        <v>6</v>
      </c>
      <c r="D1430">
        <f t="shared" si="91"/>
        <v>2019</v>
      </c>
      <c r="E1430">
        <f t="shared" si="92"/>
        <v>1</v>
      </c>
      <c r="F1430" t="s">
        <v>664</v>
      </c>
      <c r="G1430" t="s">
        <v>508</v>
      </c>
      <c r="H1430" t="s">
        <v>508</v>
      </c>
      <c r="I1430">
        <v>1</v>
      </c>
      <c r="J1430">
        <v>54</v>
      </c>
      <c r="K1430">
        <f t="shared" si="93"/>
        <v>114</v>
      </c>
      <c r="L1430" t="s">
        <v>509</v>
      </c>
      <c r="R1430" t="s">
        <v>1355</v>
      </c>
    </row>
    <row r="1431" spans="1:18" x14ac:dyDescent="0.25">
      <c r="A1431" t="s">
        <v>341</v>
      </c>
      <c r="B1431" s="4">
        <v>43617</v>
      </c>
      <c r="C1431" s="9">
        <f t="shared" si="94"/>
        <v>6</v>
      </c>
      <c r="D1431">
        <f t="shared" si="91"/>
        <v>2019</v>
      </c>
      <c r="E1431">
        <f t="shared" si="92"/>
        <v>0</v>
      </c>
      <c r="F1431" t="s">
        <v>664</v>
      </c>
      <c r="G1431" t="s">
        <v>508</v>
      </c>
      <c r="H1431" t="s">
        <v>508</v>
      </c>
      <c r="J1431">
        <v>12</v>
      </c>
      <c r="K1431">
        <f t="shared" si="93"/>
        <v>12</v>
      </c>
      <c r="L1431" t="s">
        <v>509</v>
      </c>
      <c r="R1431" t="s">
        <v>1355</v>
      </c>
    </row>
    <row r="1432" spans="1:18" x14ac:dyDescent="0.25">
      <c r="A1432" t="s">
        <v>341</v>
      </c>
      <c r="B1432" s="4">
        <v>43617</v>
      </c>
      <c r="C1432" s="9">
        <f t="shared" si="94"/>
        <v>6</v>
      </c>
      <c r="D1432">
        <f t="shared" si="91"/>
        <v>2019</v>
      </c>
      <c r="E1432">
        <f t="shared" si="92"/>
        <v>0</v>
      </c>
      <c r="F1432" t="s">
        <v>664</v>
      </c>
      <c r="G1432" t="s">
        <v>508</v>
      </c>
      <c r="H1432" t="s">
        <v>843</v>
      </c>
      <c r="I1432">
        <v>1</v>
      </c>
      <c r="J1432">
        <v>41</v>
      </c>
      <c r="K1432">
        <f t="shared" si="93"/>
        <v>101</v>
      </c>
      <c r="L1432" t="s">
        <v>509</v>
      </c>
      <c r="R1432" t="s">
        <v>1355</v>
      </c>
    </row>
    <row r="1433" spans="1:18" x14ac:dyDescent="0.25">
      <c r="A1433" t="s">
        <v>341</v>
      </c>
      <c r="B1433" s="4">
        <v>43618</v>
      </c>
      <c r="C1433" s="9">
        <f t="shared" si="94"/>
        <v>6</v>
      </c>
      <c r="D1433">
        <f t="shared" si="91"/>
        <v>2019</v>
      </c>
      <c r="E1433">
        <f t="shared" si="92"/>
        <v>1</v>
      </c>
      <c r="F1433" t="s">
        <v>664</v>
      </c>
      <c r="G1433" t="s">
        <v>508</v>
      </c>
      <c r="H1433" t="s">
        <v>508</v>
      </c>
      <c r="J1433">
        <v>42</v>
      </c>
      <c r="K1433">
        <f t="shared" si="93"/>
        <v>42</v>
      </c>
      <c r="L1433" t="s">
        <v>509</v>
      </c>
      <c r="R1433" t="s">
        <v>1355</v>
      </c>
    </row>
    <row r="1434" spans="1:18" x14ac:dyDescent="0.25">
      <c r="A1434" t="s">
        <v>341</v>
      </c>
      <c r="B1434" s="4">
        <v>43619</v>
      </c>
      <c r="C1434" s="9">
        <f t="shared" si="94"/>
        <v>6</v>
      </c>
      <c r="D1434">
        <f t="shared" si="91"/>
        <v>2019</v>
      </c>
      <c r="E1434">
        <f t="shared" si="92"/>
        <v>1</v>
      </c>
      <c r="F1434" t="s">
        <v>664</v>
      </c>
      <c r="G1434" t="s">
        <v>1156</v>
      </c>
      <c r="H1434" t="s">
        <v>1156</v>
      </c>
      <c r="I1434">
        <v>1</v>
      </c>
      <c r="J1434">
        <v>43</v>
      </c>
      <c r="K1434">
        <f t="shared" si="93"/>
        <v>103</v>
      </c>
      <c r="L1434" t="s">
        <v>509</v>
      </c>
      <c r="R1434" t="s">
        <v>1355</v>
      </c>
    </row>
    <row r="1435" spans="1:18" x14ac:dyDescent="0.25">
      <c r="A1435" t="s">
        <v>341</v>
      </c>
      <c r="B1435" s="4">
        <v>43624</v>
      </c>
      <c r="C1435" s="9">
        <f t="shared" si="94"/>
        <v>6</v>
      </c>
      <c r="D1435">
        <f t="shared" si="91"/>
        <v>2019</v>
      </c>
      <c r="E1435">
        <f t="shared" si="92"/>
        <v>1</v>
      </c>
      <c r="F1435" t="s">
        <v>664</v>
      </c>
      <c r="G1435" t="s">
        <v>595</v>
      </c>
      <c r="H1435" t="s">
        <v>153</v>
      </c>
      <c r="J1435">
        <v>31</v>
      </c>
      <c r="K1435">
        <f t="shared" si="93"/>
        <v>31</v>
      </c>
      <c r="M1435" t="s">
        <v>845</v>
      </c>
      <c r="R1435" t="s">
        <v>1348</v>
      </c>
    </row>
    <row r="1436" spans="1:18" x14ac:dyDescent="0.25">
      <c r="A1436" t="s">
        <v>341</v>
      </c>
      <c r="B1436" s="4">
        <v>43637</v>
      </c>
      <c r="C1436" s="9">
        <f t="shared" si="94"/>
        <v>6</v>
      </c>
      <c r="D1436">
        <f t="shared" si="91"/>
        <v>2019</v>
      </c>
      <c r="E1436">
        <f t="shared" si="92"/>
        <v>1</v>
      </c>
      <c r="F1436" t="s">
        <v>664</v>
      </c>
      <c r="G1436" t="s">
        <v>761</v>
      </c>
      <c r="H1436" t="s">
        <v>761</v>
      </c>
      <c r="J1436">
        <v>17</v>
      </c>
      <c r="K1436">
        <f t="shared" si="93"/>
        <v>17</v>
      </c>
      <c r="L1436" t="s">
        <v>763</v>
      </c>
      <c r="M1436" t="s">
        <v>769</v>
      </c>
      <c r="R1436" t="s">
        <v>1359</v>
      </c>
    </row>
    <row r="1437" spans="1:18" x14ac:dyDescent="0.25">
      <c r="A1437" t="s">
        <v>341</v>
      </c>
      <c r="B1437" s="4">
        <v>43637</v>
      </c>
      <c r="C1437" s="9">
        <f t="shared" si="94"/>
        <v>6</v>
      </c>
      <c r="D1437">
        <f t="shared" si="91"/>
        <v>2019</v>
      </c>
      <c r="E1437">
        <f t="shared" si="92"/>
        <v>0</v>
      </c>
      <c r="F1437" t="s">
        <v>664</v>
      </c>
      <c r="G1437" t="s">
        <v>761</v>
      </c>
      <c r="H1437" t="s">
        <v>761</v>
      </c>
      <c r="J1437">
        <v>13</v>
      </c>
      <c r="K1437">
        <f t="shared" si="93"/>
        <v>13</v>
      </c>
      <c r="L1437" t="s">
        <v>763</v>
      </c>
      <c r="M1437" t="s">
        <v>769</v>
      </c>
      <c r="R1437" t="s">
        <v>1359</v>
      </c>
    </row>
    <row r="1438" spans="1:18" x14ac:dyDescent="0.25">
      <c r="A1438" t="s">
        <v>341</v>
      </c>
      <c r="B1438" s="4">
        <v>43637</v>
      </c>
      <c r="C1438" s="9">
        <f t="shared" si="94"/>
        <v>6</v>
      </c>
      <c r="D1438">
        <f t="shared" si="91"/>
        <v>2019</v>
      </c>
      <c r="E1438">
        <f t="shared" si="92"/>
        <v>0</v>
      </c>
      <c r="F1438" t="s">
        <v>664</v>
      </c>
      <c r="G1438" t="s">
        <v>761</v>
      </c>
      <c r="H1438" t="s">
        <v>761</v>
      </c>
      <c r="J1438">
        <v>14</v>
      </c>
      <c r="K1438">
        <f t="shared" si="93"/>
        <v>14</v>
      </c>
      <c r="L1438" t="s">
        <v>763</v>
      </c>
      <c r="M1438" t="s">
        <v>769</v>
      </c>
      <c r="R1438" t="s">
        <v>1359</v>
      </c>
    </row>
    <row r="1439" spans="1:18" x14ac:dyDescent="0.25">
      <c r="A1439" t="s">
        <v>341</v>
      </c>
      <c r="B1439" s="4">
        <v>43637</v>
      </c>
      <c r="C1439" s="9">
        <f t="shared" si="94"/>
        <v>6</v>
      </c>
      <c r="D1439">
        <f t="shared" si="91"/>
        <v>2019</v>
      </c>
      <c r="E1439">
        <f t="shared" si="92"/>
        <v>0</v>
      </c>
      <c r="F1439" t="s">
        <v>664</v>
      </c>
      <c r="G1439" t="s">
        <v>761</v>
      </c>
      <c r="H1439" t="s">
        <v>761</v>
      </c>
      <c r="J1439">
        <v>15</v>
      </c>
      <c r="K1439">
        <f t="shared" si="93"/>
        <v>15</v>
      </c>
      <c r="L1439" t="s">
        <v>763</v>
      </c>
      <c r="M1439" t="s">
        <v>769</v>
      </c>
      <c r="R1439" t="s">
        <v>1359</v>
      </c>
    </row>
    <row r="1440" spans="1:18" x14ac:dyDescent="0.25">
      <c r="A1440" t="s">
        <v>341</v>
      </c>
      <c r="B1440" s="4">
        <v>43638</v>
      </c>
      <c r="C1440" s="9">
        <f t="shared" si="94"/>
        <v>6</v>
      </c>
      <c r="D1440">
        <f t="shared" si="91"/>
        <v>2019</v>
      </c>
      <c r="E1440">
        <f t="shared" si="92"/>
        <v>1</v>
      </c>
      <c r="F1440" t="s">
        <v>664</v>
      </c>
      <c r="G1440" t="s">
        <v>772</v>
      </c>
      <c r="H1440" t="s">
        <v>848</v>
      </c>
      <c r="I1440">
        <v>1</v>
      </c>
      <c r="J1440">
        <v>41</v>
      </c>
      <c r="K1440">
        <f t="shared" si="93"/>
        <v>101</v>
      </c>
      <c r="L1440" t="s">
        <v>763</v>
      </c>
      <c r="R1440" t="s">
        <v>1359</v>
      </c>
    </row>
    <row r="1441" spans="1:18" x14ac:dyDescent="0.25">
      <c r="A1441" t="s">
        <v>341</v>
      </c>
      <c r="B1441" s="4">
        <v>43639</v>
      </c>
      <c r="C1441" s="9">
        <f t="shared" si="94"/>
        <v>6</v>
      </c>
      <c r="D1441">
        <f t="shared" si="91"/>
        <v>2019</v>
      </c>
      <c r="E1441">
        <f t="shared" si="92"/>
        <v>1</v>
      </c>
      <c r="F1441" t="s">
        <v>664</v>
      </c>
      <c r="G1441" t="s">
        <v>776</v>
      </c>
      <c r="H1441" t="s">
        <v>849</v>
      </c>
      <c r="I1441">
        <v>4</v>
      </c>
      <c r="J1441">
        <v>47</v>
      </c>
      <c r="K1441">
        <f t="shared" si="93"/>
        <v>287</v>
      </c>
      <c r="L1441" t="s">
        <v>763</v>
      </c>
      <c r="R1441" t="s">
        <v>1359</v>
      </c>
    </row>
    <row r="1442" spans="1:18" x14ac:dyDescent="0.25">
      <c r="A1442" t="s">
        <v>341</v>
      </c>
      <c r="B1442" s="4">
        <v>43640</v>
      </c>
      <c r="C1442" s="9">
        <f t="shared" si="94"/>
        <v>6</v>
      </c>
      <c r="D1442">
        <f t="shared" si="91"/>
        <v>2019</v>
      </c>
      <c r="E1442">
        <f t="shared" si="92"/>
        <v>1</v>
      </c>
      <c r="F1442" t="s">
        <v>664</v>
      </c>
      <c r="G1442" t="s">
        <v>850</v>
      </c>
      <c r="H1442" t="s">
        <v>851</v>
      </c>
      <c r="J1442">
        <v>12</v>
      </c>
      <c r="K1442">
        <f t="shared" si="93"/>
        <v>12</v>
      </c>
      <c r="L1442" t="s">
        <v>763</v>
      </c>
      <c r="R1442" t="s">
        <v>1359</v>
      </c>
    </row>
    <row r="1443" spans="1:18" x14ac:dyDescent="0.25">
      <c r="A1443" t="s">
        <v>341</v>
      </c>
      <c r="B1443" s="4">
        <v>43640</v>
      </c>
      <c r="C1443" s="9">
        <f t="shared" si="94"/>
        <v>6</v>
      </c>
      <c r="D1443">
        <f t="shared" si="91"/>
        <v>2019</v>
      </c>
      <c r="E1443">
        <f t="shared" si="92"/>
        <v>0</v>
      </c>
      <c r="F1443" t="s">
        <v>664</v>
      </c>
      <c r="G1443" t="s">
        <v>850</v>
      </c>
      <c r="H1443" t="s">
        <v>852</v>
      </c>
      <c r="I1443">
        <v>3</v>
      </c>
      <c r="J1443">
        <v>19</v>
      </c>
      <c r="K1443">
        <f t="shared" si="93"/>
        <v>199</v>
      </c>
      <c r="L1443" t="s">
        <v>763</v>
      </c>
      <c r="R1443" t="s">
        <v>1359</v>
      </c>
    </row>
    <row r="1444" spans="1:18" x14ac:dyDescent="0.25">
      <c r="A1444" t="s">
        <v>341</v>
      </c>
      <c r="B1444" s="4">
        <v>43641</v>
      </c>
      <c r="C1444" s="9">
        <f t="shared" si="94"/>
        <v>6</v>
      </c>
      <c r="D1444">
        <f t="shared" si="91"/>
        <v>2019</v>
      </c>
      <c r="E1444">
        <f t="shared" si="92"/>
        <v>1</v>
      </c>
      <c r="F1444" t="s">
        <v>664</v>
      </c>
      <c r="G1444" t="s">
        <v>854</v>
      </c>
      <c r="H1444" t="s">
        <v>853</v>
      </c>
      <c r="I1444">
        <v>4</v>
      </c>
      <c r="J1444">
        <v>33</v>
      </c>
      <c r="K1444">
        <f t="shared" si="93"/>
        <v>273</v>
      </c>
      <c r="L1444" t="s">
        <v>763</v>
      </c>
      <c r="R1444" t="s">
        <v>1359</v>
      </c>
    </row>
    <row r="1445" spans="1:18" x14ac:dyDescent="0.25">
      <c r="A1445" t="s">
        <v>341</v>
      </c>
      <c r="B1445" s="4">
        <v>43642</v>
      </c>
      <c r="C1445" s="9">
        <f t="shared" si="94"/>
        <v>6</v>
      </c>
      <c r="D1445">
        <f t="shared" si="91"/>
        <v>2019</v>
      </c>
      <c r="E1445">
        <f t="shared" si="92"/>
        <v>1</v>
      </c>
      <c r="F1445" t="s">
        <v>664</v>
      </c>
      <c r="G1445" t="s">
        <v>761</v>
      </c>
      <c r="H1445" t="s">
        <v>761</v>
      </c>
      <c r="J1445">
        <v>14</v>
      </c>
      <c r="K1445">
        <f t="shared" si="93"/>
        <v>14</v>
      </c>
      <c r="L1445" t="s">
        <v>763</v>
      </c>
      <c r="M1445" t="s">
        <v>769</v>
      </c>
      <c r="R1445" t="s">
        <v>1359</v>
      </c>
    </row>
    <row r="1446" spans="1:18" x14ac:dyDescent="0.25">
      <c r="A1446" t="s">
        <v>341</v>
      </c>
      <c r="B1446" s="4">
        <v>43642</v>
      </c>
      <c r="C1446" s="9">
        <f t="shared" si="94"/>
        <v>6</v>
      </c>
      <c r="D1446">
        <f t="shared" si="91"/>
        <v>2019</v>
      </c>
      <c r="E1446">
        <f t="shared" si="92"/>
        <v>0</v>
      </c>
      <c r="F1446" t="s">
        <v>664</v>
      </c>
      <c r="G1446" t="s">
        <v>761</v>
      </c>
      <c r="H1446" t="s">
        <v>855</v>
      </c>
      <c r="I1446">
        <v>2</v>
      </c>
      <c r="J1446">
        <v>40</v>
      </c>
      <c r="K1446">
        <f t="shared" si="93"/>
        <v>160</v>
      </c>
      <c r="L1446" t="s">
        <v>763</v>
      </c>
      <c r="M1446" t="s">
        <v>769</v>
      </c>
      <c r="R1446" t="s">
        <v>1359</v>
      </c>
    </row>
    <row r="1447" spans="1:18" x14ac:dyDescent="0.25">
      <c r="A1447" t="s">
        <v>341</v>
      </c>
      <c r="B1447" s="4">
        <v>43660</v>
      </c>
      <c r="C1447" s="9">
        <f t="shared" si="94"/>
        <v>7</v>
      </c>
      <c r="D1447">
        <f t="shared" ref="D1447:D1510" si="95">YEAR(B1447)</f>
        <v>2019</v>
      </c>
      <c r="E1447">
        <f t="shared" ref="E1447:E1510" si="96">IF(OR(A1447 = "GS",A1447 = "BP"),IF( OR(A1446="GS",A1446="BP"),IF(B1446=B1447,0,1),1),0)</f>
        <v>1</v>
      </c>
      <c r="F1447" t="s">
        <v>664</v>
      </c>
      <c r="G1447" t="s">
        <v>101</v>
      </c>
      <c r="H1447" t="s">
        <v>856</v>
      </c>
      <c r="I1447">
        <v>1</v>
      </c>
      <c r="J1447">
        <v>29</v>
      </c>
      <c r="K1447">
        <f t="shared" ref="K1447:K1510" si="97">I1447*60+J1447</f>
        <v>89</v>
      </c>
      <c r="R1447" t="s">
        <v>1348</v>
      </c>
    </row>
    <row r="1448" spans="1:18" x14ac:dyDescent="0.25">
      <c r="A1448" t="s">
        <v>341</v>
      </c>
      <c r="B1448" s="4">
        <v>43663</v>
      </c>
      <c r="C1448" s="9">
        <f t="shared" si="94"/>
        <v>7</v>
      </c>
      <c r="D1448">
        <f t="shared" si="95"/>
        <v>2019</v>
      </c>
      <c r="E1448">
        <f t="shared" si="96"/>
        <v>1</v>
      </c>
      <c r="F1448" t="s">
        <v>664</v>
      </c>
      <c r="G1448" t="s">
        <v>595</v>
      </c>
      <c r="H1448" t="s">
        <v>153</v>
      </c>
      <c r="I1448">
        <v>1</v>
      </c>
      <c r="J1448">
        <v>8</v>
      </c>
      <c r="K1448">
        <f t="shared" si="97"/>
        <v>68</v>
      </c>
      <c r="R1448" t="s">
        <v>1348</v>
      </c>
    </row>
    <row r="1449" spans="1:18" x14ac:dyDescent="0.25">
      <c r="A1449" t="s">
        <v>341</v>
      </c>
      <c r="B1449" s="4">
        <v>43667</v>
      </c>
      <c r="C1449" s="9">
        <f t="shared" si="94"/>
        <v>7</v>
      </c>
      <c r="D1449">
        <f t="shared" si="95"/>
        <v>2019</v>
      </c>
      <c r="E1449">
        <f t="shared" si="96"/>
        <v>1</v>
      </c>
      <c r="F1449" t="s">
        <v>664</v>
      </c>
      <c r="G1449" t="s">
        <v>406</v>
      </c>
      <c r="H1449" t="s">
        <v>244</v>
      </c>
      <c r="I1449">
        <v>1</v>
      </c>
      <c r="J1449">
        <v>15</v>
      </c>
      <c r="K1449">
        <f t="shared" si="97"/>
        <v>75</v>
      </c>
      <c r="R1449" t="s">
        <v>1348</v>
      </c>
    </row>
    <row r="1450" spans="1:18" x14ac:dyDescent="0.25">
      <c r="A1450" t="s">
        <v>341</v>
      </c>
      <c r="B1450" s="4">
        <v>43668</v>
      </c>
      <c r="C1450" s="9">
        <f t="shared" si="94"/>
        <v>7</v>
      </c>
      <c r="D1450">
        <f t="shared" si="95"/>
        <v>2019</v>
      </c>
      <c r="E1450">
        <f t="shared" si="96"/>
        <v>1</v>
      </c>
      <c r="F1450" t="s">
        <v>664</v>
      </c>
      <c r="G1450" t="s">
        <v>595</v>
      </c>
      <c r="H1450" t="s">
        <v>244</v>
      </c>
      <c r="J1450">
        <v>30</v>
      </c>
      <c r="K1450">
        <f t="shared" si="97"/>
        <v>30</v>
      </c>
      <c r="R1450" t="s">
        <v>1348</v>
      </c>
    </row>
    <row r="1451" spans="1:18" x14ac:dyDescent="0.25">
      <c r="A1451" t="s">
        <v>341</v>
      </c>
      <c r="B1451" s="4">
        <v>43669</v>
      </c>
      <c r="C1451" s="9">
        <f t="shared" si="94"/>
        <v>7</v>
      </c>
      <c r="D1451">
        <f t="shared" si="95"/>
        <v>2019</v>
      </c>
      <c r="E1451">
        <f t="shared" si="96"/>
        <v>1</v>
      </c>
      <c r="F1451" t="s">
        <v>664</v>
      </c>
      <c r="G1451" t="s">
        <v>101</v>
      </c>
      <c r="H1451" t="s">
        <v>244</v>
      </c>
      <c r="I1451">
        <v>2</v>
      </c>
      <c r="J1451">
        <v>19</v>
      </c>
      <c r="K1451">
        <f t="shared" si="97"/>
        <v>139</v>
      </c>
      <c r="R1451" t="s">
        <v>1348</v>
      </c>
    </row>
    <row r="1452" spans="1:18" x14ac:dyDescent="0.25">
      <c r="A1452" t="s">
        <v>341</v>
      </c>
      <c r="B1452" s="4">
        <v>43675</v>
      </c>
      <c r="C1452" s="9">
        <f t="shared" si="94"/>
        <v>7</v>
      </c>
      <c r="D1452">
        <f t="shared" si="95"/>
        <v>2019</v>
      </c>
      <c r="E1452">
        <f t="shared" si="96"/>
        <v>1</v>
      </c>
      <c r="F1452" t="s">
        <v>664</v>
      </c>
      <c r="G1452" t="s">
        <v>409</v>
      </c>
      <c r="H1452" t="s">
        <v>244</v>
      </c>
      <c r="J1452">
        <v>36</v>
      </c>
      <c r="K1452">
        <f t="shared" si="97"/>
        <v>36</v>
      </c>
      <c r="R1452" t="s">
        <v>1348</v>
      </c>
    </row>
    <row r="1453" spans="1:18" x14ac:dyDescent="0.25">
      <c r="A1453" t="s">
        <v>341</v>
      </c>
      <c r="B1453" s="4">
        <v>43676</v>
      </c>
      <c r="C1453" s="9">
        <f t="shared" si="94"/>
        <v>7</v>
      </c>
      <c r="D1453">
        <f t="shared" si="95"/>
        <v>2019</v>
      </c>
      <c r="E1453">
        <f t="shared" si="96"/>
        <v>1</v>
      </c>
      <c r="F1453" t="s">
        <v>664</v>
      </c>
      <c r="G1453" t="s">
        <v>595</v>
      </c>
      <c r="H1453" t="s">
        <v>153</v>
      </c>
      <c r="J1453">
        <v>30</v>
      </c>
      <c r="K1453">
        <f t="shared" si="97"/>
        <v>30</v>
      </c>
      <c r="R1453" t="s">
        <v>1348</v>
      </c>
    </row>
    <row r="1454" spans="1:18" x14ac:dyDescent="0.25">
      <c r="A1454" t="s">
        <v>341</v>
      </c>
      <c r="B1454" s="4">
        <v>43678</v>
      </c>
      <c r="C1454" s="9">
        <f t="shared" si="94"/>
        <v>8</v>
      </c>
      <c r="D1454">
        <f t="shared" si="95"/>
        <v>2019</v>
      </c>
      <c r="E1454">
        <f t="shared" si="96"/>
        <v>1</v>
      </c>
      <c r="F1454" t="s">
        <v>664</v>
      </c>
      <c r="G1454" t="s">
        <v>406</v>
      </c>
      <c r="H1454" t="s">
        <v>153</v>
      </c>
      <c r="I1454">
        <v>1</v>
      </c>
      <c r="J1454">
        <v>43</v>
      </c>
      <c r="K1454">
        <f t="shared" si="97"/>
        <v>103</v>
      </c>
      <c r="M1454" t="s">
        <v>857</v>
      </c>
      <c r="R1454" t="s">
        <v>1348</v>
      </c>
    </row>
    <row r="1455" spans="1:18" x14ac:dyDescent="0.25">
      <c r="A1455" t="s">
        <v>341</v>
      </c>
      <c r="B1455" s="4">
        <v>43680</v>
      </c>
      <c r="C1455" s="9">
        <f t="shared" si="94"/>
        <v>8</v>
      </c>
      <c r="D1455">
        <f t="shared" si="95"/>
        <v>2019</v>
      </c>
      <c r="E1455">
        <f t="shared" si="96"/>
        <v>1</v>
      </c>
      <c r="F1455" t="s">
        <v>664</v>
      </c>
      <c r="G1455" t="s">
        <v>101</v>
      </c>
      <c r="H1455" t="s">
        <v>244</v>
      </c>
      <c r="J1455">
        <v>41</v>
      </c>
      <c r="K1455">
        <f t="shared" si="97"/>
        <v>41</v>
      </c>
      <c r="M1455" t="s">
        <v>587</v>
      </c>
      <c r="R1455" t="s">
        <v>1348</v>
      </c>
    </row>
    <row r="1456" spans="1:18" x14ac:dyDescent="0.25">
      <c r="A1456" t="s">
        <v>341</v>
      </c>
      <c r="B1456" s="4">
        <v>43681</v>
      </c>
      <c r="C1456" s="9">
        <f t="shared" si="94"/>
        <v>8</v>
      </c>
      <c r="D1456">
        <f t="shared" si="95"/>
        <v>2019</v>
      </c>
      <c r="E1456">
        <f t="shared" si="96"/>
        <v>1</v>
      </c>
      <c r="F1456" t="s">
        <v>664</v>
      </c>
      <c r="G1456" t="s">
        <v>406</v>
      </c>
      <c r="H1456" t="s">
        <v>244</v>
      </c>
      <c r="I1456">
        <v>1</v>
      </c>
      <c r="J1456">
        <v>38</v>
      </c>
      <c r="K1456">
        <f t="shared" si="97"/>
        <v>98</v>
      </c>
      <c r="M1456" t="s">
        <v>805</v>
      </c>
      <c r="R1456" t="s">
        <v>1348</v>
      </c>
    </row>
    <row r="1457" spans="1:18" x14ac:dyDescent="0.25">
      <c r="A1457" t="s">
        <v>341</v>
      </c>
      <c r="B1457" s="4">
        <v>43685</v>
      </c>
      <c r="C1457" s="9">
        <f t="shared" si="94"/>
        <v>8</v>
      </c>
      <c r="D1457">
        <f t="shared" si="95"/>
        <v>2019</v>
      </c>
      <c r="E1457">
        <f t="shared" si="96"/>
        <v>1</v>
      </c>
      <c r="F1457" t="s">
        <v>664</v>
      </c>
      <c r="G1457" t="s">
        <v>595</v>
      </c>
      <c r="H1457" t="s">
        <v>153</v>
      </c>
      <c r="I1457">
        <v>1</v>
      </c>
      <c r="J1457">
        <v>4</v>
      </c>
      <c r="K1457">
        <f t="shared" si="97"/>
        <v>64</v>
      </c>
      <c r="R1457" t="s">
        <v>1348</v>
      </c>
    </row>
    <row r="1458" spans="1:18" x14ac:dyDescent="0.25">
      <c r="A1458" t="s">
        <v>341</v>
      </c>
      <c r="B1458" s="4">
        <v>43686</v>
      </c>
      <c r="C1458" s="9">
        <f t="shared" si="94"/>
        <v>8</v>
      </c>
      <c r="D1458">
        <f t="shared" si="95"/>
        <v>2019</v>
      </c>
      <c r="E1458">
        <f t="shared" si="96"/>
        <v>1</v>
      </c>
      <c r="F1458" t="s">
        <v>664</v>
      </c>
      <c r="G1458" t="s">
        <v>409</v>
      </c>
      <c r="H1458" t="s">
        <v>320</v>
      </c>
      <c r="J1458">
        <v>20</v>
      </c>
      <c r="K1458">
        <f t="shared" si="97"/>
        <v>20</v>
      </c>
      <c r="R1458" t="s">
        <v>1348</v>
      </c>
    </row>
    <row r="1459" spans="1:18" x14ac:dyDescent="0.25">
      <c r="A1459" t="s">
        <v>341</v>
      </c>
      <c r="B1459" s="4">
        <v>43702</v>
      </c>
      <c r="C1459" s="9">
        <f t="shared" si="94"/>
        <v>8</v>
      </c>
      <c r="D1459">
        <f t="shared" si="95"/>
        <v>2019</v>
      </c>
      <c r="E1459">
        <f t="shared" si="96"/>
        <v>1</v>
      </c>
      <c r="F1459" t="s">
        <v>664</v>
      </c>
      <c r="G1459" t="s">
        <v>858</v>
      </c>
      <c r="H1459" t="s">
        <v>858</v>
      </c>
      <c r="J1459">
        <v>5</v>
      </c>
      <c r="K1459">
        <f t="shared" si="97"/>
        <v>5</v>
      </c>
      <c r="L1459" t="s">
        <v>872</v>
      </c>
      <c r="M1459" t="s">
        <v>873</v>
      </c>
      <c r="R1459" t="s">
        <v>1361</v>
      </c>
    </row>
    <row r="1460" spans="1:18" x14ac:dyDescent="0.25">
      <c r="A1460" t="s">
        <v>341</v>
      </c>
      <c r="B1460" s="4">
        <v>43703</v>
      </c>
      <c r="C1460" s="9">
        <f t="shared" si="94"/>
        <v>8</v>
      </c>
      <c r="D1460">
        <f t="shared" si="95"/>
        <v>2019</v>
      </c>
      <c r="E1460">
        <f t="shared" si="96"/>
        <v>1</v>
      </c>
      <c r="F1460" t="s">
        <v>664</v>
      </c>
      <c r="G1460" t="s">
        <v>859</v>
      </c>
      <c r="H1460" t="s">
        <v>860</v>
      </c>
      <c r="I1460">
        <v>2</v>
      </c>
      <c r="J1460">
        <v>13</v>
      </c>
      <c r="K1460">
        <f t="shared" si="97"/>
        <v>133</v>
      </c>
      <c r="L1460" t="s">
        <v>872</v>
      </c>
      <c r="R1460" t="s">
        <v>1361</v>
      </c>
    </row>
    <row r="1461" spans="1:18" x14ac:dyDescent="0.25">
      <c r="A1461" t="s">
        <v>341</v>
      </c>
      <c r="B1461" s="4">
        <v>43704</v>
      </c>
      <c r="C1461" s="9">
        <f t="shared" si="94"/>
        <v>8</v>
      </c>
      <c r="D1461">
        <f t="shared" si="95"/>
        <v>2019</v>
      </c>
      <c r="E1461">
        <f t="shared" si="96"/>
        <v>1</v>
      </c>
      <c r="F1461" t="s">
        <v>664</v>
      </c>
      <c r="G1461" t="s">
        <v>861</v>
      </c>
      <c r="H1461" t="s">
        <v>860</v>
      </c>
      <c r="I1461">
        <v>1</v>
      </c>
      <c r="J1461">
        <v>32</v>
      </c>
      <c r="K1461">
        <f t="shared" si="97"/>
        <v>92</v>
      </c>
      <c r="L1461" t="s">
        <v>872</v>
      </c>
      <c r="R1461" t="s">
        <v>1361</v>
      </c>
    </row>
    <row r="1462" spans="1:18" x14ac:dyDescent="0.25">
      <c r="A1462" t="s">
        <v>341</v>
      </c>
      <c r="B1462" s="4">
        <v>43705</v>
      </c>
      <c r="C1462" s="9">
        <f t="shared" si="94"/>
        <v>8</v>
      </c>
      <c r="D1462">
        <f t="shared" si="95"/>
        <v>2019</v>
      </c>
      <c r="E1462">
        <f t="shared" si="96"/>
        <v>1</v>
      </c>
      <c r="F1462" t="s">
        <v>664</v>
      </c>
      <c r="G1462" t="s">
        <v>859</v>
      </c>
      <c r="H1462" t="s">
        <v>862</v>
      </c>
      <c r="I1462">
        <v>3</v>
      </c>
      <c r="J1462">
        <v>23</v>
      </c>
      <c r="K1462">
        <f t="shared" si="97"/>
        <v>203</v>
      </c>
      <c r="L1462" t="s">
        <v>872</v>
      </c>
      <c r="R1462" t="s">
        <v>1361</v>
      </c>
    </row>
    <row r="1463" spans="1:18" x14ac:dyDescent="0.25">
      <c r="A1463" t="s">
        <v>341</v>
      </c>
      <c r="B1463" s="4">
        <v>43706</v>
      </c>
      <c r="C1463" s="9">
        <f t="shared" si="94"/>
        <v>8</v>
      </c>
      <c r="D1463">
        <f t="shared" si="95"/>
        <v>2019</v>
      </c>
      <c r="E1463">
        <f t="shared" si="96"/>
        <v>1</v>
      </c>
      <c r="F1463" t="s">
        <v>664</v>
      </c>
      <c r="G1463" t="s">
        <v>863</v>
      </c>
      <c r="H1463" t="s">
        <v>864</v>
      </c>
      <c r="I1463">
        <v>2</v>
      </c>
      <c r="J1463">
        <v>23</v>
      </c>
      <c r="K1463">
        <f t="shared" si="97"/>
        <v>143</v>
      </c>
      <c r="L1463" t="s">
        <v>872</v>
      </c>
      <c r="R1463" t="s">
        <v>1361</v>
      </c>
    </row>
    <row r="1464" spans="1:18" x14ac:dyDescent="0.25">
      <c r="A1464" t="s">
        <v>341</v>
      </c>
      <c r="B1464" s="4">
        <v>43709</v>
      </c>
      <c r="C1464" s="9">
        <f t="shared" si="94"/>
        <v>9</v>
      </c>
      <c r="D1464">
        <f t="shared" si="95"/>
        <v>2019</v>
      </c>
      <c r="E1464">
        <f t="shared" si="96"/>
        <v>1</v>
      </c>
      <c r="F1464" t="s">
        <v>664</v>
      </c>
      <c r="G1464" t="s">
        <v>865</v>
      </c>
      <c r="H1464" t="s">
        <v>866</v>
      </c>
      <c r="I1464">
        <v>2</v>
      </c>
      <c r="J1464">
        <v>57</v>
      </c>
      <c r="K1464">
        <f t="shared" si="97"/>
        <v>177</v>
      </c>
      <c r="L1464" t="s">
        <v>872</v>
      </c>
      <c r="M1464" t="s">
        <v>867</v>
      </c>
      <c r="R1464" t="s">
        <v>1361</v>
      </c>
    </row>
    <row r="1465" spans="1:18" x14ac:dyDescent="0.25">
      <c r="A1465" t="s">
        <v>341</v>
      </c>
      <c r="B1465" s="4">
        <v>43710</v>
      </c>
      <c r="C1465" s="9">
        <f t="shared" si="94"/>
        <v>9</v>
      </c>
      <c r="D1465">
        <f t="shared" si="95"/>
        <v>2019</v>
      </c>
      <c r="E1465">
        <f t="shared" si="96"/>
        <v>1</v>
      </c>
      <c r="F1465" t="s">
        <v>664</v>
      </c>
      <c r="G1465" t="s">
        <v>865</v>
      </c>
      <c r="H1465" t="s">
        <v>866</v>
      </c>
      <c r="I1465">
        <v>1</v>
      </c>
      <c r="J1465">
        <v>8</v>
      </c>
      <c r="K1465">
        <f t="shared" si="97"/>
        <v>68</v>
      </c>
      <c r="L1465" t="s">
        <v>872</v>
      </c>
      <c r="R1465" t="s">
        <v>1361</v>
      </c>
    </row>
    <row r="1466" spans="1:18" x14ac:dyDescent="0.25">
      <c r="A1466" t="s">
        <v>341</v>
      </c>
      <c r="B1466" s="4">
        <v>43711</v>
      </c>
      <c r="C1466" s="9">
        <f t="shared" si="94"/>
        <v>9</v>
      </c>
      <c r="D1466">
        <f t="shared" si="95"/>
        <v>2019</v>
      </c>
      <c r="E1466">
        <f t="shared" si="96"/>
        <v>1</v>
      </c>
      <c r="F1466" t="s">
        <v>664</v>
      </c>
      <c r="G1466" t="s">
        <v>868</v>
      </c>
      <c r="H1466" t="s">
        <v>869</v>
      </c>
      <c r="I1466">
        <v>1</v>
      </c>
      <c r="J1466">
        <v>11</v>
      </c>
      <c r="K1466">
        <f t="shared" si="97"/>
        <v>71</v>
      </c>
      <c r="L1466" t="s">
        <v>872</v>
      </c>
      <c r="R1466" t="s">
        <v>1361</v>
      </c>
    </row>
    <row r="1467" spans="1:18" x14ac:dyDescent="0.25">
      <c r="A1467" t="s">
        <v>341</v>
      </c>
      <c r="B1467" s="4">
        <v>43712</v>
      </c>
      <c r="C1467" s="9">
        <f t="shared" si="94"/>
        <v>9</v>
      </c>
      <c r="D1467">
        <f t="shared" si="95"/>
        <v>2019</v>
      </c>
      <c r="E1467">
        <f t="shared" si="96"/>
        <v>1</v>
      </c>
      <c r="F1467" t="s">
        <v>664</v>
      </c>
      <c r="G1467" t="s">
        <v>874</v>
      </c>
      <c r="H1467" t="s">
        <v>876</v>
      </c>
      <c r="J1467">
        <v>52</v>
      </c>
      <c r="K1467">
        <f t="shared" si="97"/>
        <v>52</v>
      </c>
      <c r="L1467" t="s">
        <v>872</v>
      </c>
      <c r="R1467" t="s">
        <v>1361</v>
      </c>
    </row>
    <row r="1468" spans="1:18" x14ac:dyDescent="0.25">
      <c r="A1468" t="s">
        <v>341</v>
      </c>
      <c r="B1468" s="4">
        <v>43712</v>
      </c>
      <c r="C1468" s="9">
        <f t="shared" si="94"/>
        <v>9</v>
      </c>
      <c r="D1468">
        <f t="shared" si="95"/>
        <v>2019</v>
      </c>
      <c r="E1468">
        <f t="shared" si="96"/>
        <v>0</v>
      </c>
      <c r="F1468" t="s">
        <v>664</v>
      </c>
      <c r="G1468" t="s">
        <v>874</v>
      </c>
      <c r="H1468" t="s">
        <v>870</v>
      </c>
      <c r="I1468">
        <v>1</v>
      </c>
      <c r="J1468">
        <v>6</v>
      </c>
      <c r="K1468">
        <f t="shared" si="97"/>
        <v>66</v>
      </c>
      <c r="L1468" t="s">
        <v>872</v>
      </c>
      <c r="R1468" t="s">
        <v>1361</v>
      </c>
    </row>
    <row r="1469" spans="1:18" x14ac:dyDescent="0.25">
      <c r="A1469" t="s">
        <v>341</v>
      </c>
      <c r="B1469" s="4">
        <v>43713</v>
      </c>
      <c r="C1469" s="9">
        <f t="shared" si="94"/>
        <v>9</v>
      </c>
      <c r="D1469">
        <f t="shared" si="95"/>
        <v>2019</v>
      </c>
      <c r="E1469">
        <f t="shared" si="96"/>
        <v>1</v>
      </c>
      <c r="F1469" t="s">
        <v>664</v>
      </c>
      <c r="G1469" t="s">
        <v>875</v>
      </c>
      <c r="H1469" t="s">
        <v>871</v>
      </c>
      <c r="J1469">
        <v>33</v>
      </c>
      <c r="K1469">
        <f t="shared" si="97"/>
        <v>33</v>
      </c>
      <c r="L1469" t="s">
        <v>872</v>
      </c>
      <c r="R1469" t="s">
        <v>1361</v>
      </c>
    </row>
    <row r="1470" spans="1:18" x14ac:dyDescent="0.25">
      <c r="A1470" t="s">
        <v>341</v>
      </c>
      <c r="B1470" s="4">
        <v>43714</v>
      </c>
      <c r="C1470" s="9">
        <f t="shared" si="94"/>
        <v>9</v>
      </c>
      <c r="D1470">
        <f t="shared" si="95"/>
        <v>2019</v>
      </c>
      <c r="E1470">
        <f t="shared" si="96"/>
        <v>1</v>
      </c>
      <c r="F1470" t="s">
        <v>664</v>
      </c>
      <c r="G1470" t="s">
        <v>858</v>
      </c>
      <c r="H1470" t="s">
        <v>858</v>
      </c>
      <c r="J1470">
        <v>6</v>
      </c>
      <c r="K1470">
        <f t="shared" si="97"/>
        <v>6</v>
      </c>
      <c r="L1470" t="s">
        <v>872</v>
      </c>
      <c r="R1470" t="s">
        <v>1361</v>
      </c>
    </row>
    <row r="1471" spans="1:18" x14ac:dyDescent="0.25">
      <c r="A1471" t="s">
        <v>341</v>
      </c>
      <c r="B1471" s="4">
        <v>43714</v>
      </c>
      <c r="C1471" s="9">
        <f t="shared" si="94"/>
        <v>9</v>
      </c>
      <c r="D1471">
        <f t="shared" si="95"/>
        <v>2019</v>
      </c>
      <c r="E1471">
        <f t="shared" si="96"/>
        <v>0</v>
      </c>
      <c r="F1471" t="s">
        <v>664</v>
      </c>
      <c r="G1471" t="s">
        <v>858</v>
      </c>
      <c r="H1471" t="s">
        <v>858</v>
      </c>
      <c r="J1471">
        <v>6</v>
      </c>
      <c r="K1471">
        <f t="shared" si="97"/>
        <v>6</v>
      </c>
      <c r="L1471" t="s">
        <v>872</v>
      </c>
      <c r="R1471" t="s">
        <v>1361</v>
      </c>
    </row>
    <row r="1472" spans="1:18" x14ac:dyDescent="0.25">
      <c r="A1472" t="s">
        <v>341</v>
      </c>
      <c r="B1472" s="4">
        <v>43714</v>
      </c>
      <c r="C1472" s="9">
        <f t="shared" si="94"/>
        <v>9</v>
      </c>
      <c r="D1472">
        <f t="shared" si="95"/>
        <v>2019</v>
      </c>
      <c r="E1472">
        <f t="shared" si="96"/>
        <v>0</v>
      </c>
      <c r="F1472" t="s">
        <v>664</v>
      </c>
      <c r="G1472" t="s">
        <v>858</v>
      </c>
      <c r="H1472" t="s">
        <v>858</v>
      </c>
      <c r="I1472">
        <v>1</v>
      </c>
      <c r="J1472">
        <v>11</v>
      </c>
      <c r="K1472">
        <f t="shared" si="97"/>
        <v>71</v>
      </c>
      <c r="L1472" t="s">
        <v>872</v>
      </c>
      <c r="R1472" t="s">
        <v>1361</v>
      </c>
    </row>
    <row r="1473" spans="1:18" x14ac:dyDescent="0.25">
      <c r="A1473" t="s">
        <v>341</v>
      </c>
      <c r="B1473" s="4">
        <v>43717</v>
      </c>
      <c r="C1473" s="9">
        <f t="shared" si="94"/>
        <v>9</v>
      </c>
      <c r="D1473">
        <f t="shared" si="95"/>
        <v>2019</v>
      </c>
      <c r="E1473">
        <f t="shared" si="96"/>
        <v>1</v>
      </c>
      <c r="F1473" t="s">
        <v>664</v>
      </c>
      <c r="G1473" t="s">
        <v>595</v>
      </c>
      <c r="H1473" t="s">
        <v>244</v>
      </c>
      <c r="I1473">
        <v>1</v>
      </c>
      <c r="J1473">
        <v>17</v>
      </c>
      <c r="K1473">
        <f t="shared" si="97"/>
        <v>77</v>
      </c>
      <c r="M1473" t="s">
        <v>878</v>
      </c>
      <c r="R1473" t="s">
        <v>1348</v>
      </c>
    </row>
    <row r="1474" spans="1:18" x14ac:dyDescent="0.25">
      <c r="A1474" t="s">
        <v>341</v>
      </c>
      <c r="B1474" s="4">
        <v>43719</v>
      </c>
      <c r="C1474" s="9">
        <f t="shared" si="94"/>
        <v>9</v>
      </c>
      <c r="D1474">
        <f t="shared" si="95"/>
        <v>2019</v>
      </c>
      <c r="E1474">
        <f t="shared" si="96"/>
        <v>1</v>
      </c>
      <c r="F1474" t="s">
        <v>664</v>
      </c>
      <c r="G1474" t="s">
        <v>595</v>
      </c>
      <c r="H1474" t="s">
        <v>153</v>
      </c>
      <c r="I1474">
        <v>1</v>
      </c>
      <c r="J1474">
        <v>36</v>
      </c>
      <c r="K1474">
        <f t="shared" si="97"/>
        <v>96</v>
      </c>
      <c r="R1474" t="s">
        <v>1348</v>
      </c>
    </row>
    <row r="1475" spans="1:18" x14ac:dyDescent="0.25">
      <c r="A1475" t="s">
        <v>341</v>
      </c>
      <c r="B1475" s="4">
        <v>43720</v>
      </c>
      <c r="C1475" s="9">
        <f t="shared" ref="C1475:C1536" si="98">MONTH(B1475)</f>
        <v>9</v>
      </c>
      <c r="D1475">
        <f t="shared" si="95"/>
        <v>2019</v>
      </c>
      <c r="E1475">
        <f t="shared" si="96"/>
        <v>1</v>
      </c>
      <c r="F1475" t="s">
        <v>664</v>
      </c>
      <c r="G1475" t="s">
        <v>595</v>
      </c>
      <c r="H1475" t="s">
        <v>244</v>
      </c>
      <c r="J1475">
        <v>20</v>
      </c>
      <c r="K1475">
        <f t="shared" si="97"/>
        <v>20</v>
      </c>
      <c r="M1475" t="s">
        <v>879</v>
      </c>
      <c r="R1475" t="s">
        <v>1348</v>
      </c>
    </row>
    <row r="1476" spans="1:18" x14ac:dyDescent="0.25">
      <c r="A1476" t="s">
        <v>341</v>
      </c>
      <c r="B1476" s="4">
        <v>43720</v>
      </c>
      <c r="C1476" s="9">
        <f t="shared" si="98"/>
        <v>9</v>
      </c>
      <c r="D1476">
        <f t="shared" si="95"/>
        <v>2019</v>
      </c>
      <c r="E1476">
        <f t="shared" si="96"/>
        <v>0</v>
      </c>
      <c r="F1476" t="s">
        <v>664</v>
      </c>
      <c r="G1476" t="s">
        <v>101</v>
      </c>
      <c r="H1476" t="s">
        <v>244</v>
      </c>
      <c r="I1476">
        <v>2</v>
      </c>
      <c r="J1476">
        <v>20</v>
      </c>
      <c r="K1476">
        <f t="shared" si="97"/>
        <v>140</v>
      </c>
      <c r="R1476" t="s">
        <v>1348</v>
      </c>
    </row>
    <row r="1477" spans="1:18" x14ac:dyDescent="0.25">
      <c r="A1477" t="s">
        <v>341</v>
      </c>
      <c r="B1477" s="4">
        <v>43721</v>
      </c>
      <c r="C1477" s="9">
        <f t="shared" si="98"/>
        <v>9</v>
      </c>
      <c r="D1477">
        <f t="shared" si="95"/>
        <v>2019</v>
      </c>
      <c r="E1477">
        <f t="shared" si="96"/>
        <v>1</v>
      </c>
      <c r="F1477" t="s">
        <v>664</v>
      </c>
      <c r="G1477" t="s">
        <v>595</v>
      </c>
      <c r="H1477" t="s">
        <v>244</v>
      </c>
      <c r="J1477">
        <v>33</v>
      </c>
      <c r="K1477">
        <f t="shared" si="97"/>
        <v>33</v>
      </c>
      <c r="R1477" t="s">
        <v>1348</v>
      </c>
    </row>
    <row r="1478" spans="1:18" x14ac:dyDescent="0.25">
      <c r="A1478" t="s">
        <v>344</v>
      </c>
      <c r="B1478" s="4">
        <v>43722</v>
      </c>
      <c r="C1478" s="9">
        <f t="shared" si="98"/>
        <v>9</v>
      </c>
      <c r="D1478">
        <f t="shared" si="95"/>
        <v>2019</v>
      </c>
      <c r="E1478">
        <f t="shared" si="96"/>
        <v>1</v>
      </c>
      <c r="F1478" t="s">
        <v>877</v>
      </c>
      <c r="G1478" t="s">
        <v>406</v>
      </c>
      <c r="H1478" t="s">
        <v>741</v>
      </c>
      <c r="I1478">
        <v>2</v>
      </c>
      <c r="J1478">
        <v>29</v>
      </c>
      <c r="K1478">
        <f t="shared" si="97"/>
        <v>149</v>
      </c>
      <c r="M1478" t="s">
        <v>880</v>
      </c>
      <c r="R1478" t="s">
        <v>1348</v>
      </c>
    </row>
    <row r="1479" spans="1:18" x14ac:dyDescent="0.25">
      <c r="A1479" t="s">
        <v>341</v>
      </c>
      <c r="B1479" s="4">
        <v>43723</v>
      </c>
      <c r="C1479" s="9">
        <f t="shared" si="98"/>
        <v>9</v>
      </c>
      <c r="D1479">
        <f t="shared" si="95"/>
        <v>2019</v>
      </c>
      <c r="E1479">
        <f t="shared" si="96"/>
        <v>1</v>
      </c>
      <c r="F1479" t="s">
        <v>664</v>
      </c>
      <c r="G1479" t="s">
        <v>881</v>
      </c>
      <c r="H1479" t="s">
        <v>882</v>
      </c>
      <c r="J1479">
        <v>19</v>
      </c>
      <c r="K1479">
        <f t="shared" si="97"/>
        <v>19</v>
      </c>
      <c r="M1479" t="s">
        <v>883</v>
      </c>
      <c r="R1479" t="s">
        <v>1348</v>
      </c>
    </row>
    <row r="1480" spans="1:18" x14ac:dyDescent="0.25">
      <c r="A1480" t="s">
        <v>341</v>
      </c>
      <c r="B1480" s="4">
        <v>43723</v>
      </c>
      <c r="C1480" s="9">
        <f t="shared" si="98"/>
        <v>9</v>
      </c>
      <c r="D1480">
        <f t="shared" si="95"/>
        <v>2019</v>
      </c>
      <c r="E1480">
        <f t="shared" si="96"/>
        <v>0</v>
      </c>
      <c r="F1480" t="s">
        <v>664</v>
      </c>
      <c r="G1480" t="s">
        <v>884</v>
      </c>
      <c r="H1480" t="s">
        <v>882</v>
      </c>
      <c r="J1480">
        <v>31</v>
      </c>
      <c r="K1480">
        <f t="shared" si="97"/>
        <v>31</v>
      </c>
      <c r="R1480" t="s">
        <v>1348</v>
      </c>
    </row>
    <row r="1481" spans="1:18" x14ac:dyDescent="0.25">
      <c r="A1481" t="s">
        <v>341</v>
      </c>
      <c r="B1481" s="4">
        <v>43727</v>
      </c>
      <c r="C1481" s="9">
        <f t="shared" si="98"/>
        <v>9</v>
      </c>
      <c r="D1481">
        <f t="shared" si="95"/>
        <v>2019</v>
      </c>
      <c r="E1481">
        <f t="shared" si="96"/>
        <v>1</v>
      </c>
      <c r="F1481" t="s">
        <v>664</v>
      </c>
      <c r="G1481" t="s">
        <v>595</v>
      </c>
      <c r="H1481" t="s">
        <v>244</v>
      </c>
      <c r="I1481">
        <v>1</v>
      </c>
      <c r="J1481">
        <v>43</v>
      </c>
      <c r="K1481">
        <f t="shared" si="97"/>
        <v>103</v>
      </c>
      <c r="R1481" t="s">
        <v>1348</v>
      </c>
    </row>
    <row r="1482" spans="1:18" x14ac:dyDescent="0.25">
      <c r="A1482" t="s">
        <v>341</v>
      </c>
      <c r="B1482" s="4">
        <v>43728</v>
      </c>
      <c r="C1482" s="9">
        <f t="shared" si="98"/>
        <v>9</v>
      </c>
      <c r="D1482">
        <f t="shared" si="95"/>
        <v>2019</v>
      </c>
      <c r="E1482">
        <f t="shared" si="96"/>
        <v>1</v>
      </c>
      <c r="F1482" t="s">
        <v>664</v>
      </c>
      <c r="G1482" t="s">
        <v>101</v>
      </c>
      <c r="H1482" t="s">
        <v>244</v>
      </c>
      <c r="I1482">
        <v>1</v>
      </c>
      <c r="J1482">
        <v>14</v>
      </c>
      <c r="K1482">
        <f t="shared" si="97"/>
        <v>74</v>
      </c>
      <c r="R1482" t="s">
        <v>1348</v>
      </c>
    </row>
    <row r="1483" spans="1:18" x14ac:dyDescent="0.25">
      <c r="A1483" t="s">
        <v>341</v>
      </c>
      <c r="B1483" s="4">
        <v>43744</v>
      </c>
      <c r="C1483" s="9">
        <f t="shared" si="98"/>
        <v>10</v>
      </c>
      <c r="D1483">
        <f t="shared" si="95"/>
        <v>2019</v>
      </c>
      <c r="E1483">
        <f t="shared" si="96"/>
        <v>1</v>
      </c>
      <c r="F1483" t="s">
        <v>664</v>
      </c>
      <c r="G1483" t="s">
        <v>562</v>
      </c>
      <c r="H1483" t="s">
        <v>276</v>
      </c>
      <c r="I1483">
        <v>2</v>
      </c>
      <c r="J1483">
        <v>5</v>
      </c>
      <c r="K1483">
        <f t="shared" si="97"/>
        <v>125</v>
      </c>
      <c r="L1483" t="s">
        <v>1203</v>
      </c>
      <c r="R1483" t="s">
        <v>1351</v>
      </c>
    </row>
    <row r="1484" spans="1:18" x14ac:dyDescent="0.25">
      <c r="A1484" t="s">
        <v>341</v>
      </c>
      <c r="B1484" s="4">
        <v>43745</v>
      </c>
      <c r="C1484" s="9">
        <f t="shared" si="98"/>
        <v>10</v>
      </c>
      <c r="D1484">
        <f t="shared" si="95"/>
        <v>2019</v>
      </c>
      <c r="E1484">
        <f t="shared" si="96"/>
        <v>1</v>
      </c>
      <c r="F1484" t="s">
        <v>664</v>
      </c>
      <c r="G1484" t="s">
        <v>564</v>
      </c>
      <c r="H1484" t="s">
        <v>564</v>
      </c>
      <c r="J1484">
        <v>17</v>
      </c>
      <c r="K1484">
        <f t="shared" si="97"/>
        <v>17</v>
      </c>
      <c r="L1484" t="s">
        <v>1203</v>
      </c>
      <c r="R1484" t="s">
        <v>1351</v>
      </c>
    </row>
    <row r="1485" spans="1:18" x14ac:dyDescent="0.25">
      <c r="A1485" t="s">
        <v>341</v>
      </c>
      <c r="B1485" s="4">
        <v>43745</v>
      </c>
      <c r="C1485" s="9">
        <f t="shared" si="98"/>
        <v>10</v>
      </c>
      <c r="D1485">
        <f t="shared" si="95"/>
        <v>2019</v>
      </c>
      <c r="E1485">
        <f t="shared" si="96"/>
        <v>0</v>
      </c>
      <c r="F1485" t="s">
        <v>664</v>
      </c>
      <c r="G1485" t="s">
        <v>564</v>
      </c>
      <c r="H1485" t="s">
        <v>564</v>
      </c>
      <c r="I1485">
        <v>2</v>
      </c>
      <c r="J1485">
        <v>17</v>
      </c>
      <c r="K1485">
        <f t="shared" si="97"/>
        <v>137</v>
      </c>
      <c r="L1485" t="s">
        <v>1203</v>
      </c>
      <c r="R1485" t="s">
        <v>1351</v>
      </c>
    </row>
    <row r="1486" spans="1:18" x14ac:dyDescent="0.25">
      <c r="A1486" t="s">
        <v>341</v>
      </c>
      <c r="B1486" s="4">
        <v>43745</v>
      </c>
      <c r="C1486" s="9">
        <f t="shared" si="98"/>
        <v>10</v>
      </c>
      <c r="D1486">
        <f t="shared" si="95"/>
        <v>2019</v>
      </c>
      <c r="E1486">
        <f t="shared" si="96"/>
        <v>0</v>
      </c>
      <c r="F1486" t="s">
        <v>664</v>
      </c>
      <c r="G1486" t="s">
        <v>564</v>
      </c>
      <c r="H1486" t="s">
        <v>564</v>
      </c>
      <c r="J1486">
        <v>24</v>
      </c>
      <c r="K1486">
        <f t="shared" si="97"/>
        <v>24</v>
      </c>
      <c r="L1486" t="s">
        <v>1203</v>
      </c>
      <c r="R1486" t="s">
        <v>1351</v>
      </c>
    </row>
    <row r="1487" spans="1:18" x14ac:dyDescent="0.25">
      <c r="A1487" t="s">
        <v>341</v>
      </c>
      <c r="B1487" s="4">
        <v>43746</v>
      </c>
      <c r="C1487" s="9">
        <f t="shared" si="98"/>
        <v>10</v>
      </c>
      <c r="D1487">
        <f t="shared" si="95"/>
        <v>2019</v>
      </c>
      <c r="E1487">
        <f t="shared" si="96"/>
        <v>1</v>
      </c>
      <c r="F1487" t="s">
        <v>664</v>
      </c>
      <c r="G1487" t="s">
        <v>566</v>
      </c>
      <c r="H1487" t="s">
        <v>567</v>
      </c>
      <c r="J1487">
        <v>2</v>
      </c>
      <c r="K1487">
        <v>2</v>
      </c>
      <c r="L1487" t="s">
        <v>1203</v>
      </c>
      <c r="R1487" t="s">
        <v>1351</v>
      </c>
    </row>
    <row r="1488" spans="1:18" x14ac:dyDescent="0.25">
      <c r="A1488" t="s">
        <v>341</v>
      </c>
      <c r="B1488" s="4">
        <v>43747</v>
      </c>
      <c r="C1488" s="9">
        <f t="shared" si="98"/>
        <v>10</v>
      </c>
      <c r="D1488">
        <f t="shared" si="95"/>
        <v>2019</v>
      </c>
      <c r="E1488">
        <f t="shared" si="96"/>
        <v>1</v>
      </c>
      <c r="F1488" t="s">
        <v>664</v>
      </c>
      <c r="G1488" t="s">
        <v>562</v>
      </c>
      <c r="H1488" t="s">
        <v>276</v>
      </c>
      <c r="J1488">
        <v>9</v>
      </c>
      <c r="K1488">
        <f t="shared" si="97"/>
        <v>9</v>
      </c>
      <c r="L1488" t="s">
        <v>1203</v>
      </c>
      <c r="R1488" t="s">
        <v>1351</v>
      </c>
    </row>
    <row r="1489" spans="1:18" x14ac:dyDescent="0.25">
      <c r="A1489" t="s">
        <v>341</v>
      </c>
      <c r="B1489" s="4">
        <v>43748</v>
      </c>
      <c r="C1489" s="9">
        <f t="shared" si="98"/>
        <v>10</v>
      </c>
      <c r="D1489">
        <f t="shared" si="95"/>
        <v>2019</v>
      </c>
      <c r="E1489">
        <f t="shared" si="96"/>
        <v>1</v>
      </c>
      <c r="F1489" t="s">
        <v>664</v>
      </c>
      <c r="G1489" t="s">
        <v>564</v>
      </c>
      <c r="H1489" t="s">
        <v>564</v>
      </c>
      <c r="I1489">
        <v>1</v>
      </c>
      <c r="J1489">
        <v>5</v>
      </c>
      <c r="K1489">
        <f t="shared" si="97"/>
        <v>65</v>
      </c>
      <c r="L1489" t="s">
        <v>1203</v>
      </c>
      <c r="R1489" t="s">
        <v>1351</v>
      </c>
    </row>
    <row r="1490" spans="1:18" x14ac:dyDescent="0.25">
      <c r="A1490" t="s">
        <v>341</v>
      </c>
      <c r="B1490" s="4">
        <v>43748</v>
      </c>
      <c r="C1490" s="9">
        <f t="shared" si="98"/>
        <v>10</v>
      </c>
      <c r="D1490">
        <f t="shared" si="95"/>
        <v>2019</v>
      </c>
      <c r="E1490">
        <f t="shared" si="96"/>
        <v>0</v>
      </c>
      <c r="F1490" t="s">
        <v>664</v>
      </c>
      <c r="G1490" t="s">
        <v>564</v>
      </c>
      <c r="H1490" t="s">
        <v>564</v>
      </c>
      <c r="J1490">
        <v>29</v>
      </c>
      <c r="K1490">
        <f t="shared" si="97"/>
        <v>29</v>
      </c>
      <c r="L1490" t="s">
        <v>1203</v>
      </c>
      <c r="R1490" t="s">
        <v>1351</v>
      </c>
    </row>
    <row r="1491" spans="1:18" x14ac:dyDescent="0.25">
      <c r="A1491" t="s">
        <v>341</v>
      </c>
      <c r="B1491" s="4">
        <v>43748</v>
      </c>
      <c r="C1491" s="9">
        <f t="shared" si="98"/>
        <v>10</v>
      </c>
      <c r="D1491">
        <f t="shared" si="95"/>
        <v>2019</v>
      </c>
      <c r="E1491">
        <f t="shared" si="96"/>
        <v>0</v>
      </c>
      <c r="F1491" t="s">
        <v>664</v>
      </c>
      <c r="G1491" t="s">
        <v>564</v>
      </c>
      <c r="H1491" t="s">
        <v>564</v>
      </c>
      <c r="J1491">
        <v>31</v>
      </c>
      <c r="K1491">
        <f t="shared" si="97"/>
        <v>31</v>
      </c>
      <c r="L1491" t="s">
        <v>1203</v>
      </c>
      <c r="R1491" t="s">
        <v>1351</v>
      </c>
    </row>
    <row r="1492" spans="1:18" x14ac:dyDescent="0.25">
      <c r="A1492" t="s">
        <v>341</v>
      </c>
      <c r="B1492" s="4">
        <v>43748</v>
      </c>
      <c r="C1492" s="9">
        <f t="shared" si="98"/>
        <v>10</v>
      </c>
      <c r="D1492">
        <f t="shared" si="95"/>
        <v>2019</v>
      </c>
      <c r="E1492">
        <f t="shared" si="96"/>
        <v>0</v>
      </c>
      <c r="F1492" t="s">
        <v>664</v>
      </c>
      <c r="G1492" t="s">
        <v>564</v>
      </c>
      <c r="H1492" t="s">
        <v>564</v>
      </c>
      <c r="J1492">
        <v>22</v>
      </c>
      <c r="K1492">
        <f t="shared" si="97"/>
        <v>22</v>
      </c>
      <c r="L1492" t="s">
        <v>1203</v>
      </c>
      <c r="R1492" t="s">
        <v>1351</v>
      </c>
    </row>
    <row r="1493" spans="1:18" x14ac:dyDescent="0.25">
      <c r="A1493" t="s">
        <v>341</v>
      </c>
      <c r="B1493" s="4">
        <v>43749</v>
      </c>
      <c r="C1493" s="9">
        <f t="shared" si="98"/>
        <v>10</v>
      </c>
      <c r="D1493">
        <f t="shared" si="95"/>
        <v>2019</v>
      </c>
      <c r="E1493">
        <f t="shared" si="96"/>
        <v>1</v>
      </c>
      <c r="F1493" t="s">
        <v>664</v>
      </c>
      <c r="G1493" t="s">
        <v>563</v>
      </c>
      <c r="H1493" t="s">
        <v>276</v>
      </c>
      <c r="I1493">
        <v>3</v>
      </c>
      <c r="J1493">
        <v>29</v>
      </c>
      <c r="K1493">
        <f t="shared" si="97"/>
        <v>209</v>
      </c>
      <c r="L1493" t="s">
        <v>1203</v>
      </c>
      <c r="R1493" t="s">
        <v>1351</v>
      </c>
    </row>
    <row r="1494" spans="1:18" x14ac:dyDescent="0.25">
      <c r="A1494" t="s">
        <v>341</v>
      </c>
      <c r="B1494" s="4">
        <v>43749</v>
      </c>
      <c r="C1494" s="9">
        <f t="shared" si="98"/>
        <v>10</v>
      </c>
      <c r="D1494">
        <f t="shared" si="95"/>
        <v>2019</v>
      </c>
      <c r="E1494">
        <f t="shared" si="96"/>
        <v>0</v>
      </c>
      <c r="F1494" t="s">
        <v>664</v>
      </c>
      <c r="G1494" t="s">
        <v>562</v>
      </c>
      <c r="H1494" t="s">
        <v>276</v>
      </c>
      <c r="I1494">
        <v>1</v>
      </c>
      <c r="J1494">
        <v>29</v>
      </c>
      <c r="K1494">
        <f t="shared" si="97"/>
        <v>89</v>
      </c>
      <c r="L1494" t="s">
        <v>1203</v>
      </c>
      <c r="R1494" t="s">
        <v>1351</v>
      </c>
    </row>
    <row r="1495" spans="1:18" x14ac:dyDescent="0.25">
      <c r="A1495" t="s">
        <v>341</v>
      </c>
      <c r="B1495" s="4">
        <v>43750</v>
      </c>
      <c r="C1495" s="9">
        <f t="shared" si="98"/>
        <v>10</v>
      </c>
      <c r="D1495">
        <f t="shared" si="95"/>
        <v>2019</v>
      </c>
      <c r="E1495">
        <f t="shared" si="96"/>
        <v>1</v>
      </c>
      <c r="F1495" t="s">
        <v>664</v>
      </c>
      <c r="G1495" t="s">
        <v>561</v>
      </c>
      <c r="H1495" t="s">
        <v>561</v>
      </c>
      <c r="J1495">
        <v>26</v>
      </c>
      <c r="K1495">
        <f t="shared" si="97"/>
        <v>26</v>
      </c>
      <c r="L1495" t="s">
        <v>1203</v>
      </c>
      <c r="R1495" t="s">
        <v>1351</v>
      </c>
    </row>
    <row r="1496" spans="1:18" x14ac:dyDescent="0.25">
      <c r="A1496" t="s">
        <v>341</v>
      </c>
      <c r="B1496" s="4">
        <v>43764</v>
      </c>
      <c r="C1496" s="9">
        <f t="shared" si="98"/>
        <v>10</v>
      </c>
      <c r="D1496">
        <f t="shared" si="95"/>
        <v>2019</v>
      </c>
      <c r="E1496">
        <f t="shared" si="96"/>
        <v>1</v>
      </c>
      <c r="F1496" t="s">
        <v>664</v>
      </c>
      <c r="G1496" t="s">
        <v>101</v>
      </c>
      <c r="H1496" t="s">
        <v>244</v>
      </c>
      <c r="J1496">
        <v>45</v>
      </c>
      <c r="K1496">
        <f t="shared" si="97"/>
        <v>45</v>
      </c>
      <c r="R1496" t="s">
        <v>1348</v>
      </c>
    </row>
    <row r="1497" spans="1:18" x14ac:dyDescent="0.25">
      <c r="A1497" t="s">
        <v>341</v>
      </c>
      <c r="B1497" s="4">
        <v>43764</v>
      </c>
      <c r="C1497" s="9">
        <f t="shared" si="98"/>
        <v>10</v>
      </c>
      <c r="D1497">
        <f t="shared" si="95"/>
        <v>2019</v>
      </c>
      <c r="E1497">
        <f t="shared" si="96"/>
        <v>0</v>
      </c>
      <c r="F1497" t="s">
        <v>664</v>
      </c>
      <c r="G1497" t="s">
        <v>517</v>
      </c>
      <c r="H1497" t="s">
        <v>153</v>
      </c>
      <c r="I1497">
        <v>1</v>
      </c>
      <c r="J1497">
        <v>1</v>
      </c>
      <c r="K1497">
        <f t="shared" si="97"/>
        <v>61</v>
      </c>
      <c r="R1497" t="s">
        <v>1348</v>
      </c>
    </row>
    <row r="1498" spans="1:18" x14ac:dyDescent="0.25">
      <c r="A1498" t="s">
        <v>341</v>
      </c>
      <c r="B1498" s="4">
        <v>43765</v>
      </c>
      <c r="C1498" s="9">
        <f t="shared" si="98"/>
        <v>10</v>
      </c>
      <c r="D1498">
        <f t="shared" si="95"/>
        <v>2019</v>
      </c>
      <c r="E1498">
        <f t="shared" si="96"/>
        <v>1</v>
      </c>
      <c r="F1498" t="s">
        <v>664</v>
      </c>
      <c r="G1498" t="s">
        <v>517</v>
      </c>
      <c r="H1498" t="s">
        <v>244</v>
      </c>
      <c r="I1498">
        <v>1</v>
      </c>
      <c r="J1498">
        <v>21</v>
      </c>
      <c r="K1498">
        <f t="shared" si="97"/>
        <v>81</v>
      </c>
      <c r="R1498" t="s">
        <v>1348</v>
      </c>
    </row>
    <row r="1499" spans="1:18" x14ac:dyDescent="0.25">
      <c r="A1499" t="s">
        <v>341</v>
      </c>
      <c r="B1499" s="4">
        <v>43805</v>
      </c>
      <c r="C1499" s="9">
        <f t="shared" si="98"/>
        <v>12</v>
      </c>
      <c r="D1499">
        <f t="shared" si="95"/>
        <v>2019</v>
      </c>
      <c r="E1499">
        <f t="shared" si="96"/>
        <v>1</v>
      </c>
      <c r="F1499" t="s">
        <v>664</v>
      </c>
      <c r="G1499" t="s">
        <v>101</v>
      </c>
      <c r="H1499" t="s">
        <v>244</v>
      </c>
      <c r="J1499">
        <v>39</v>
      </c>
      <c r="K1499">
        <f t="shared" si="97"/>
        <v>39</v>
      </c>
      <c r="R1499" t="s">
        <v>1348</v>
      </c>
    </row>
    <row r="1500" spans="1:18" x14ac:dyDescent="0.25">
      <c r="A1500" t="s">
        <v>341</v>
      </c>
      <c r="B1500" s="4">
        <v>43829</v>
      </c>
      <c r="C1500" s="9">
        <f t="shared" si="98"/>
        <v>12</v>
      </c>
      <c r="D1500">
        <f t="shared" si="95"/>
        <v>2019</v>
      </c>
      <c r="E1500">
        <f t="shared" si="96"/>
        <v>1</v>
      </c>
      <c r="F1500" t="s">
        <v>664</v>
      </c>
      <c r="G1500" t="s">
        <v>409</v>
      </c>
      <c r="H1500" t="s">
        <v>244</v>
      </c>
      <c r="J1500">
        <v>34</v>
      </c>
      <c r="K1500">
        <f t="shared" si="97"/>
        <v>34</v>
      </c>
      <c r="R1500" t="s">
        <v>1348</v>
      </c>
    </row>
    <row r="1501" spans="1:18" x14ac:dyDescent="0.25">
      <c r="A1501" t="s">
        <v>341</v>
      </c>
      <c r="B1501" s="4">
        <v>43831</v>
      </c>
      <c r="C1501" s="9">
        <f t="shared" si="98"/>
        <v>1</v>
      </c>
      <c r="D1501">
        <f t="shared" si="95"/>
        <v>2020</v>
      </c>
      <c r="E1501">
        <f t="shared" si="96"/>
        <v>1</v>
      </c>
      <c r="F1501" t="s">
        <v>664</v>
      </c>
      <c r="G1501" t="s">
        <v>101</v>
      </c>
      <c r="H1501" t="s">
        <v>244</v>
      </c>
      <c r="J1501">
        <v>47</v>
      </c>
      <c r="K1501">
        <f t="shared" si="97"/>
        <v>47</v>
      </c>
      <c r="R1501" t="s">
        <v>1348</v>
      </c>
    </row>
    <row r="1502" spans="1:18" x14ac:dyDescent="0.25">
      <c r="A1502" t="s">
        <v>341</v>
      </c>
      <c r="B1502" s="4">
        <v>43832</v>
      </c>
      <c r="C1502" s="9">
        <f t="shared" si="98"/>
        <v>1</v>
      </c>
      <c r="D1502">
        <f t="shared" si="95"/>
        <v>2020</v>
      </c>
      <c r="E1502">
        <f t="shared" si="96"/>
        <v>1</v>
      </c>
      <c r="F1502" t="s">
        <v>664</v>
      </c>
      <c r="G1502" t="s">
        <v>409</v>
      </c>
      <c r="H1502" t="s">
        <v>244</v>
      </c>
      <c r="J1502">
        <v>33</v>
      </c>
      <c r="K1502">
        <f t="shared" si="97"/>
        <v>33</v>
      </c>
      <c r="R1502" t="s">
        <v>1348</v>
      </c>
    </row>
    <row r="1503" spans="1:18" x14ac:dyDescent="0.25">
      <c r="A1503" t="s">
        <v>341</v>
      </c>
      <c r="B1503" s="4">
        <v>43844</v>
      </c>
      <c r="C1503" s="9">
        <f t="shared" si="98"/>
        <v>1</v>
      </c>
      <c r="D1503">
        <f t="shared" si="95"/>
        <v>2020</v>
      </c>
      <c r="E1503">
        <f t="shared" si="96"/>
        <v>1</v>
      </c>
      <c r="F1503" t="s">
        <v>664</v>
      </c>
      <c r="G1503" t="s">
        <v>885</v>
      </c>
      <c r="H1503" t="s">
        <v>885</v>
      </c>
      <c r="J1503">
        <v>10</v>
      </c>
      <c r="K1503">
        <f t="shared" si="97"/>
        <v>10</v>
      </c>
      <c r="L1503" t="s">
        <v>900</v>
      </c>
      <c r="R1503" t="s">
        <v>1353</v>
      </c>
    </row>
    <row r="1504" spans="1:18" x14ac:dyDescent="0.25">
      <c r="A1504" t="s">
        <v>341</v>
      </c>
      <c r="B1504" s="4">
        <v>43844</v>
      </c>
      <c r="C1504" s="9">
        <f t="shared" si="98"/>
        <v>1</v>
      </c>
      <c r="D1504">
        <f t="shared" si="95"/>
        <v>2020</v>
      </c>
      <c r="E1504">
        <f t="shared" si="96"/>
        <v>0</v>
      </c>
      <c r="F1504" t="s">
        <v>664</v>
      </c>
      <c r="G1504" t="s">
        <v>885</v>
      </c>
      <c r="H1504" t="s">
        <v>885</v>
      </c>
      <c r="J1504">
        <v>13</v>
      </c>
      <c r="K1504">
        <f t="shared" si="97"/>
        <v>13</v>
      </c>
      <c r="L1504" t="s">
        <v>900</v>
      </c>
      <c r="R1504" t="s">
        <v>1353</v>
      </c>
    </row>
    <row r="1505" spans="1:18" x14ac:dyDescent="0.25">
      <c r="A1505" t="s">
        <v>341</v>
      </c>
      <c r="B1505" s="4">
        <v>43846</v>
      </c>
      <c r="C1505" s="9">
        <f t="shared" si="98"/>
        <v>1</v>
      </c>
      <c r="D1505">
        <f t="shared" si="95"/>
        <v>2020</v>
      </c>
      <c r="E1505">
        <f t="shared" si="96"/>
        <v>1</v>
      </c>
      <c r="F1505" t="s">
        <v>664</v>
      </c>
      <c r="G1505" t="s">
        <v>886</v>
      </c>
      <c r="H1505" t="s">
        <v>886</v>
      </c>
      <c r="I1505">
        <v>2</v>
      </c>
      <c r="J1505">
        <v>23</v>
      </c>
      <c r="K1505">
        <f t="shared" si="97"/>
        <v>143</v>
      </c>
      <c r="L1505" t="s">
        <v>900</v>
      </c>
      <c r="R1505" t="s">
        <v>1353</v>
      </c>
    </row>
    <row r="1506" spans="1:18" x14ac:dyDescent="0.25">
      <c r="A1506" t="s">
        <v>341</v>
      </c>
      <c r="B1506" s="4">
        <v>43847</v>
      </c>
      <c r="C1506" s="9">
        <f t="shared" si="98"/>
        <v>1</v>
      </c>
      <c r="D1506">
        <f t="shared" si="95"/>
        <v>2020</v>
      </c>
      <c r="E1506">
        <f t="shared" si="96"/>
        <v>1</v>
      </c>
      <c r="F1506" t="s">
        <v>664</v>
      </c>
      <c r="G1506" t="s">
        <v>887</v>
      </c>
      <c r="H1506" t="s">
        <v>888</v>
      </c>
      <c r="I1506">
        <v>1</v>
      </c>
      <c r="J1506">
        <v>46</v>
      </c>
      <c r="K1506">
        <f t="shared" si="97"/>
        <v>106</v>
      </c>
      <c r="L1506" t="s">
        <v>900</v>
      </c>
      <c r="R1506" t="s">
        <v>1353</v>
      </c>
    </row>
    <row r="1507" spans="1:18" x14ac:dyDescent="0.25">
      <c r="A1507" t="s">
        <v>341</v>
      </c>
      <c r="B1507" s="4">
        <v>43848</v>
      </c>
      <c r="C1507" s="9">
        <f t="shared" si="98"/>
        <v>1</v>
      </c>
      <c r="D1507">
        <f t="shared" si="95"/>
        <v>2020</v>
      </c>
      <c r="E1507">
        <f t="shared" si="96"/>
        <v>1</v>
      </c>
      <c r="F1507" t="s">
        <v>664</v>
      </c>
      <c r="G1507" t="s">
        <v>889</v>
      </c>
      <c r="H1507" t="s">
        <v>889</v>
      </c>
      <c r="J1507">
        <v>16</v>
      </c>
      <c r="K1507">
        <f t="shared" si="97"/>
        <v>16</v>
      </c>
      <c r="L1507" t="s">
        <v>900</v>
      </c>
      <c r="R1507" t="s">
        <v>1353</v>
      </c>
    </row>
    <row r="1508" spans="1:18" x14ac:dyDescent="0.25">
      <c r="A1508" t="s">
        <v>341</v>
      </c>
      <c r="B1508" s="4">
        <v>43848</v>
      </c>
      <c r="C1508" s="9">
        <f t="shared" si="98"/>
        <v>1</v>
      </c>
      <c r="D1508">
        <f t="shared" si="95"/>
        <v>2020</v>
      </c>
      <c r="E1508">
        <f t="shared" si="96"/>
        <v>0</v>
      </c>
      <c r="F1508" t="s">
        <v>664</v>
      </c>
      <c r="G1508" t="s">
        <v>889</v>
      </c>
      <c r="H1508" t="s">
        <v>889</v>
      </c>
      <c r="J1508">
        <v>25</v>
      </c>
      <c r="K1508">
        <f t="shared" si="97"/>
        <v>25</v>
      </c>
      <c r="L1508" t="s">
        <v>900</v>
      </c>
      <c r="R1508" t="s">
        <v>1353</v>
      </c>
    </row>
    <row r="1509" spans="1:18" x14ac:dyDescent="0.25">
      <c r="A1509" t="s">
        <v>341</v>
      </c>
      <c r="B1509" s="4">
        <v>43848</v>
      </c>
      <c r="C1509" s="9">
        <f t="shared" si="98"/>
        <v>1</v>
      </c>
      <c r="D1509">
        <f t="shared" si="95"/>
        <v>2020</v>
      </c>
      <c r="E1509">
        <f t="shared" si="96"/>
        <v>0</v>
      </c>
      <c r="F1509" t="s">
        <v>664</v>
      </c>
      <c r="G1509" t="s">
        <v>889</v>
      </c>
      <c r="H1509" t="s">
        <v>889</v>
      </c>
      <c r="J1509">
        <v>19</v>
      </c>
      <c r="K1509">
        <f t="shared" si="97"/>
        <v>19</v>
      </c>
      <c r="L1509" t="s">
        <v>900</v>
      </c>
      <c r="R1509" t="s">
        <v>1353</v>
      </c>
    </row>
    <row r="1510" spans="1:18" x14ac:dyDescent="0.25">
      <c r="A1510" t="s">
        <v>341</v>
      </c>
      <c r="B1510" s="4">
        <v>43849</v>
      </c>
      <c r="C1510" s="9">
        <f t="shared" si="98"/>
        <v>1</v>
      </c>
      <c r="D1510">
        <f t="shared" si="95"/>
        <v>2020</v>
      </c>
      <c r="E1510">
        <f t="shared" si="96"/>
        <v>1</v>
      </c>
      <c r="F1510" t="s">
        <v>664</v>
      </c>
      <c r="G1510" t="s">
        <v>890</v>
      </c>
      <c r="H1510" t="s">
        <v>890</v>
      </c>
      <c r="J1510">
        <v>22</v>
      </c>
      <c r="K1510">
        <f t="shared" si="97"/>
        <v>22</v>
      </c>
      <c r="L1510" t="s">
        <v>900</v>
      </c>
      <c r="R1510" t="s">
        <v>1353</v>
      </c>
    </row>
    <row r="1511" spans="1:18" x14ac:dyDescent="0.25">
      <c r="A1511" t="s">
        <v>341</v>
      </c>
      <c r="B1511" s="4">
        <v>43849</v>
      </c>
      <c r="C1511" s="9">
        <f t="shared" si="98"/>
        <v>1</v>
      </c>
      <c r="D1511">
        <f t="shared" ref="D1511:D1572" si="99">YEAR(B1511)</f>
        <v>2020</v>
      </c>
      <c r="E1511">
        <f t="shared" ref="E1511:E1572" si="100">IF(OR(A1511 = "GS",A1511 = "BP"),IF( OR(A1510="GS",A1510="BP"),IF(B1510=B1511,0,1),1),0)</f>
        <v>0</v>
      </c>
      <c r="F1511" t="s">
        <v>664</v>
      </c>
      <c r="G1511" t="s">
        <v>890</v>
      </c>
      <c r="H1511" t="s">
        <v>890</v>
      </c>
      <c r="J1511">
        <v>10</v>
      </c>
      <c r="K1511">
        <f t="shared" ref="K1511:K1572" si="101">I1511*60+J1511</f>
        <v>10</v>
      </c>
      <c r="L1511" t="s">
        <v>900</v>
      </c>
      <c r="R1511" t="s">
        <v>1353</v>
      </c>
    </row>
    <row r="1512" spans="1:18" x14ac:dyDescent="0.25">
      <c r="A1512" t="s">
        <v>341</v>
      </c>
      <c r="B1512" s="4">
        <v>43849</v>
      </c>
      <c r="C1512" s="9">
        <f t="shared" si="98"/>
        <v>1</v>
      </c>
      <c r="D1512">
        <f t="shared" si="99"/>
        <v>2020</v>
      </c>
      <c r="E1512">
        <f t="shared" si="100"/>
        <v>0</v>
      </c>
      <c r="F1512" t="s">
        <v>664</v>
      </c>
      <c r="G1512" t="s">
        <v>890</v>
      </c>
      <c r="H1512" t="s">
        <v>890</v>
      </c>
      <c r="J1512">
        <v>10</v>
      </c>
      <c r="K1512">
        <f t="shared" si="101"/>
        <v>10</v>
      </c>
      <c r="L1512" t="s">
        <v>900</v>
      </c>
      <c r="R1512" t="s">
        <v>1353</v>
      </c>
    </row>
    <row r="1513" spans="1:18" x14ac:dyDescent="0.25">
      <c r="A1513" t="s">
        <v>341</v>
      </c>
      <c r="B1513" s="4">
        <v>43850</v>
      </c>
      <c r="C1513" s="9">
        <f t="shared" si="98"/>
        <v>1</v>
      </c>
      <c r="D1513">
        <f t="shared" si="99"/>
        <v>2020</v>
      </c>
      <c r="E1513">
        <f t="shared" si="100"/>
        <v>1</v>
      </c>
      <c r="F1513" t="s">
        <v>664</v>
      </c>
      <c r="G1513" t="s">
        <v>891</v>
      </c>
      <c r="H1513" t="s">
        <v>891</v>
      </c>
      <c r="J1513">
        <v>16</v>
      </c>
      <c r="K1513">
        <f t="shared" si="101"/>
        <v>16</v>
      </c>
      <c r="L1513" t="s">
        <v>900</v>
      </c>
      <c r="R1513" t="s">
        <v>1353</v>
      </c>
    </row>
    <row r="1514" spans="1:18" x14ac:dyDescent="0.25">
      <c r="A1514" t="s">
        <v>341</v>
      </c>
      <c r="B1514" s="4">
        <v>43852</v>
      </c>
      <c r="C1514" s="9">
        <f t="shared" si="98"/>
        <v>1</v>
      </c>
      <c r="D1514">
        <f t="shared" si="99"/>
        <v>2020</v>
      </c>
      <c r="E1514">
        <f t="shared" si="100"/>
        <v>1</v>
      </c>
      <c r="F1514" t="s">
        <v>664</v>
      </c>
      <c r="G1514" t="s">
        <v>892</v>
      </c>
      <c r="H1514" t="s">
        <v>892</v>
      </c>
      <c r="J1514">
        <v>13</v>
      </c>
      <c r="K1514">
        <f t="shared" si="101"/>
        <v>13</v>
      </c>
      <c r="L1514" t="s">
        <v>900</v>
      </c>
      <c r="R1514" t="s">
        <v>1353</v>
      </c>
    </row>
    <row r="1515" spans="1:18" x14ac:dyDescent="0.25">
      <c r="A1515" t="s">
        <v>341</v>
      </c>
      <c r="B1515" s="4">
        <v>43852</v>
      </c>
      <c r="C1515" s="9">
        <f t="shared" si="98"/>
        <v>1</v>
      </c>
      <c r="D1515">
        <f t="shared" si="99"/>
        <v>2020</v>
      </c>
      <c r="E1515">
        <f t="shared" si="100"/>
        <v>0</v>
      </c>
      <c r="F1515" t="s">
        <v>664</v>
      </c>
      <c r="G1515" t="s">
        <v>892</v>
      </c>
      <c r="H1515" t="s">
        <v>892</v>
      </c>
      <c r="J1515">
        <v>5</v>
      </c>
      <c r="K1515">
        <f t="shared" si="101"/>
        <v>5</v>
      </c>
      <c r="L1515" t="s">
        <v>900</v>
      </c>
      <c r="R1515" t="s">
        <v>1353</v>
      </c>
    </row>
    <row r="1516" spans="1:18" x14ac:dyDescent="0.25">
      <c r="A1516" t="s">
        <v>341</v>
      </c>
      <c r="B1516" s="4">
        <v>43852</v>
      </c>
      <c r="C1516" s="9">
        <f t="shared" si="98"/>
        <v>1</v>
      </c>
      <c r="D1516">
        <f t="shared" si="99"/>
        <v>2020</v>
      </c>
      <c r="E1516">
        <f t="shared" si="100"/>
        <v>0</v>
      </c>
      <c r="F1516" t="s">
        <v>664</v>
      </c>
      <c r="G1516" t="s">
        <v>892</v>
      </c>
      <c r="H1516" t="s">
        <v>892</v>
      </c>
      <c r="J1516">
        <v>18</v>
      </c>
      <c r="K1516">
        <f t="shared" si="101"/>
        <v>18</v>
      </c>
      <c r="L1516" t="s">
        <v>900</v>
      </c>
      <c r="R1516" t="s">
        <v>1353</v>
      </c>
    </row>
    <row r="1517" spans="1:18" x14ac:dyDescent="0.25">
      <c r="A1517" t="s">
        <v>341</v>
      </c>
      <c r="B1517" s="4">
        <v>43852</v>
      </c>
      <c r="C1517" s="9">
        <f t="shared" si="98"/>
        <v>1</v>
      </c>
      <c r="D1517">
        <f t="shared" si="99"/>
        <v>2020</v>
      </c>
      <c r="E1517">
        <f t="shared" si="100"/>
        <v>0</v>
      </c>
      <c r="F1517" t="s">
        <v>664</v>
      </c>
      <c r="G1517" t="s">
        <v>892</v>
      </c>
      <c r="H1517" t="s">
        <v>892</v>
      </c>
      <c r="J1517">
        <v>10</v>
      </c>
      <c r="K1517">
        <f t="shared" si="101"/>
        <v>10</v>
      </c>
      <c r="L1517" t="s">
        <v>900</v>
      </c>
      <c r="R1517" t="s">
        <v>1353</v>
      </c>
    </row>
    <row r="1518" spans="1:18" x14ac:dyDescent="0.25">
      <c r="A1518" t="s">
        <v>341</v>
      </c>
      <c r="B1518" s="4">
        <v>43852</v>
      </c>
      <c r="C1518" s="9">
        <f t="shared" si="98"/>
        <v>1</v>
      </c>
      <c r="D1518">
        <f t="shared" si="99"/>
        <v>2020</v>
      </c>
      <c r="E1518">
        <f t="shared" si="100"/>
        <v>0</v>
      </c>
      <c r="F1518" t="s">
        <v>664</v>
      </c>
      <c r="G1518" t="s">
        <v>892</v>
      </c>
      <c r="H1518" t="s">
        <v>893</v>
      </c>
      <c r="I1518">
        <v>1</v>
      </c>
      <c r="J1518">
        <v>34</v>
      </c>
      <c r="K1518">
        <f t="shared" si="101"/>
        <v>94</v>
      </c>
      <c r="L1518" t="s">
        <v>900</v>
      </c>
      <c r="R1518" t="s">
        <v>1353</v>
      </c>
    </row>
    <row r="1519" spans="1:18" x14ac:dyDescent="0.25">
      <c r="A1519" t="s">
        <v>341</v>
      </c>
      <c r="B1519" s="4">
        <v>43853</v>
      </c>
      <c r="C1519" s="9">
        <f t="shared" si="98"/>
        <v>1</v>
      </c>
      <c r="D1519">
        <f t="shared" si="99"/>
        <v>2020</v>
      </c>
      <c r="E1519">
        <f t="shared" si="100"/>
        <v>1</v>
      </c>
      <c r="F1519" t="s">
        <v>664</v>
      </c>
      <c r="G1519" t="s">
        <v>894</v>
      </c>
      <c r="H1519" t="s">
        <v>895</v>
      </c>
      <c r="I1519">
        <v>2</v>
      </c>
      <c r="J1519">
        <v>33</v>
      </c>
      <c r="K1519">
        <f t="shared" si="101"/>
        <v>153</v>
      </c>
      <c r="L1519" t="s">
        <v>900</v>
      </c>
      <c r="R1519" t="s">
        <v>1353</v>
      </c>
    </row>
    <row r="1520" spans="1:18" x14ac:dyDescent="0.25">
      <c r="A1520" t="s">
        <v>341</v>
      </c>
      <c r="B1520" s="4">
        <v>43854</v>
      </c>
      <c r="C1520" s="9">
        <f t="shared" si="98"/>
        <v>1</v>
      </c>
      <c r="D1520">
        <f t="shared" si="99"/>
        <v>2020</v>
      </c>
      <c r="E1520">
        <f t="shared" si="100"/>
        <v>1</v>
      </c>
      <c r="F1520" t="s">
        <v>664</v>
      </c>
      <c r="G1520" t="s">
        <v>896</v>
      </c>
      <c r="H1520" t="s">
        <v>896</v>
      </c>
      <c r="J1520">
        <v>56</v>
      </c>
      <c r="K1520">
        <f t="shared" si="101"/>
        <v>56</v>
      </c>
      <c r="L1520" t="s">
        <v>900</v>
      </c>
      <c r="M1520" t="s">
        <v>899</v>
      </c>
      <c r="R1520" t="s">
        <v>1353</v>
      </c>
    </row>
    <row r="1521" spans="1:18" x14ac:dyDescent="0.25">
      <c r="A1521" t="s">
        <v>341</v>
      </c>
      <c r="B1521" s="4">
        <v>43854</v>
      </c>
      <c r="C1521" s="9">
        <f t="shared" si="98"/>
        <v>1</v>
      </c>
      <c r="D1521">
        <f t="shared" si="99"/>
        <v>2020</v>
      </c>
      <c r="E1521">
        <f t="shared" si="100"/>
        <v>0</v>
      </c>
      <c r="F1521" t="s">
        <v>664</v>
      </c>
      <c r="G1521" t="s">
        <v>896</v>
      </c>
      <c r="H1521" t="s">
        <v>897</v>
      </c>
      <c r="I1521">
        <v>2</v>
      </c>
      <c r="J1521">
        <v>55</v>
      </c>
      <c r="K1521">
        <f t="shared" si="101"/>
        <v>175</v>
      </c>
      <c r="L1521" t="s">
        <v>900</v>
      </c>
      <c r="M1521" t="s">
        <v>899</v>
      </c>
      <c r="R1521" t="s">
        <v>899</v>
      </c>
    </row>
    <row r="1522" spans="1:18" x14ac:dyDescent="0.25">
      <c r="A1522" t="s">
        <v>341</v>
      </c>
      <c r="B1522" s="4">
        <v>43855</v>
      </c>
      <c r="C1522" s="9">
        <f t="shared" si="98"/>
        <v>1</v>
      </c>
      <c r="D1522">
        <f t="shared" si="99"/>
        <v>2020</v>
      </c>
      <c r="E1522">
        <f t="shared" si="100"/>
        <v>1</v>
      </c>
      <c r="F1522" t="s">
        <v>664</v>
      </c>
      <c r="G1522" t="s">
        <v>898</v>
      </c>
      <c r="H1522" t="s">
        <v>898</v>
      </c>
      <c r="J1522">
        <v>12</v>
      </c>
      <c r="K1522">
        <f t="shared" si="101"/>
        <v>12</v>
      </c>
      <c r="L1522" t="s">
        <v>900</v>
      </c>
      <c r="R1522" t="s">
        <v>899</v>
      </c>
    </row>
    <row r="1523" spans="1:18" x14ac:dyDescent="0.25">
      <c r="A1523" t="s">
        <v>341</v>
      </c>
      <c r="B1523" s="4">
        <v>43855</v>
      </c>
      <c r="C1523" s="9">
        <f t="shared" si="98"/>
        <v>1</v>
      </c>
      <c r="D1523">
        <f t="shared" si="99"/>
        <v>2020</v>
      </c>
      <c r="E1523">
        <f t="shared" si="100"/>
        <v>0</v>
      </c>
      <c r="F1523" t="s">
        <v>664</v>
      </c>
      <c r="G1523" t="s">
        <v>898</v>
      </c>
      <c r="H1523" t="s">
        <v>898</v>
      </c>
      <c r="J1523">
        <v>26</v>
      </c>
      <c r="K1523">
        <f t="shared" si="101"/>
        <v>26</v>
      </c>
      <c r="L1523" t="s">
        <v>900</v>
      </c>
      <c r="R1523" t="s">
        <v>1353</v>
      </c>
    </row>
    <row r="1524" spans="1:18" x14ac:dyDescent="0.25">
      <c r="A1524" t="s">
        <v>341</v>
      </c>
      <c r="B1524" s="4">
        <v>43857</v>
      </c>
      <c r="C1524" s="9">
        <f t="shared" si="98"/>
        <v>1</v>
      </c>
      <c r="D1524">
        <f t="shared" si="99"/>
        <v>2020</v>
      </c>
      <c r="E1524">
        <f t="shared" si="100"/>
        <v>1</v>
      </c>
      <c r="F1524" t="s">
        <v>664</v>
      </c>
      <c r="G1524" t="s">
        <v>901</v>
      </c>
      <c r="H1524" t="s">
        <v>902</v>
      </c>
      <c r="I1524">
        <v>2</v>
      </c>
      <c r="K1524">
        <f t="shared" si="101"/>
        <v>120</v>
      </c>
      <c r="L1524" t="s">
        <v>611</v>
      </c>
      <c r="R1524" t="s">
        <v>1357</v>
      </c>
    </row>
    <row r="1525" spans="1:18" x14ac:dyDescent="0.25">
      <c r="A1525" t="s">
        <v>341</v>
      </c>
      <c r="B1525" s="4">
        <v>43858</v>
      </c>
      <c r="C1525" s="9">
        <f t="shared" si="98"/>
        <v>1</v>
      </c>
      <c r="D1525">
        <f t="shared" si="99"/>
        <v>2020</v>
      </c>
      <c r="E1525">
        <f t="shared" si="100"/>
        <v>1</v>
      </c>
      <c r="F1525" t="s">
        <v>664</v>
      </c>
      <c r="G1525" t="s">
        <v>901</v>
      </c>
      <c r="H1525" t="s">
        <v>901</v>
      </c>
      <c r="I1525">
        <v>1</v>
      </c>
      <c r="J1525">
        <v>47</v>
      </c>
      <c r="K1525">
        <f t="shared" si="101"/>
        <v>107</v>
      </c>
      <c r="L1525" t="s">
        <v>611</v>
      </c>
      <c r="R1525" t="s">
        <v>1357</v>
      </c>
    </row>
    <row r="1526" spans="1:18" x14ac:dyDescent="0.25">
      <c r="A1526" t="s">
        <v>341</v>
      </c>
      <c r="B1526" s="4">
        <v>43859</v>
      </c>
      <c r="C1526" s="9">
        <f t="shared" si="98"/>
        <v>1</v>
      </c>
      <c r="D1526">
        <f t="shared" si="99"/>
        <v>2020</v>
      </c>
      <c r="E1526">
        <f t="shared" si="100"/>
        <v>1</v>
      </c>
      <c r="F1526" t="s">
        <v>664</v>
      </c>
      <c r="G1526" t="s">
        <v>901</v>
      </c>
      <c r="H1526" t="s">
        <v>901</v>
      </c>
      <c r="I1526">
        <v>2</v>
      </c>
      <c r="J1526">
        <v>31</v>
      </c>
      <c r="K1526">
        <f t="shared" si="101"/>
        <v>151</v>
      </c>
      <c r="L1526" t="s">
        <v>611</v>
      </c>
      <c r="R1526" t="s">
        <v>1357</v>
      </c>
    </row>
    <row r="1527" spans="1:18" x14ac:dyDescent="0.25">
      <c r="A1527" t="s">
        <v>341</v>
      </c>
      <c r="B1527" s="4">
        <v>43860</v>
      </c>
      <c r="C1527" s="9">
        <f t="shared" si="98"/>
        <v>1</v>
      </c>
      <c r="D1527">
        <f t="shared" si="99"/>
        <v>2020</v>
      </c>
      <c r="E1527">
        <f t="shared" si="100"/>
        <v>1</v>
      </c>
      <c r="F1527" t="s">
        <v>664</v>
      </c>
      <c r="G1527" t="s">
        <v>901</v>
      </c>
      <c r="H1527" t="s">
        <v>903</v>
      </c>
      <c r="I1527">
        <v>3</v>
      </c>
      <c r="J1527">
        <v>57</v>
      </c>
      <c r="K1527">
        <f t="shared" si="101"/>
        <v>237</v>
      </c>
      <c r="L1527" t="s">
        <v>611</v>
      </c>
      <c r="R1527" t="s">
        <v>1357</v>
      </c>
    </row>
    <row r="1528" spans="1:18" x14ac:dyDescent="0.25">
      <c r="A1528" t="s">
        <v>341</v>
      </c>
      <c r="B1528" s="4">
        <v>43861</v>
      </c>
      <c r="C1528" s="9">
        <f t="shared" si="98"/>
        <v>1</v>
      </c>
      <c r="D1528">
        <f t="shared" si="99"/>
        <v>2020</v>
      </c>
      <c r="E1528">
        <f t="shared" si="100"/>
        <v>1</v>
      </c>
      <c r="F1528" t="s">
        <v>664</v>
      </c>
      <c r="G1528" t="s">
        <v>600</v>
      </c>
      <c r="H1528" t="s">
        <v>904</v>
      </c>
      <c r="I1528">
        <v>4</v>
      </c>
      <c r="J1528">
        <v>13</v>
      </c>
      <c r="K1528">
        <f t="shared" si="101"/>
        <v>253</v>
      </c>
      <c r="L1528" t="s">
        <v>611</v>
      </c>
      <c r="R1528" t="s">
        <v>1357</v>
      </c>
    </row>
    <row r="1529" spans="1:18" x14ac:dyDescent="0.25">
      <c r="A1529" t="s">
        <v>341</v>
      </c>
      <c r="B1529" s="4">
        <v>43862</v>
      </c>
      <c r="C1529" s="9">
        <f t="shared" si="98"/>
        <v>2</v>
      </c>
      <c r="D1529">
        <f t="shared" si="99"/>
        <v>2020</v>
      </c>
      <c r="E1529">
        <f t="shared" si="100"/>
        <v>1</v>
      </c>
      <c r="F1529" t="s">
        <v>664</v>
      </c>
      <c r="G1529" t="s">
        <v>600</v>
      </c>
      <c r="H1529" t="s">
        <v>601</v>
      </c>
      <c r="I1529">
        <v>5</v>
      </c>
      <c r="J1529">
        <v>37</v>
      </c>
      <c r="K1529">
        <f t="shared" si="101"/>
        <v>337</v>
      </c>
      <c r="L1529" t="s">
        <v>611</v>
      </c>
      <c r="Q1529">
        <v>102.3</v>
      </c>
      <c r="R1529" t="s">
        <v>1357</v>
      </c>
    </row>
    <row r="1530" spans="1:18" x14ac:dyDescent="0.25">
      <c r="A1530" t="s">
        <v>341</v>
      </c>
      <c r="B1530" s="4">
        <v>43863</v>
      </c>
      <c r="C1530" s="9">
        <f t="shared" si="98"/>
        <v>2</v>
      </c>
      <c r="D1530">
        <f t="shared" si="99"/>
        <v>2020</v>
      </c>
      <c r="E1530">
        <f t="shared" si="100"/>
        <v>1</v>
      </c>
      <c r="F1530" t="s">
        <v>664</v>
      </c>
      <c r="G1530" t="s">
        <v>600</v>
      </c>
      <c r="H1530" t="s">
        <v>904</v>
      </c>
      <c r="I1530">
        <v>1</v>
      </c>
      <c r="J1530">
        <v>23</v>
      </c>
      <c r="K1530">
        <f t="shared" si="101"/>
        <v>83</v>
      </c>
      <c r="L1530" t="s">
        <v>611</v>
      </c>
      <c r="R1530" t="s">
        <v>1357</v>
      </c>
    </row>
    <row r="1531" spans="1:18" x14ac:dyDescent="0.25">
      <c r="A1531" t="s">
        <v>341</v>
      </c>
      <c r="B1531" s="4">
        <v>43864</v>
      </c>
      <c r="C1531" s="9">
        <f t="shared" si="98"/>
        <v>2</v>
      </c>
      <c r="D1531">
        <f t="shared" si="99"/>
        <v>2020</v>
      </c>
      <c r="E1531">
        <f t="shared" si="100"/>
        <v>1</v>
      </c>
      <c r="F1531" t="s">
        <v>664</v>
      </c>
      <c r="G1531" t="s">
        <v>600</v>
      </c>
      <c r="H1531" t="s">
        <v>605</v>
      </c>
      <c r="I1531">
        <v>3</v>
      </c>
      <c r="J1531">
        <v>6</v>
      </c>
      <c r="K1531">
        <f t="shared" si="101"/>
        <v>186</v>
      </c>
      <c r="L1531" t="s">
        <v>611</v>
      </c>
      <c r="R1531" t="s">
        <v>1357</v>
      </c>
    </row>
    <row r="1532" spans="1:18" x14ac:dyDescent="0.25">
      <c r="A1532" t="s">
        <v>341</v>
      </c>
      <c r="B1532" s="4">
        <v>43865</v>
      </c>
      <c r="C1532" s="9">
        <f t="shared" si="98"/>
        <v>2</v>
      </c>
      <c r="D1532">
        <f t="shared" si="99"/>
        <v>2020</v>
      </c>
      <c r="E1532">
        <f t="shared" si="100"/>
        <v>1</v>
      </c>
      <c r="F1532" t="s">
        <v>664</v>
      </c>
      <c r="G1532" t="s">
        <v>605</v>
      </c>
      <c r="H1532" t="s">
        <v>603</v>
      </c>
      <c r="I1532">
        <v>3</v>
      </c>
      <c r="J1532">
        <v>52</v>
      </c>
      <c r="K1532">
        <f t="shared" si="101"/>
        <v>232</v>
      </c>
      <c r="L1532" t="s">
        <v>611</v>
      </c>
      <c r="Q1532">
        <v>73</v>
      </c>
      <c r="R1532" t="s">
        <v>1357</v>
      </c>
    </row>
    <row r="1533" spans="1:18" x14ac:dyDescent="0.25">
      <c r="A1533" t="s">
        <v>341</v>
      </c>
      <c r="B1533" s="4">
        <v>43866</v>
      </c>
      <c r="C1533" s="9">
        <f t="shared" si="98"/>
        <v>2</v>
      </c>
      <c r="D1533">
        <f t="shared" si="99"/>
        <v>2020</v>
      </c>
      <c r="E1533">
        <f t="shared" si="100"/>
        <v>1</v>
      </c>
      <c r="F1533" t="s">
        <v>664</v>
      </c>
      <c r="G1533" t="s">
        <v>605</v>
      </c>
      <c r="H1533" t="s">
        <v>605</v>
      </c>
      <c r="I1533">
        <v>5</v>
      </c>
      <c r="J1533">
        <v>7</v>
      </c>
      <c r="K1533">
        <f t="shared" si="101"/>
        <v>307</v>
      </c>
      <c r="L1533" t="s">
        <v>611</v>
      </c>
      <c r="Q1533">
        <v>96.2</v>
      </c>
      <c r="R1533" t="s">
        <v>1357</v>
      </c>
    </row>
    <row r="1534" spans="1:18" x14ac:dyDescent="0.25">
      <c r="A1534" t="s">
        <v>341</v>
      </c>
      <c r="B1534" s="4">
        <v>43867</v>
      </c>
      <c r="C1534" s="9">
        <f t="shared" si="98"/>
        <v>2</v>
      </c>
      <c r="D1534">
        <f t="shared" si="99"/>
        <v>2020</v>
      </c>
      <c r="E1534">
        <f t="shared" si="100"/>
        <v>1</v>
      </c>
      <c r="F1534" t="s">
        <v>664</v>
      </c>
      <c r="G1534" t="s">
        <v>905</v>
      </c>
      <c r="H1534" t="s">
        <v>906</v>
      </c>
      <c r="I1534">
        <v>1</v>
      </c>
      <c r="J1534">
        <v>46</v>
      </c>
      <c r="K1534">
        <f t="shared" si="101"/>
        <v>106</v>
      </c>
      <c r="L1534" t="s">
        <v>611</v>
      </c>
      <c r="R1534" t="s">
        <v>1357</v>
      </c>
    </row>
    <row r="1535" spans="1:18" x14ac:dyDescent="0.25">
      <c r="A1535" t="s">
        <v>341</v>
      </c>
      <c r="B1535" s="4">
        <v>43868</v>
      </c>
      <c r="C1535" s="9">
        <f t="shared" si="98"/>
        <v>2</v>
      </c>
      <c r="D1535">
        <f t="shared" si="99"/>
        <v>2020</v>
      </c>
      <c r="E1535">
        <f t="shared" si="100"/>
        <v>1</v>
      </c>
      <c r="F1535" t="s">
        <v>664</v>
      </c>
      <c r="G1535" t="s">
        <v>605</v>
      </c>
      <c r="H1535" t="s">
        <v>907</v>
      </c>
      <c r="I1535">
        <v>5</v>
      </c>
      <c r="J1535">
        <v>4</v>
      </c>
      <c r="K1535">
        <f t="shared" si="101"/>
        <v>304</v>
      </c>
      <c r="L1535" t="s">
        <v>611</v>
      </c>
      <c r="Q1535">
        <v>96.4</v>
      </c>
      <c r="R1535" t="s">
        <v>1357</v>
      </c>
    </row>
    <row r="1536" spans="1:18" x14ac:dyDescent="0.25">
      <c r="A1536" t="s">
        <v>341</v>
      </c>
      <c r="B1536" s="4">
        <v>43883</v>
      </c>
      <c r="C1536" s="9">
        <f t="shared" si="98"/>
        <v>2</v>
      </c>
      <c r="D1536">
        <f t="shared" si="99"/>
        <v>2020</v>
      </c>
      <c r="E1536">
        <f t="shared" si="100"/>
        <v>1</v>
      </c>
      <c r="F1536" t="s">
        <v>664</v>
      </c>
      <c r="G1536" t="s">
        <v>101</v>
      </c>
      <c r="H1536" t="s">
        <v>244</v>
      </c>
      <c r="J1536">
        <v>40</v>
      </c>
      <c r="K1536">
        <f t="shared" si="101"/>
        <v>40</v>
      </c>
      <c r="R1536" t="s">
        <v>1348</v>
      </c>
    </row>
    <row r="1537" spans="1:18" x14ac:dyDescent="0.25">
      <c r="A1537" t="s">
        <v>341</v>
      </c>
      <c r="B1537" s="4">
        <v>43907</v>
      </c>
      <c r="C1537" s="9">
        <f t="shared" ref="C1537:C1600" si="102">MONTH(B1537)</f>
        <v>3</v>
      </c>
      <c r="D1537">
        <f t="shared" si="99"/>
        <v>2020</v>
      </c>
      <c r="E1537">
        <f t="shared" si="100"/>
        <v>1</v>
      </c>
      <c r="F1537" t="s">
        <v>664</v>
      </c>
      <c r="G1537" t="s">
        <v>101</v>
      </c>
      <c r="H1537" t="s">
        <v>244</v>
      </c>
      <c r="I1537">
        <v>1</v>
      </c>
      <c r="J1537">
        <v>50</v>
      </c>
      <c r="K1537">
        <f t="shared" si="101"/>
        <v>110</v>
      </c>
      <c r="R1537" t="s">
        <v>1348</v>
      </c>
    </row>
    <row r="1538" spans="1:18" x14ac:dyDescent="0.25">
      <c r="A1538" t="s">
        <v>341</v>
      </c>
      <c r="B1538" s="4">
        <v>43908</v>
      </c>
      <c r="C1538" s="9">
        <f t="shared" si="102"/>
        <v>3</v>
      </c>
      <c r="D1538">
        <f t="shared" si="99"/>
        <v>2020</v>
      </c>
      <c r="E1538">
        <f t="shared" si="100"/>
        <v>1</v>
      </c>
      <c r="F1538" t="s">
        <v>664</v>
      </c>
      <c r="G1538" t="s">
        <v>409</v>
      </c>
      <c r="H1538" t="s">
        <v>244</v>
      </c>
      <c r="I1538">
        <v>1</v>
      </c>
      <c r="J1538">
        <v>14</v>
      </c>
      <c r="K1538">
        <f t="shared" si="101"/>
        <v>74</v>
      </c>
      <c r="R1538" t="s">
        <v>1348</v>
      </c>
    </row>
    <row r="1539" spans="1:18" x14ac:dyDescent="0.25">
      <c r="A1539" t="s">
        <v>341</v>
      </c>
      <c r="B1539" s="4">
        <v>43931</v>
      </c>
      <c r="C1539" s="9">
        <f t="shared" si="102"/>
        <v>4</v>
      </c>
      <c r="D1539">
        <f t="shared" si="99"/>
        <v>2020</v>
      </c>
      <c r="E1539">
        <f t="shared" si="100"/>
        <v>1</v>
      </c>
      <c r="F1539" t="s">
        <v>664</v>
      </c>
      <c r="G1539" t="s">
        <v>154</v>
      </c>
      <c r="H1539" t="s">
        <v>741</v>
      </c>
      <c r="J1539">
        <v>39</v>
      </c>
      <c r="K1539">
        <f t="shared" si="101"/>
        <v>39</v>
      </c>
      <c r="R1539" t="s">
        <v>1348</v>
      </c>
    </row>
    <row r="1540" spans="1:18" x14ac:dyDescent="0.25">
      <c r="A1540" t="s">
        <v>341</v>
      </c>
      <c r="B1540" s="4">
        <v>43947</v>
      </c>
      <c r="C1540" s="9">
        <f t="shared" si="102"/>
        <v>4</v>
      </c>
      <c r="D1540">
        <f t="shared" si="99"/>
        <v>2020</v>
      </c>
      <c r="E1540">
        <f t="shared" si="100"/>
        <v>1</v>
      </c>
      <c r="F1540" t="s">
        <v>664</v>
      </c>
      <c r="G1540" t="s">
        <v>154</v>
      </c>
      <c r="H1540" t="s">
        <v>244</v>
      </c>
      <c r="J1540">
        <v>33</v>
      </c>
      <c r="K1540">
        <f t="shared" si="101"/>
        <v>33</v>
      </c>
      <c r="R1540" t="s">
        <v>1348</v>
      </c>
    </row>
    <row r="1541" spans="1:18" x14ac:dyDescent="0.25">
      <c r="A1541" t="s">
        <v>341</v>
      </c>
      <c r="B1541" s="4">
        <v>43958</v>
      </c>
      <c r="C1541" s="9">
        <f t="shared" si="102"/>
        <v>5</v>
      </c>
      <c r="D1541">
        <f t="shared" si="99"/>
        <v>2020</v>
      </c>
      <c r="E1541">
        <f t="shared" si="100"/>
        <v>1</v>
      </c>
      <c r="F1541" t="s">
        <v>664</v>
      </c>
      <c r="G1541" t="s">
        <v>154</v>
      </c>
      <c r="H1541" t="s">
        <v>689</v>
      </c>
      <c r="I1541">
        <v>1</v>
      </c>
      <c r="J1541">
        <v>36</v>
      </c>
      <c r="K1541">
        <f t="shared" si="101"/>
        <v>96</v>
      </c>
      <c r="R1541" t="s">
        <v>1348</v>
      </c>
    </row>
    <row r="1542" spans="1:18" x14ac:dyDescent="0.25">
      <c r="A1542" t="s">
        <v>341</v>
      </c>
      <c r="B1542" s="4">
        <v>43968</v>
      </c>
      <c r="C1542" s="9">
        <f t="shared" si="102"/>
        <v>5</v>
      </c>
      <c r="D1542">
        <f t="shared" si="99"/>
        <v>2020</v>
      </c>
      <c r="E1542">
        <f t="shared" si="100"/>
        <v>1</v>
      </c>
      <c r="F1542" t="s">
        <v>664</v>
      </c>
      <c r="G1542" t="s">
        <v>154</v>
      </c>
      <c r="H1542" t="s">
        <v>244</v>
      </c>
      <c r="I1542">
        <v>1</v>
      </c>
      <c r="J1542">
        <v>5</v>
      </c>
      <c r="K1542">
        <f t="shared" si="101"/>
        <v>65</v>
      </c>
      <c r="R1542" t="s">
        <v>1348</v>
      </c>
    </row>
    <row r="1543" spans="1:18" x14ac:dyDescent="0.25">
      <c r="A1543" t="s">
        <v>341</v>
      </c>
      <c r="B1543" s="4">
        <v>43972</v>
      </c>
      <c r="C1543" s="9">
        <f t="shared" si="102"/>
        <v>5</v>
      </c>
      <c r="D1543">
        <f t="shared" si="99"/>
        <v>2020</v>
      </c>
      <c r="E1543">
        <f t="shared" si="100"/>
        <v>1</v>
      </c>
      <c r="F1543" t="s">
        <v>664</v>
      </c>
      <c r="G1543" t="s">
        <v>154</v>
      </c>
      <c r="H1543" t="s">
        <v>912</v>
      </c>
      <c r="I1543">
        <v>1</v>
      </c>
      <c r="J1543">
        <v>9</v>
      </c>
      <c r="K1543">
        <f t="shared" si="101"/>
        <v>69</v>
      </c>
      <c r="R1543" t="s">
        <v>1348</v>
      </c>
    </row>
    <row r="1544" spans="1:18" x14ac:dyDescent="0.25">
      <c r="A1544" t="s">
        <v>341</v>
      </c>
      <c r="B1544" s="4">
        <v>43982</v>
      </c>
      <c r="C1544" s="9">
        <f t="shared" si="102"/>
        <v>5</v>
      </c>
      <c r="D1544">
        <f t="shared" si="99"/>
        <v>2020</v>
      </c>
      <c r="E1544">
        <f t="shared" si="100"/>
        <v>1</v>
      </c>
      <c r="F1544" t="s">
        <v>664</v>
      </c>
      <c r="G1544" t="s">
        <v>101</v>
      </c>
      <c r="H1544" t="s">
        <v>244</v>
      </c>
      <c r="I1544">
        <v>1</v>
      </c>
      <c r="J1544">
        <v>25</v>
      </c>
      <c r="K1544">
        <f t="shared" si="101"/>
        <v>85</v>
      </c>
      <c r="R1544" t="s">
        <v>1348</v>
      </c>
    </row>
    <row r="1545" spans="1:18" x14ac:dyDescent="0.25">
      <c r="A1545" t="s">
        <v>341</v>
      </c>
      <c r="B1545" s="4">
        <v>43985</v>
      </c>
      <c r="C1545" s="9">
        <f t="shared" si="102"/>
        <v>6</v>
      </c>
      <c r="D1545">
        <f t="shared" si="99"/>
        <v>2020</v>
      </c>
      <c r="E1545">
        <f t="shared" si="100"/>
        <v>1</v>
      </c>
      <c r="F1545" t="s">
        <v>664</v>
      </c>
      <c r="G1545" t="s">
        <v>101</v>
      </c>
      <c r="H1545" t="s">
        <v>244</v>
      </c>
      <c r="J1545">
        <v>31</v>
      </c>
      <c r="K1545">
        <f t="shared" si="101"/>
        <v>31</v>
      </c>
      <c r="R1545" t="s">
        <v>1348</v>
      </c>
    </row>
    <row r="1546" spans="1:18" x14ac:dyDescent="0.25">
      <c r="A1546" t="s">
        <v>341</v>
      </c>
      <c r="B1546" s="4">
        <v>44002</v>
      </c>
      <c r="C1546" s="9">
        <f t="shared" si="102"/>
        <v>6</v>
      </c>
      <c r="D1546">
        <f t="shared" si="99"/>
        <v>2020</v>
      </c>
      <c r="E1546">
        <f t="shared" si="100"/>
        <v>1</v>
      </c>
      <c r="F1546" t="s">
        <v>664</v>
      </c>
      <c r="G1546" t="s">
        <v>913</v>
      </c>
      <c r="H1546" t="s">
        <v>913</v>
      </c>
      <c r="J1546">
        <v>13</v>
      </c>
      <c r="K1546">
        <f t="shared" si="101"/>
        <v>13</v>
      </c>
      <c r="L1546" t="s">
        <v>763</v>
      </c>
      <c r="Q1546">
        <v>5.6</v>
      </c>
      <c r="R1546" t="s">
        <v>1359</v>
      </c>
    </row>
    <row r="1547" spans="1:18" x14ac:dyDescent="0.25">
      <c r="A1547" t="s">
        <v>341</v>
      </c>
      <c r="B1547" s="4">
        <v>44002</v>
      </c>
      <c r="C1547" s="9">
        <f t="shared" si="102"/>
        <v>6</v>
      </c>
      <c r="D1547">
        <f t="shared" si="99"/>
        <v>2020</v>
      </c>
      <c r="E1547">
        <f t="shared" si="100"/>
        <v>0</v>
      </c>
      <c r="F1547" t="s">
        <v>664</v>
      </c>
      <c r="G1547" t="s">
        <v>913</v>
      </c>
      <c r="H1547" t="s">
        <v>914</v>
      </c>
      <c r="J1547">
        <v>50</v>
      </c>
      <c r="K1547">
        <f t="shared" si="101"/>
        <v>50</v>
      </c>
      <c r="L1547" t="s">
        <v>763</v>
      </c>
      <c r="Q1547">
        <v>20.9</v>
      </c>
      <c r="R1547" t="s">
        <v>1359</v>
      </c>
    </row>
    <row r="1548" spans="1:18" x14ac:dyDescent="0.25">
      <c r="A1548" t="s">
        <v>341</v>
      </c>
      <c r="B1548" s="4">
        <v>44003</v>
      </c>
      <c r="C1548" s="9">
        <f t="shared" si="102"/>
        <v>6</v>
      </c>
      <c r="D1548">
        <f t="shared" si="99"/>
        <v>2020</v>
      </c>
      <c r="E1548">
        <f t="shared" si="100"/>
        <v>1</v>
      </c>
      <c r="F1548" t="s">
        <v>664</v>
      </c>
      <c r="G1548" t="s">
        <v>915</v>
      </c>
      <c r="H1548" t="s">
        <v>915</v>
      </c>
      <c r="J1548">
        <v>23</v>
      </c>
      <c r="K1548">
        <f t="shared" si="101"/>
        <v>23</v>
      </c>
      <c r="L1548" t="s">
        <v>763</v>
      </c>
      <c r="Q1548">
        <v>3.9</v>
      </c>
      <c r="R1548" t="s">
        <v>1359</v>
      </c>
    </row>
    <row r="1549" spans="1:18" x14ac:dyDescent="0.25">
      <c r="A1549" t="s">
        <v>341</v>
      </c>
      <c r="B1549" s="4">
        <v>44004</v>
      </c>
      <c r="C1549" s="9">
        <f t="shared" si="102"/>
        <v>6</v>
      </c>
      <c r="D1549">
        <f t="shared" si="99"/>
        <v>2020</v>
      </c>
      <c r="E1549">
        <f t="shared" si="100"/>
        <v>1</v>
      </c>
      <c r="F1549" t="s">
        <v>664</v>
      </c>
      <c r="G1549" t="s">
        <v>776</v>
      </c>
      <c r="H1549" t="s">
        <v>916</v>
      </c>
      <c r="I1549">
        <v>1</v>
      </c>
      <c r="J1549">
        <v>14</v>
      </c>
      <c r="K1549">
        <f t="shared" si="101"/>
        <v>74</v>
      </c>
      <c r="L1549" t="s">
        <v>763</v>
      </c>
      <c r="Q1549">
        <v>33.200000000000003</v>
      </c>
      <c r="R1549" t="s">
        <v>1359</v>
      </c>
    </row>
    <row r="1550" spans="1:18" x14ac:dyDescent="0.25">
      <c r="A1550" t="s">
        <v>341</v>
      </c>
      <c r="B1550" s="4">
        <v>44005</v>
      </c>
      <c r="C1550" s="9">
        <f t="shared" si="102"/>
        <v>6</v>
      </c>
      <c r="D1550">
        <f t="shared" si="99"/>
        <v>2020</v>
      </c>
      <c r="E1550">
        <f t="shared" si="100"/>
        <v>1</v>
      </c>
      <c r="F1550" t="s">
        <v>664</v>
      </c>
      <c r="G1550" t="s">
        <v>776</v>
      </c>
      <c r="H1550" t="s">
        <v>917</v>
      </c>
      <c r="I1550">
        <v>1</v>
      </c>
      <c r="J1550">
        <v>26</v>
      </c>
      <c r="K1550">
        <f t="shared" si="101"/>
        <v>86</v>
      </c>
      <c r="L1550" t="s">
        <v>763</v>
      </c>
      <c r="Q1550">
        <v>44.4</v>
      </c>
      <c r="R1550" t="s">
        <v>1359</v>
      </c>
    </row>
    <row r="1551" spans="1:18" x14ac:dyDescent="0.25">
      <c r="A1551" t="s">
        <v>341</v>
      </c>
      <c r="B1551" s="4">
        <v>44005</v>
      </c>
      <c r="C1551" s="9">
        <f t="shared" si="102"/>
        <v>6</v>
      </c>
      <c r="D1551">
        <f t="shared" si="99"/>
        <v>2020</v>
      </c>
      <c r="E1551">
        <f t="shared" si="100"/>
        <v>0</v>
      </c>
      <c r="F1551" t="s">
        <v>664</v>
      </c>
      <c r="G1551" t="s">
        <v>780</v>
      </c>
      <c r="H1551" t="s">
        <v>918</v>
      </c>
      <c r="J1551">
        <v>47</v>
      </c>
      <c r="K1551">
        <f t="shared" si="101"/>
        <v>47</v>
      </c>
      <c r="L1551" t="s">
        <v>763</v>
      </c>
      <c r="Q1551">
        <v>24.6</v>
      </c>
      <c r="R1551" t="s">
        <v>1359</v>
      </c>
    </row>
    <row r="1552" spans="1:18" x14ac:dyDescent="0.25">
      <c r="A1552" t="s">
        <v>341</v>
      </c>
      <c r="B1552" s="4">
        <v>44006</v>
      </c>
      <c r="C1552" s="9">
        <f t="shared" si="102"/>
        <v>6</v>
      </c>
      <c r="D1552">
        <f t="shared" si="99"/>
        <v>2020</v>
      </c>
      <c r="E1552">
        <f t="shared" si="100"/>
        <v>1</v>
      </c>
      <c r="F1552" t="s">
        <v>664</v>
      </c>
      <c r="G1552" t="s">
        <v>776</v>
      </c>
      <c r="H1552" t="s">
        <v>919</v>
      </c>
      <c r="I1552">
        <v>5</v>
      </c>
      <c r="J1552">
        <v>25</v>
      </c>
      <c r="K1552">
        <f t="shared" si="101"/>
        <v>325</v>
      </c>
      <c r="L1552" t="s">
        <v>763</v>
      </c>
      <c r="Q1552">
        <v>155.9</v>
      </c>
      <c r="R1552" t="s">
        <v>1359</v>
      </c>
    </row>
    <row r="1553" spans="1:18" x14ac:dyDescent="0.25">
      <c r="A1553" t="s">
        <v>341</v>
      </c>
      <c r="B1553" s="4">
        <v>44007</v>
      </c>
      <c r="C1553" s="9">
        <f t="shared" si="102"/>
        <v>6</v>
      </c>
      <c r="D1553">
        <f t="shared" si="99"/>
        <v>2020</v>
      </c>
      <c r="E1553">
        <f t="shared" si="100"/>
        <v>1</v>
      </c>
      <c r="F1553" t="s">
        <v>664</v>
      </c>
      <c r="G1553" t="s">
        <v>920</v>
      </c>
      <c r="H1553" t="s">
        <v>920</v>
      </c>
      <c r="J1553">
        <v>10</v>
      </c>
      <c r="K1553">
        <f t="shared" si="101"/>
        <v>10</v>
      </c>
      <c r="L1553" t="s">
        <v>763</v>
      </c>
      <c r="Q1553">
        <v>4.5</v>
      </c>
      <c r="R1553" t="s">
        <v>1359</v>
      </c>
    </row>
    <row r="1554" spans="1:18" x14ac:dyDescent="0.25">
      <c r="A1554" t="s">
        <v>341</v>
      </c>
      <c r="B1554" s="4">
        <v>44007</v>
      </c>
      <c r="C1554" s="9">
        <f t="shared" si="102"/>
        <v>6</v>
      </c>
      <c r="D1554">
        <f t="shared" si="99"/>
        <v>2020</v>
      </c>
      <c r="E1554">
        <f t="shared" si="100"/>
        <v>0</v>
      </c>
      <c r="F1554" t="s">
        <v>664</v>
      </c>
      <c r="G1554" t="s">
        <v>920</v>
      </c>
      <c r="H1554" t="s">
        <v>920</v>
      </c>
      <c r="J1554">
        <v>17</v>
      </c>
      <c r="K1554">
        <f t="shared" si="101"/>
        <v>17</v>
      </c>
      <c r="L1554" t="s">
        <v>763</v>
      </c>
      <c r="Q1554">
        <v>6.2</v>
      </c>
      <c r="R1554" t="s">
        <v>1359</v>
      </c>
    </row>
    <row r="1555" spans="1:18" x14ac:dyDescent="0.25">
      <c r="A1555" t="s">
        <v>341</v>
      </c>
      <c r="B1555" s="4">
        <v>44007</v>
      </c>
      <c r="C1555" s="9">
        <f t="shared" si="102"/>
        <v>6</v>
      </c>
      <c r="D1555">
        <f t="shared" si="99"/>
        <v>2020</v>
      </c>
      <c r="E1555">
        <f t="shared" si="100"/>
        <v>0</v>
      </c>
      <c r="F1555" t="s">
        <v>664</v>
      </c>
      <c r="G1555" t="s">
        <v>920</v>
      </c>
      <c r="H1555" t="s">
        <v>920</v>
      </c>
      <c r="J1555">
        <v>12</v>
      </c>
      <c r="K1555">
        <f t="shared" si="101"/>
        <v>12</v>
      </c>
      <c r="L1555" t="s">
        <v>763</v>
      </c>
      <c r="Q1555">
        <v>4.2</v>
      </c>
      <c r="R1555" t="s">
        <v>1359</v>
      </c>
    </row>
    <row r="1556" spans="1:18" x14ac:dyDescent="0.25">
      <c r="A1556" t="s">
        <v>341</v>
      </c>
      <c r="B1556" s="4">
        <v>44007</v>
      </c>
      <c r="C1556" s="9">
        <f t="shared" si="102"/>
        <v>6</v>
      </c>
      <c r="D1556">
        <f t="shared" si="99"/>
        <v>2020</v>
      </c>
      <c r="E1556">
        <f t="shared" si="100"/>
        <v>0</v>
      </c>
      <c r="F1556" t="s">
        <v>664</v>
      </c>
      <c r="G1556" t="s">
        <v>920</v>
      </c>
      <c r="H1556" t="s">
        <v>921</v>
      </c>
      <c r="I1556">
        <v>5</v>
      </c>
      <c r="J1556">
        <v>50</v>
      </c>
      <c r="K1556">
        <f t="shared" si="101"/>
        <v>350</v>
      </c>
      <c r="L1556" t="s">
        <v>763</v>
      </c>
      <c r="Q1556">
        <v>124.2</v>
      </c>
      <c r="R1556" t="s">
        <v>1359</v>
      </c>
    </row>
    <row r="1557" spans="1:18" x14ac:dyDescent="0.25">
      <c r="A1557" t="s">
        <v>341</v>
      </c>
      <c r="B1557" s="4">
        <v>44008</v>
      </c>
      <c r="C1557" s="9">
        <f t="shared" si="102"/>
        <v>6</v>
      </c>
      <c r="D1557">
        <f t="shared" si="99"/>
        <v>2020</v>
      </c>
      <c r="E1557">
        <f t="shared" si="100"/>
        <v>1</v>
      </c>
      <c r="F1557" t="s">
        <v>664</v>
      </c>
      <c r="G1557" t="s">
        <v>920</v>
      </c>
      <c r="H1557" t="s">
        <v>920</v>
      </c>
      <c r="J1557">
        <v>18</v>
      </c>
      <c r="K1557">
        <f t="shared" si="101"/>
        <v>18</v>
      </c>
      <c r="L1557" t="s">
        <v>763</v>
      </c>
      <c r="Q1557">
        <v>6.3</v>
      </c>
      <c r="R1557" t="s">
        <v>1359</v>
      </c>
    </row>
    <row r="1558" spans="1:18" x14ac:dyDescent="0.25">
      <c r="A1558" t="s">
        <v>341</v>
      </c>
      <c r="B1558" s="4">
        <v>44008</v>
      </c>
      <c r="C1558" s="9">
        <f t="shared" si="102"/>
        <v>6</v>
      </c>
      <c r="D1558">
        <f t="shared" si="99"/>
        <v>2020</v>
      </c>
      <c r="E1558">
        <f t="shared" si="100"/>
        <v>0</v>
      </c>
      <c r="F1558" t="s">
        <v>664</v>
      </c>
      <c r="G1558" t="s">
        <v>920</v>
      </c>
      <c r="H1558" t="s">
        <v>920</v>
      </c>
      <c r="J1558">
        <v>10</v>
      </c>
      <c r="K1558">
        <f t="shared" si="101"/>
        <v>10</v>
      </c>
      <c r="L1558" t="s">
        <v>763</v>
      </c>
      <c r="Q1558">
        <v>4.5999999999999996</v>
      </c>
      <c r="R1558" t="s">
        <v>1359</v>
      </c>
    </row>
    <row r="1559" spans="1:18" x14ac:dyDescent="0.25">
      <c r="A1559" t="s">
        <v>341</v>
      </c>
      <c r="B1559" s="4">
        <v>44008</v>
      </c>
      <c r="C1559" s="9">
        <f t="shared" si="102"/>
        <v>6</v>
      </c>
      <c r="D1559">
        <f t="shared" si="99"/>
        <v>2020</v>
      </c>
      <c r="E1559">
        <f t="shared" si="100"/>
        <v>0</v>
      </c>
      <c r="F1559" t="s">
        <v>664</v>
      </c>
      <c r="G1559" t="s">
        <v>920</v>
      </c>
      <c r="H1559" t="s">
        <v>920</v>
      </c>
      <c r="J1559">
        <v>18</v>
      </c>
      <c r="K1559">
        <f t="shared" si="101"/>
        <v>18</v>
      </c>
      <c r="L1559" t="s">
        <v>763</v>
      </c>
      <c r="Q1559">
        <v>4.4000000000000004</v>
      </c>
      <c r="R1559" t="s">
        <v>1359</v>
      </c>
    </row>
    <row r="1560" spans="1:18" x14ac:dyDescent="0.25">
      <c r="A1560" t="s">
        <v>341</v>
      </c>
      <c r="B1560" s="4">
        <v>44008</v>
      </c>
      <c r="C1560" s="9">
        <f t="shared" si="102"/>
        <v>6</v>
      </c>
      <c r="D1560">
        <f t="shared" si="99"/>
        <v>2020</v>
      </c>
      <c r="E1560">
        <f t="shared" si="100"/>
        <v>0</v>
      </c>
      <c r="F1560" t="s">
        <v>664</v>
      </c>
      <c r="G1560" t="s">
        <v>920</v>
      </c>
      <c r="H1560" t="s">
        <v>922</v>
      </c>
      <c r="I1560">
        <v>1</v>
      </c>
      <c r="J1560">
        <v>21</v>
      </c>
      <c r="K1560">
        <f t="shared" si="101"/>
        <v>81</v>
      </c>
      <c r="L1560" t="s">
        <v>763</v>
      </c>
      <c r="Q1560">
        <v>22.9</v>
      </c>
      <c r="R1560" t="s">
        <v>1359</v>
      </c>
    </row>
    <row r="1561" spans="1:18" x14ac:dyDescent="0.25">
      <c r="A1561" t="s">
        <v>341</v>
      </c>
      <c r="B1561" s="4">
        <v>44009</v>
      </c>
      <c r="C1561" s="9">
        <f t="shared" si="102"/>
        <v>6</v>
      </c>
      <c r="D1561">
        <f t="shared" si="99"/>
        <v>2020</v>
      </c>
      <c r="E1561">
        <f t="shared" si="100"/>
        <v>1</v>
      </c>
      <c r="F1561" t="s">
        <v>664</v>
      </c>
      <c r="G1561" t="s">
        <v>920</v>
      </c>
      <c r="H1561" t="s">
        <v>923</v>
      </c>
      <c r="I1561">
        <v>1</v>
      </c>
      <c r="J1561">
        <v>22</v>
      </c>
      <c r="K1561">
        <f t="shared" si="101"/>
        <v>82</v>
      </c>
      <c r="L1561" t="s">
        <v>763</v>
      </c>
      <c r="Q1561">
        <v>26.7</v>
      </c>
      <c r="R1561" t="s">
        <v>1359</v>
      </c>
    </row>
    <row r="1562" spans="1:18" x14ac:dyDescent="0.25">
      <c r="A1562" t="s">
        <v>341</v>
      </c>
      <c r="B1562" s="4">
        <v>44016</v>
      </c>
      <c r="C1562" s="9">
        <f t="shared" si="102"/>
        <v>7</v>
      </c>
      <c r="D1562">
        <f t="shared" si="99"/>
        <v>2020</v>
      </c>
      <c r="E1562">
        <f t="shared" si="100"/>
        <v>1</v>
      </c>
      <c r="F1562" t="s">
        <v>664</v>
      </c>
      <c r="G1562" t="s">
        <v>101</v>
      </c>
      <c r="H1562" t="s">
        <v>244</v>
      </c>
      <c r="I1562">
        <v>1</v>
      </c>
      <c r="J1562">
        <v>7</v>
      </c>
      <c r="K1562">
        <f t="shared" si="101"/>
        <v>67</v>
      </c>
      <c r="M1562" t="s">
        <v>314</v>
      </c>
      <c r="R1562" t="s">
        <v>1348</v>
      </c>
    </row>
    <row r="1563" spans="1:18" x14ac:dyDescent="0.25">
      <c r="A1563" t="s">
        <v>341</v>
      </c>
      <c r="B1563" s="4">
        <v>44017</v>
      </c>
      <c r="C1563" s="9">
        <f t="shared" si="102"/>
        <v>7</v>
      </c>
      <c r="D1563">
        <f t="shared" si="99"/>
        <v>2020</v>
      </c>
      <c r="E1563">
        <f t="shared" si="100"/>
        <v>1</v>
      </c>
      <c r="F1563" t="s">
        <v>664</v>
      </c>
      <c r="G1563" t="s">
        <v>406</v>
      </c>
      <c r="H1563" t="s">
        <v>244</v>
      </c>
      <c r="I1563">
        <v>2</v>
      </c>
      <c r="J1563">
        <v>18</v>
      </c>
      <c r="K1563">
        <f t="shared" si="101"/>
        <v>138</v>
      </c>
      <c r="M1563" t="s">
        <v>314</v>
      </c>
      <c r="R1563" t="s">
        <v>1348</v>
      </c>
    </row>
    <row r="1564" spans="1:18" x14ac:dyDescent="0.25">
      <c r="A1564" t="s">
        <v>341</v>
      </c>
      <c r="B1564" s="4">
        <v>44019</v>
      </c>
      <c r="C1564" s="9">
        <f t="shared" si="102"/>
        <v>7</v>
      </c>
      <c r="D1564">
        <f t="shared" si="99"/>
        <v>2020</v>
      </c>
      <c r="E1564">
        <f t="shared" si="100"/>
        <v>1</v>
      </c>
      <c r="F1564" t="s">
        <v>664</v>
      </c>
      <c r="G1564" t="s">
        <v>101</v>
      </c>
      <c r="H1564" t="s">
        <v>244</v>
      </c>
      <c r="I1564">
        <v>1</v>
      </c>
      <c r="J1564">
        <v>53</v>
      </c>
      <c r="K1564">
        <f t="shared" si="101"/>
        <v>113</v>
      </c>
      <c r="M1564" t="s">
        <v>924</v>
      </c>
      <c r="R1564" t="s">
        <v>1348</v>
      </c>
    </row>
    <row r="1565" spans="1:18" x14ac:dyDescent="0.25">
      <c r="A1565" t="s">
        <v>341</v>
      </c>
      <c r="B1565" s="4">
        <v>44020</v>
      </c>
      <c r="C1565" s="9">
        <f t="shared" si="102"/>
        <v>7</v>
      </c>
      <c r="D1565">
        <f t="shared" si="99"/>
        <v>2020</v>
      </c>
      <c r="E1565">
        <f t="shared" si="100"/>
        <v>1</v>
      </c>
      <c r="F1565" t="s">
        <v>664</v>
      </c>
      <c r="G1565" t="s">
        <v>595</v>
      </c>
      <c r="H1565" t="s">
        <v>153</v>
      </c>
      <c r="I1565">
        <v>1</v>
      </c>
      <c r="J1565">
        <v>1</v>
      </c>
      <c r="K1565">
        <f t="shared" si="101"/>
        <v>61</v>
      </c>
      <c r="R1565" t="s">
        <v>1348</v>
      </c>
    </row>
    <row r="1566" spans="1:18" x14ac:dyDescent="0.25">
      <c r="A1566" t="s">
        <v>341</v>
      </c>
      <c r="B1566" s="4">
        <v>44024</v>
      </c>
      <c r="C1566" s="9">
        <f t="shared" si="102"/>
        <v>7</v>
      </c>
      <c r="D1566">
        <f t="shared" si="99"/>
        <v>2020</v>
      </c>
      <c r="E1566">
        <f t="shared" si="100"/>
        <v>1</v>
      </c>
      <c r="F1566" t="s">
        <v>664</v>
      </c>
      <c r="G1566" t="s">
        <v>406</v>
      </c>
      <c r="H1566" t="s">
        <v>244</v>
      </c>
      <c r="I1566">
        <v>2</v>
      </c>
      <c r="J1566">
        <v>29</v>
      </c>
      <c r="K1566">
        <f t="shared" si="101"/>
        <v>149</v>
      </c>
      <c r="M1566" t="s">
        <v>925</v>
      </c>
      <c r="R1566" t="s">
        <v>1348</v>
      </c>
    </row>
    <row r="1567" spans="1:18" x14ac:dyDescent="0.25">
      <c r="A1567" t="s">
        <v>341</v>
      </c>
      <c r="B1567" s="4">
        <v>44030</v>
      </c>
      <c r="C1567" s="9">
        <f t="shared" si="102"/>
        <v>7</v>
      </c>
      <c r="D1567">
        <f t="shared" si="99"/>
        <v>2020</v>
      </c>
      <c r="E1567">
        <f t="shared" si="100"/>
        <v>1</v>
      </c>
      <c r="F1567" t="s">
        <v>664</v>
      </c>
      <c r="G1567" t="s">
        <v>406</v>
      </c>
      <c r="H1567" t="s">
        <v>244</v>
      </c>
      <c r="I1567">
        <v>1</v>
      </c>
      <c r="J1567">
        <v>2</v>
      </c>
      <c r="K1567">
        <f t="shared" si="101"/>
        <v>62</v>
      </c>
      <c r="R1567" t="s">
        <v>1348</v>
      </c>
    </row>
    <row r="1568" spans="1:18" x14ac:dyDescent="0.25">
      <c r="A1568" t="s">
        <v>341</v>
      </c>
      <c r="B1568" s="4">
        <v>44031</v>
      </c>
      <c r="C1568" s="9">
        <f t="shared" si="102"/>
        <v>7</v>
      </c>
      <c r="D1568">
        <f t="shared" si="99"/>
        <v>2020</v>
      </c>
      <c r="E1568">
        <f t="shared" si="100"/>
        <v>1</v>
      </c>
      <c r="F1568" t="s">
        <v>664</v>
      </c>
      <c r="G1568" t="s">
        <v>406</v>
      </c>
      <c r="H1568" t="s">
        <v>244</v>
      </c>
      <c r="I1568">
        <v>2</v>
      </c>
      <c r="J1568">
        <v>19</v>
      </c>
      <c r="K1568">
        <f t="shared" si="101"/>
        <v>139</v>
      </c>
      <c r="M1568" t="s">
        <v>314</v>
      </c>
      <c r="R1568" t="s">
        <v>1348</v>
      </c>
    </row>
    <row r="1569" spans="1:18" x14ac:dyDescent="0.25">
      <c r="A1569" t="s">
        <v>341</v>
      </c>
      <c r="B1569" s="4">
        <v>44035</v>
      </c>
      <c r="C1569" s="9">
        <f t="shared" si="102"/>
        <v>7</v>
      </c>
      <c r="D1569">
        <f t="shared" si="99"/>
        <v>2020</v>
      </c>
      <c r="E1569">
        <f t="shared" si="100"/>
        <v>1</v>
      </c>
      <c r="F1569" t="s">
        <v>664</v>
      </c>
      <c r="G1569" t="s">
        <v>409</v>
      </c>
      <c r="H1569" t="s">
        <v>153</v>
      </c>
      <c r="J1569">
        <v>38</v>
      </c>
      <c r="K1569">
        <f t="shared" si="101"/>
        <v>38</v>
      </c>
      <c r="R1569" t="s">
        <v>1348</v>
      </c>
    </row>
    <row r="1570" spans="1:18" x14ac:dyDescent="0.25">
      <c r="A1570" t="s">
        <v>341</v>
      </c>
      <c r="B1570" s="4">
        <v>44037</v>
      </c>
      <c r="C1570" s="9">
        <f t="shared" si="102"/>
        <v>7</v>
      </c>
      <c r="D1570">
        <f t="shared" si="99"/>
        <v>2020</v>
      </c>
      <c r="E1570">
        <f t="shared" si="100"/>
        <v>1</v>
      </c>
      <c r="F1570" t="s">
        <v>664</v>
      </c>
      <c r="G1570" t="s">
        <v>406</v>
      </c>
      <c r="H1570" t="s">
        <v>153</v>
      </c>
      <c r="I1570">
        <v>1</v>
      </c>
      <c r="J1570">
        <v>47</v>
      </c>
      <c r="K1570">
        <f t="shared" si="101"/>
        <v>107</v>
      </c>
      <c r="M1570" t="s">
        <v>926</v>
      </c>
      <c r="R1570" t="s">
        <v>1348</v>
      </c>
    </row>
    <row r="1571" spans="1:18" x14ac:dyDescent="0.25">
      <c r="A1571" t="s">
        <v>341</v>
      </c>
      <c r="B1571" s="4">
        <v>44039</v>
      </c>
      <c r="C1571" s="9">
        <f t="shared" si="102"/>
        <v>7</v>
      </c>
      <c r="D1571">
        <f t="shared" si="99"/>
        <v>2020</v>
      </c>
      <c r="E1571">
        <f t="shared" si="100"/>
        <v>1</v>
      </c>
      <c r="F1571" t="s">
        <v>664</v>
      </c>
      <c r="G1571" t="s">
        <v>409</v>
      </c>
      <c r="H1571" t="s">
        <v>244</v>
      </c>
      <c r="I1571">
        <v>1</v>
      </c>
      <c r="J1571">
        <v>39</v>
      </c>
      <c r="K1571">
        <f t="shared" si="101"/>
        <v>99</v>
      </c>
      <c r="R1571" t="s">
        <v>1348</v>
      </c>
    </row>
    <row r="1572" spans="1:18" x14ac:dyDescent="0.25">
      <c r="A1572" t="s">
        <v>341</v>
      </c>
      <c r="B1572" s="4">
        <v>44042</v>
      </c>
      <c r="C1572" s="9">
        <f t="shared" si="102"/>
        <v>7</v>
      </c>
      <c r="D1572">
        <f t="shared" si="99"/>
        <v>2020</v>
      </c>
      <c r="E1572">
        <f t="shared" si="100"/>
        <v>1</v>
      </c>
      <c r="F1572" t="s">
        <v>664</v>
      </c>
      <c r="G1572" t="s">
        <v>409</v>
      </c>
      <c r="H1572" t="s">
        <v>244</v>
      </c>
      <c r="I1572">
        <v>1</v>
      </c>
      <c r="J1572">
        <v>35</v>
      </c>
      <c r="K1572">
        <f t="shared" si="101"/>
        <v>95</v>
      </c>
      <c r="R1572" t="s">
        <v>1348</v>
      </c>
    </row>
    <row r="1573" spans="1:18" x14ac:dyDescent="0.25">
      <c r="A1573" t="s">
        <v>341</v>
      </c>
      <c r="B1573" s="4">
        <v>44043</v>
      </c>
      <c r="C1573" s="9">
        <f t="shared" si="102"/>
        <v>7</v>
      </c>
      <c r="D1573">
        <f t="shared" ref="D1573:D1636" si="103">YEAR(B1573)</f>
        <v>2020</v>
      </c>
      <c r="E1573">
        <f t="shared" ref="E1573:E1636" si="104">IF(OR(A1573 = "GS",A1573 = "BP"),IF( OR(A1572="GS",A1572="BP"),IF(B1572=B1573,0,1),1),0)</f>
        <v>1</v>
      </c>
      <c r="F1573" t="s">
        <v>664</v>
      </c>
      <c r="G1573" t="s">
        <v>409</v>
      </c>
      <c r="H1573" t="s">
        <v>244</v>
      </c>
      <c r="I1573">
        <v>2</v>
      </c>
      <c r="J1573">
        <v>28</v>
      </c>
      <c r="K1573">
        <f t="shared" ref="K1573:K1636" si="105">I1573*60+J1573</f>
        <v>148</v>
      </c>
      <c r="R1573" t="s">
        <v>1348</v>
      </c>
    </row>
    <row r="1574" spans="1:18" x14ac:dyDescent="0.25">
      <c r="A1574" t="s">
        <v>341</v>
      </c>
      <c r="B1574" s="4">
        <v>44044</v>
      </c>
      <c r="C1574" s="9">
        <f t="shared" si="102"/>
        <v>8</v>
      </c>
      <c r="D1574">
        <f t="shared" si="103"/>
        <v>2020</v>
      </c>
      <c r="E1574">
        <f t="shared" si="104"/>
        <v>1</v>
      </c>
      <c r="F1574" t="s">
        <v>613</v>
      </c>
      <c r="G1574" t="s">
        <v>687</v>
      </c>
      <c r="H1574" t="s">
        <v>244</v>
      </c>
      <c r="J1574">
        <v>15</v>
      </c>
      <c r="K1574">
        <f t="shared" si="105"/>
        <v>15</v>
      </c>
      <c r="M1574" t="s">
        <v>927</v>
      </c>
      <c r="R1574" t="s">
        <v>1348</v>
      </c>
    </row>
    <row r="1575" spans="1:18" x14ac:dyDescent="0.25">
      <c r="A1575" t="s">
        <v>341</v>
      </c>
      <c r="B1575" s="4">
        <v>44048</v>
      </c>
      <c r="C1575" s="9">
        <f t="shared" si="102"/>
        <v>8</v>
      </c>
      <c r="D1575">
        <f t="shared" si="103"/>
        <v>2020</v>
      </c>
      <c r="E1575">
        <f t="shared" si="104"/>
        <v>1</v>
      </c>
      <c r="F1575" t="s">
        <v>664</v>
      </c>
      <c r="G1575" t="s">
        <v>409</v>
      </c>
      <c r="H1575" t="s">
        <v>153</v>
      </c>
      <c r="J1575">
        <v>48</v>
      </c>
      <c r="K1575">
        <f t="shared" si="105"/>
        <v>48</v>
      </c>
      <c r="R1575" t="s">
        <v>1348</v>
      </c>
    </row>
    <row r="1576" spans="1:18" x14ac:dyDescent="0.25">
      <c r="A1576" t="s">
        <v>341</v>
      </c>
      <c r="B1576" s="4">
        <v>44049</v>
      </c>
      <c r="C1576" s="9">
        <f t="shared" si="102"/>
        <v>8</v>
      </c>
      <c r="D1576">
        <f t="shared" si="103"/>
        <v>2020</v>
      </c>
      <c r="E1576">
        <f t="shared" si="104"/>
        <v>1</v>
      </c>
      <c r="F1576" t="s">
        <v>664</v>
      </c>
      <c r="G1576" t="s">
        <v>409</v>
      </c>
      <c r="H1576" t="s">
        <v>153</v>
      </c>
      <c r="I1576">
        <v>1</v>
      </c>
      <c r="J1576">
        <v>41</v>
      </c>
      <c r="K1576">
        <f t="shared" si="105"/>
        <v>101</v>
      </c>
      <c r="R1576" t="s">
        <v>1348</v>
      </c>
    </row>
    <row r="1577" spans="1:18" x14ac:dyDescent="0.25">
      <c r="A1577" t="s">
        <v>341</v>
      </c>
      <c r="B1577" s="4">
        <v>44050</v>
      </c>
      <c r="C1577" s="9">
        <f t="shared" si="102"/>
        <v>8</v>
      </c>
      <c r="D1577">
        <f t="shared" si="103"/>
        <v>2020</v>
      </c>
      <c r="E1577">
        <f t="shared" si="104"/>
        <v>1</v>
      </c>
      <c r="F1577" t="s">
        <v>664</v>
      </c>
      <c r="G1577" t="s">
        <v>409</v>
      </c>
      <c r="H1577" t="s">
        <v>153</v>
      </c>
      <c r="I1577">
        <v>1</v>
      </c>
      <c r="J1577">
        <v>37</v>
      </c>
      <c r="K1577">
        <f t="shared" si="105"/>
        <v>97</v>
      </c>
      <c r="R1577" t="s">
        <v>1348</v>
      </c>
    </row>
    <row r="1578" spans="1:18" x14ac:dyDescent="0.25">
      <c r="A1578" t="s">
        <v>341</v>
      </c>
      <c r="B1578" s="4">
        <v>44051</v>
      </c>
      <c r="C1578" s="9">
        <f t="shared" si="102"/>
        <v>8</v>
      </c>
      <c r="D1578">
        <f t="shared" si="103"/>
        <v>2020</v>
      </c>
      <c r="E1578">
        <f t="shared" si="104"/>
        <v>1</v>
      </c>
      <c r="F1578" t="s">
        <v>664</v>
      </c>
      <c r="G1578" t="s">
        <v>409</v>
      </c>
      <c r="H1578" t="s">
        <v>470</v>
      </c>
      <c r="I1578">
        <v>1</v>
      </c>
      <c r="J1578">
        <v>15</v>
      </c>
      <c r="K1578">
        <f t="shared" si="105"/>
        <v>75</v>
      </c>
      <c r="M1578" t="s">
        <v>314</v>
      </c>
      <c r="R1578" t="s">
        <v>1348</v>
      </c>
    </row>
    <row r="1579" spans="1:18" x14ac:dyDescent="0.25">
      <c r="A1579" t="s">
        <v>341</v>
      </c>
      <c r="B1579" s="4">
        <v>44052</v>
      </c>
      <c r="C1579" s="9">
        <f t="shared" si="102"/>
        <v>8</v>
      </c>
      <c r="D1579">
        <f t="shared" si="103"/>
        <v>2020</v>
      </c>
      <c r="E1579">
        <f t="shared" si="104"/>
        <v>1</v>
      </c>
      <c r="F1579" t="s">
        <v>664</v>
      </c>
      <c r="G1579" t="s">
        <v>409</v>
      </c>
      <c r="H1579" t="s">
        <v>244</v>
      </c>
      <c r="I1579">
        <v>3</v>
      </c>
      <c r="J1579">
        <v>9</v>
      </c>
      <c r="K1579">
        <f t="shared" si="105"/>
        <v>189</v>
      </c>
      <c r="M1579" t="s">
        <v>928</v>
      </c>
      <c r="R1579" t="s">
        <v>1348</v>
      </c>
    </row>
    <row r="1580" spans="1:18" x14ac:dyDescent="0.25">
      <c r="A1580" t="s">
        <v>341</v>
      </c>
      <c r="B1580" s="4">
        <v>44058</v>
      </c>
      <c r="C1580" s="9">
        <f t="shared" si="102"/>
        <v>8</v>
      </c>
      <c r="D1580">
        <f t="shared" si="103"/>
        <v>2020</v>
      </c>
      <c r="E1580">
        <f t="shared" si="104"/>
        <v>1</v>
      </c>
      <c r="F1580" t="s">
        <v>929</v>
      </c>
      <c r="G1580" t="s">
        <v>409</v>
      </c>
      <c r="H1580" t="s">
        <v>153</v>
      </c>
      <c r="I1580">
        <v>1</v>
      </c>
      <c r="J1580">
        <v>46</v>
      </c>
      <c r="K1580">
        <f t="shared" si="105"/>
        <v>106</v>
      </c>
      <c r="R1580" t="s">
        <v>1348</v>
      </c>
    </row>
    <row r="1581" spans="1:18" x14ac:dyDescent="0.25">
      <c r="A1581" t="s">
        <v>341</v>
      </c>
      <c r="B1581" s="4">
        <v>44059</v>
      </c>
      <c r="C1581" s="9">
        <f t="shared" si="102"/>
        <v>8</v>
      </c>
      <c r="D1581">
        <f t="shared" si="103"/>
        <v>2020</v>
      </c>
      <c r="E1581">
        <f t="shared" si="104"/>
        <v>1</v>
      </c>
      <c r="F1581" t="s">
        <v>929</v>
      </c>
      <c r="G1581" t="s">
        <v>409</v>
      </c>
      <c r="H1581" t="s">
        <v>575</v>
      </c>
      <c r="J1581">
        <v>57</v>
      </c>
      <c r="K1581">
        <f t="shared" si="105"/>
        <v>57</v>
      </c>
      <c r="R1581" t="s">
        <v>1348</v>
      </c>
    </row>
    <row r="1582" spans="1:18" x14ac:dyDescent="0.25">
      <c r="A1582" t="s">
        <v>341</v>
      </c>
      <c r="B1582" s="4">
        <v>44063</v>
      </c>
      <c r="C1582" s="9">
        <f t="shared" si="102"/>
        <v>8</v>
      </c>
      <c r="D1582">
        <f t="shared" si="103"/>
        <v>2020</v>
      </c>
      <c r="E1582">
        <f t="shared" si="104"/>
        <v>1</v>
      </c>
      <c r="F1582" t="s">
        <v>664</v>
      </c>
      <c r="G1582" t="s">
        <v>406</v>
      </c>
      <c r="H1582" t="s">
        <v>153</v>
      </c>
      <c r="I1582">
        <v>1</v>
      </c>
      <c r="J1582">
        <v>26</v>
      </c>
      <c r="K1582">
        <f t="shared" si="105"/>
        <v>86</v>
      </c>
      <c r="R1582" t="s">
        <v>1348</v>
      </c>
    </row>
    <row r="1583" spans="1:18" x14ac:dyDescent="0.25">
      <c r="A1583" t="s">
        <v>341</v>
      </c>
      <c r="B1583" s="4">
        <v>44064</v>
      </c>
      <c r="C1583" s="9">
        <f t="shared" si="102"/>
        <v>8</v>
      </c>
      <c r="D1583">
        <f t="shared" si="103"/>
        <v>2020</v>
      </c>
      <c r="E1583">
        <f t="shared" si="104"/>
        <v>1</v>
      </c>
      <c r="F1583" t="s">
        <v>664</v>
      </c>
      <c r="G1583" t="s">
        <v>406</v>
      </c>
      <c r="H1583" t="s">
        <v>320</v>
      </c>
      <c r="J1583">
        <v>54</v>
      </c>
      <c r="K1583">
        <f t="shared" si="105"/>
        <v>54</v>
      </c>
      <c r="R1583" t="s">
        <v>1348</v>
      </c>
    </row>
    <row r="1584" spans="1:18" x14ac:dyDescent="0.25">
      <c r="A1584" t="s">
        <v>341</v>
      </c>
      <c r="B1584" s="4">
        <v>44076</v>
      </c>
      <c r="C1584" s="9">
        <f t="shared" si="102"/>
        <v>9</v>
      </c>
      <c r="D1584">
        <f t="shared" si="103"/>
        <v>2020</v>
      </c>
      <c r="E1584">
        <f t="shared" si="104"/>
        <v>1</v>
      </c>
      <c r="F1584" t="s">
        <v>664</v>
      </c>
      <c r="G1584" t="s">
        <v>101</v>
      </c>
      <c r="H1584" t="s">
        <v>471</v>
      </c>
      <c r="J1584">
        <v>22</v>
      </c>
      <c r="K1584">
        <f t="shared" si="105"/>
        <v>22</v>
      </c>
      <c r="R1584" t="s">
        <v>1348</v>
      </c>
    </row>
    <row r="1585" spans="1:18" x14ac:dyDescent="0.25">
      <c r="A1585" t="s">
        <v>341</v>
      </c>
      <c r="B1585" s="4">
        <v>44077</v>
      </c>
      <c r="C1585" s="9">
        <f t="shared" si="102"/>
        <v>9</v>
      </c>
      <c r="D1585">
        <f t="shared" si="103"/>
        <v>2020</v>
      </c>
      <c r="E1585">
        <f t="shared" si="104"/>
        <v>1</v>
      </c>
      <c r="F1585" t="s">
        <v>664</v>
      </c>
      <c r="G1585" t="s">
        <v>406</v>
      </c>
      <c r="H1585" t="s">
        <v>244</v>
      </c>
      <c r="I1585">
        <v>2</v>
      </c>
      <c r="J1585">
        <v>12</v>
      </c>
      <c r="K1585">
        <f t="shared" si="105"/>
        <v>132</v>
      </c>
      <c r="R1585" t="s">
        <v>1348</v>
      </c>
    </row>
    <row r="1586" spans="1:18" x14ac:dyDescent="0.25">
      <c r="A1586" t="s">
        <v>341</v>
      </c>
      <c r="B1586" s="4">
        <v>44078</v>
      </c>
      <c r="C1586" s="9">
        <f t="shared" si="102"/>
        <v>9</v>
      </c>
      <c r="D1586">
        <f t="shared" si="103"/>
        <v>2020</v>
      </c>
      <c r="E1586">
        <f t="shared" si="104"/>
        <v>1</v>
      </c>
      <c r="F1586" t="s">
        <v>664</v>
      </c>
      <c r="G1586" t="s">
        <v>406</v>
      </c>
      <c r="H1586" t="s">
        <v>244</v>
      </c>
      <c r="I1586">
        <v>3</v>
      </c>
      <c r="J1586">
        <v>38</v>
      </c>
      <c r="K1586">
        <f t="shared" si="105"/>
        <v>218</v>
      </c>
      <c r="R1586" t="s">
        <v>1348</v>
      </c>
    </row>
    <row r="1587" spans="1:18" x14ac:dyDescent="0.25">
      <c r="A1587" t="s">
        <v>341</v>
      </c>
      <c r="B1587" s="4">
        <v>44079</v>
      </c>
      <c r="C1587" s="9">
        <f t="shared" si="102"/>
        <v>9</v>
      </c>
      <c r="D1587">
        <f t="shared" si="103"/>
        <v>2020</v>
      </c>
      <c r="E1587">
        <f t="shared" si="104"/>
        <v>1</v>
      </c>
      <c r="F1587" t="s">
        <v>664</v>
      </c>
      <c r="G1587" t="s">
        <v>406</v>
      </c>
      <c r="H1587" t="s">
        <v>153</v>
      </c>
      <c r="I1587">
        <v>1</v>
      </c>
      <c r="J1587">
        <v>39</v>
      </c>
      <c r="K1587">
        <f t="shared" si="105"/>
        <v>99</v>
      </c>
      <c r="R1587" t="s">
        <v>1348</v>
      </c>
    </row>
    <row r="1588" spans="1:18" x14ac:dyDescent="0.25">
      <c r="A1588" t="s">
        <v>341</v>
      </c>
      <c r="B1588" s="4">
        <v>44081</v>
      </c>
      <c r="C1588" s="9">
        <f t="shared" si="102"/>
        <v>9</v>
      </c>
      <c r="D1588">
        <f t="shared" si="103"/>
        <v>2020</v>
      </c>
      <c r="E1588">
        <f t="shared" si="104"/>
        <v>1</v>
      </c>
      <c r="F1588" t="s">
        <v>664</v>
      </c>
      <c r="G1588" t="s">
        <v>101</v>
      </c>
      <c r="H1588" t="s">
        <v>244</v>
      </c>
      <c r="I1588">
        <v>1</v>
      </c>
      <c r="J1588">
        <v>34</v>
      </c>
      <c r="K1588">
        <f t="shared" si="105"/>
        <v>94</v>
      </c>
      <c r="R1588" t="s">
        <v>1348</v>
      </c>
    </row>
    <row r="1589" spans="1:18" x14ac:dyDescent="0.25">
      <c r="A1589" t="s">
        <v>341</v>
      </c>
      <c r="B1589" s="4">
        <v>44082</v>
      </c>
      <c r="C1589" s="9">
        <f t="shared" si="102"/>
        <v>9</v>
      </c>
      <c r="D1589">
        <f t="shared" si="103"/>
        <v>2020</v>
      </c>
      <c r="E1589">
        <f t="shared" si="104"/>
        <v>1</v>
      </c>
      <c r="F1589" t="s">
        <v>664</v>
      </c>
      <c r="G1589" t="s">
        <v>59</v>
      </c>
      <c r="H1589" t="s">
        <v>61</v>
      </c>
      <c r="I1589">
        <v>2</v>
      </c>
      <c r="J1589">
        <v>13</v>
      </c>
      <c r="K1589">
        <f t="shared" si="105"/>
        <v>133</v>
      </c>
      <c r="M1589" t="s">
        <v>930</v>
      </c>
      <c r="R1589" t="s">
        <v>1348</v>
      </c>
    </row>
    <row r="1590" spans="1:18" x14ac:dyDescent="0.25">
      <c r="A1590" t="s">
        <v>341</v>
      </c>
      <c r="B1590" s="4">
        <v>44083</v>
      </c>
      <c r="C1590" s="9">
        <f t="shared" si="102"/>
        <v>9</v>
      </c>
      <c r="D1590">
        <f t="shared" si="103"/>
        <v>2020</v>
      </c>
      <c r="E1590">
        <f t="shared" si="104"/>
        <v>1</v>
      </c>
      <c r="F1590" t="s">
        <v>664</v>
      </c>
      <c r="G1590" t="s">
        <v>60</v>
      </c>
      <c r="H1590" t="s">
        <v>62</v>
      </c>
      <c r="J1590">
        <v>31</v>
      </c>
      <c r="K1590">
        <f t="shared" si="105"/>
        <v>31</v>
      </c>
      <c r="M1590" t="s">
        <v>931</v>
      </c>
      <c r="R1590" t="s">
        <v>1348</v>
      </c>
    </row>
    <row r="1591" spans="1:18" x14ac:dyDescent="0.25">
      <c r="A1591" t="s">
        <v>341</v>
      </c>
      <c r="B1591" s="4">
        <v>44084</v>
      </c>
      <c r="C1591" s="9">
        <f t="shared" si="102"/>
        <v>9</v>
      </c>
      <c r="D1591">
        <f t="shared" si="103"/>
        <v>2020</v>
      </c>
      <c r="E1591">
        <f t="shared" si="104"/>
        <v>1</v>
      </c>
      <c r="F1591" t="s">
        <v>664</v>
      </c>
      <c r="G1591" t="s">
        <v>101</v>
      </c>
      <c r="H1591" t="s">
        <v>244</v>
      </c>
      <c r="J1591">
        <v>33</v>
      </c>
      <c r="K1591">
        <f t="shared" si="105"/>
        <v>33</v>
      </c>
      <c r="M1591" t="s">
        <v>932</v>
      </c>
      <c r="R1591" t="s">
        <v>1348</v>
      </c>
    </row>
    <row r="1592" spans="1:18" x14ac:dyDescent="0.25">
      <c r="A1592" t="s">
        <v>341</v>
      </c>
      <c r="B1592" s="4">
        <v>44084</v>
      </c>
      <c r="C1592" s="9">
        <f t="shared" si="102"/>
        <v>9</v>
      </c>
      <c r="D1592">
        <f t="shared" si="103"/>
        <v>2020</v>
      </c>
      <c r="E1592">
        <f t="shared" si="104"/>
        <v>0</v>
      </c>
      <c r="F1592" t="s">
        <v>664</v>
      </c>
      <c r="G1592" t="s">
        <v>101</v>
      </c>
      <c r="H1592" t="s">
        <v>689</v>
      </c>
      <c r="I1592">
        <v>1</v>
      </c>
      <c r="J1592">
        <v>28</v>
      </c>
      <c r="K1592">
        <f t="shared" si="105"/>
        <v>88</v>
      </c>
      <c r="M1592" t="s">
        <v>932</v>
      </c>
      <c r="R1592" t="s">
        <v>1348</v>
      </c>
    </row>
    <row r="1593" spans="1:18" x14ac:dyDescent="0.25">
      <c r="A1593" t="s">
        <v>341</v>
      </c>
      <c r="B1593" s="4">
        <v>44085</v>
      </c>
      <c r="C1593" s="9">
        <f t="shared" si="102"/>
        <v>9</v>
      </c>
      <c r="D1593">
        <f t="shared" si="103"/>
        <v>2020</v>
      </c>
      <c r="E1593">
        <f t="shared" si="104"/>
        <v>1</v>
      </c>
      <c r="F1593" t="s">
        <v>664</v>
      </c>
      <c r="G1593" t="s">
        <v>101</v>
      </c>
      <c r="H1593" t="s">
        <v>153</v>
      </c>
      <c r="I1593">
        <v>1</v>
      </c>
      <c r="J1593">
        <v>37</v>
      </c>
      <c r="K1593">
        <f t="shared" si="105"/>
        <v>97</v>
      </c>
      <c r="M1593" t="s">
        <v>933</v>
      </c>
      <c r="R1593" t="s">
        <v>1348</v>
      </c>
    </row>
    <row r="1594" spans="1:18" x14ac:dyDescent="0.25">
      <c r="A1594" t="s">
        <v>341</v>
      </c>
      <c r="B1594" s="4">
        <v>44086</v>
      </c>
      <c r="C1594" s="9">
        <f t="shared" si="102"/>
        <v>9</v>
      </c>
      <c r="D1594">
        <f t="shared" si="103"/>
        <v>2020</v>
      </c>
      <c r="E1594">
        <f t="shared" si="104"/>
        <v>1</v>
      </c>
      <c r="F1594" t="s">
        <v>664</v>
      </c>
      <c r="G1594" t="s">
        <v>409</v>
      </c>
      <c r="H1594" t="s">
        <v>244</v>
      </c>
      <c r="I1594">
        <v>3</v>
      </c>
      <c r="J1594">
        <v>25</v>
      </c>
      <c r="K1594">
        <f t="shared" si="105"/>
        <v>205</v>
      </c>
      <c r="M1594" t="s">
        <v>934</v>
      </c>
      <c r="R1594" t="s">
        <v>1348</v>
      </c>
    </row>
    <row r="1595" spans="1:18" x14ac:dyDescent="0.25">
      <c r="A1595" t="s">
        <v>341</v>
      </c>
      <c r="B1595" s="4">
        <v>44087</v>
      </c>
      <c r="C1595" s="9">
        <f t="shared" si="102"/>
        <v>9</v>
      </c>
      <c r="D1595">
        <f t="shared" si="103"/>
        <v>2020</v>
      </c>
      <c r="E1595">
        <f t="shared" si="104"/>
        <v>1</v>
      </c>
      <c r="F1595" t="s">
        <v>664</v>
      </c>
      <c r="G1595" t="s">
        <v>406</v>
      </c>
      <c r="H1595" t="s">
        <v>575</v>
      </c>
      <c r="I1595">
        <v>1</v>
      </c>
      <c r="J1595">
        <v>49</v>
      </c>
      <c r="K1595">
        <f t="shared" si="105"/>
        <v>109</v>
      </c>
      <c r="R1595" t="s">
        <v>1348</v>
      </c>
    </row>
    <row r="1596" spans="1:18" x14ac:dyDescent="0.25">
      <c r="A1596" t="s">
        <v>341</v>
      </c>
      <c r="B1596" s="4">
        <v>44092</v>
      </c>
      <c r="C1596" s="9">
        <f t="shared" si="102"/>
        <v>9</v>
      </c>
      <c r="D1596">
        <f t="shared" si="103"/>
        <v>2020</v>
      </c>
      <c r="E1596">
        <f t="shared" si="104"/>
        <v>1</v>
      </c>
      <c r="F1596" t="s">
        <v>664</v>
      </c>
      <c r="G1596" t="s">
        <v>406</v>
      </c>
      <c r="H1596" t="s">
        <v>244</v>
      </c>
      <c r="I1596">
        <v>3</v>
      </c>
      <c r="J1596">
        <v>0</v>
      </c>
      <c r="K1596">
        <f t="shared" si="105"/>
        <v>180</v>
      </c>
      <c r="M1596" t="s">
        <v>932</v>
      </c>
      <c r="R1596" t="s">
        <v>1348</v>
      </c>
    </row>
    <row r="1597" spans="1:18" x14ac:dyDescent="0.25">
      <c r="A1597" t="s">
        <v>341</v>
      </c>
      <c r="B1597" s="4">
        <v>44109</v>
      </c>
      <c r="C1597" s="9">
        <f t="shared" si="102"/>
        <v>10</v>
      </c>
      <c r="D1597">
        <f t="shared" si="103"/>
        <v>2020</v>
      </c>
      <c r="E1597">
        <f t="shared" si="104"/>
        <v>1</v>
      </c>
      <c r="F1597" t="s">
        <v>664</v>
      </c>
      <c r="G1597" t="s">
        <v>935</v>
      </c>
      <c r="H1597" t="s">
        <v>936</v>
      </c>
      <c r="J1597">
        <v>22</v>
      </c>
      <c r="K1597">
        <f t="shared" si="105"/>
        <v>22</v>
      </c>
      <c r="L1597" t="s">
        <v>937</v>
      </c>
      <c r="R1597" t="s">
        <v>1351</v>
      </c>
    </row>
    <row r="1598" spans="1:18" x14ac:dyDescent="0.25">
      <c r="A1598" t="s">
        <v>341</v>
      </c>
      <c r="B1598" s="4">
        <v>44110</v>
      </c>
      <c r="C1598" s="9">
        <f t="shared" si="102"/>
        <v>10</v>
      </c>
      <c r="D1598">
        <f t="shared" si="103"/>
        <v>2020</v>
      </c>
      <c r="E1598">
        <f t="shared" si="104"/>
        <v>1</v>
      </c>
      <c r="F1598" t="s">
        <v>664</v>
      </c>
      <c r="G1598" t="s">
        <v>935</v>
      </c>
      <c r="H1598" t="s">
        <v>938</v>
      </c>
      <c r="I1598">
        <v>2</v>
      </c>
      <c r="J1598">
        <v>3</v>
      </c>
      <c r="K1598">
        <f t="shared" si="105"/>
        <v>123</v>
      </c>
      <c r="L1598" t="s">
        <v>937</v>
      </c>
      <c r="R1598" t="s">
        <v>1351</v>
      </c>
    </row>
    <row r="1599" spans="1:18" x14ac:dyDescent="0.25">
      <c r="A1599" t="s">
        <v>341</v>
      </c>
      <c r="B1599" s="4">
        <v>44110</v>
      </c>
      <c r="C1599" s="9">
        <f t="shared" si="102"/>
        <v>10</v>
      </c>
      <c r="D1599">
        <f t="shared" si="103"/>
        <v>2020</v>
      </c>
      <c r="E1599">
        <f t="shared" si="104"/>
        <v>0</v>
      </c>
      <c r="F1599" t="s">
        <v>664</v>
      </c>
      <c r="G1599" t="s">
        <v>939</v>
      </c>
      <c r="H1599" t="s">
        <v>938</v>
      </c>
      <c r="J1599">
        <v>16</v>
      </c>
      <c r="K1599">
        <f t="shared" si="105"/>
        <v>16</v>
      </c>
      <c r="L1599" t="s">
        <v>937</v>
      </c>
      <c r="R1599" t="s">
        <v>1351</v>
      </c>
    </row>
    <row r="1600" spans="1:18" x14ac:dyDescent="0.25">
      <c r="A1600" t="s">
        <v>341</v>
      </c>
      <c r="B1600" s="4">
        <v>44111</v>
      </c>
      <c r="C1600" s="9">
        <f t="shared" si="102"/>
        <v>10</v>
      </c>
      <c r="D1600">
        <f t="shared" si="103"/>
        <v>2020</v>
      </c>
      <c r="E1600">
        <f t="shared" si="104"/>
        <v>1</v>
      </c>
      <c r="F1600" t="s">
        <v>664</v>
      </c>
      <c r="G1600" t="s">
        <v>940</v>
      </c>
      <c r="H1600" t="s">
        <v>941</v>
      </c>
      <c r="J1600">
        <v>18</v>
      </c>
      <c r="K1600">
        <f t="shared" si="105"/>
        <v>18</v>
      </c>
      <c r="L1600" t="s">
        <v>937</v>
      </c>
      <c r="R1600" t="s">
        <v>1351</v>
      </c>
    </row>
    <row r="1601" spans="1:18" x14ac:dyDescent="0.25">
      <c r="A1601" t="s">
        <v>341</v>
      </c>
      <c r="B1601" s="4">
        <v>44112</v>
      </c>
      <c r="C1601" s="9">
        <f t="shared" ref="C1601:C1664" si="106">MONTH(B1601)</f>
        <v>10</v>
      </c>
      <c r="D1601">
        <f t="shared" si="103"/>
        <v>2020</v>
      </c>
      <c r="E1601">
        <f t="shared" si="104"/>
        <v>1</v>
      </c>
      <c r="F1601" t="s">
        <v>664</v>
      </c>
      <c r="G1601" t="s">
        <v>939</v>
      </c>
      <c r="H1601" t="s">
        <v>942</v>
      </c>
      <c r="I1601">
        <v>3</v>
      </c>
      <c r="J1601">
        <v>23</v>
      </c>
      <c r="K1601">
        <f t="shared" si="105"/>
        <v>203</v>
      </c>
      <c r="L1601" t="s">
        <v>937</v>
      </c>
      <c r="R1601" t="s">
        <v>1351</v>
      </c>
    </row>
    <row r="1602" spans="1:18" x14ac:dyDescent="0.25">
      <c r="A1602" t="s">
        <v>341</v>
      </c>
      <c r="B1602" s="4">
        <v>44113</v>
      </c>
      <c r="C1602" s="9">
        <f t="shared" si="106"/>
        <v>10</v>
      </c>
      <c r="D1602">
        <f t="shared" si="103"/>
        <v>2020</v>
      </c>
      <c r="E1602">
        <f t="shared" si="104"/>
        <v>1</v>
      </c>
      <c r="F1602" t="s">
        <v>664</v>
      </c>
      <c r="G1602" t="s">
        <v>935</v>
      </c>
      <c r="H1602" t="s">
        <v>936</v>
      </c>
      <c r="J1602">
        <v>33</v>
      </c>
      <c r="K1602">
        <f t="shared" si="105"/>
        <v>33</v>
      </c>
      <c r="L1602" t="s">
        <v>937</v>
      </c>
      <c r="R1602" t="s">
        <v>1351</v>
      </c>
    </row>
    <row r="1603" spans="1:18" x14ac:dyDescent="0.25">
      <c r="A1603" t="s">
        <v>341</v>
      </c>
      <c r="B1603" s="4">
        <v>44113</v>
      </c>
      <c r="C1603" s="9">
        <f t="shared" si="106"/>
        <v>10</v>
      </c>
      <c r="D1603">
        <f t="shared" si="103"/>
        <v>2020</v>
      </c>
      <c r="E1603">
        <f t="shared" si="104"/>
        <v>0</v>
      </c>
      <c r="F1603" t="s">
        <v>664</v>
      </c>
      <c r="G1603" t="s">
        <v>935</v>
      </c>
      <c r="H1603" t="s">
        <v>936</v>
      </c>
      <c r="J1603">
        <v>56</v>
      </c>
      <c r="K1603">
        <f t="shared" si="105"/>
        <v>56</v>
      </c>
      <c r="L1603" t="s">
        <v>937</v>
      </c>
      <c r="R1603" t="s">
        <v>1351</v>
      </c>
    </row>
    <row r="1604" spans="1:18" x14ac:dyDescent="0.25">
      <c r="A1604" t="s">
        <v>341</v>
      </c>
      <c r="B1604" s="4">
        <v>44114</v>
      </c>
      <c r="C1604" s="9">
        <f t="shared" si="106"/>
        <v>10</v>
      </c>
      <c r="D1604">
        <f t="shared" si="103"/>
        <v>2020</v>
      </c>
      <c r="E1604">
        <f t="shared" si="104"/>
        <v>1</v>
      </c>
      <c r="F1604" t="s">
        <v>664</v>
      </c>
      <c r="G1604" t="s">
        <v>266</v>
      </c>
      <c r="H1604" t="s">
        <v>266</v>
      </c>
      <c r="I1604">
        <v>2</v>
      </c>
      <c r="J1604">
        <v>48</v>
      </c>
      <c r="K1604">
        <f t="shared" si="105"/>
        <v>168</v>
      </c>
      <c r="L1604" t="s">
        <v>937</v>
      </c>
      <c r="R1604" t="s">
        <v>1351</v>
      </c>
    </row>
    <row r="1605" spans="1:18" x14ac:dyDescent="0.25">
      <c r="A1605" t="s">
        <v>341</v>
      </c>
      <c r="B1605" s="4">
        <v>44115</v>
      </c>
      <c r="C1605" s="9">
        <f t="shared" si="106"/>
        <v>10</v>
      </c>
      <c r="D1605">
        <f t="shared" si="103"/>
        <v>2020</v>
      </c>
      <c r="E1605">
        <f t="shared" si="104"/>
        <v>1</v>
      </c>
      <c r="F1605" t="s">
        <v>664</v>
      </c>
      <c r="G1605" t="s">
        <v>935</v>
      </c>
      <c r="H1605" t="s">
        <v>936</v>
      </c>
      <c r="I1605">
        <v>1</v>
      </c>
      <c r="J1605">
        <v>0</v>
      </c>
      <c r="K1605">
        <f t="shared" si="105"/>
        <v>60</v>
      </c>
      <c r="L1605" t="s">
        <v>937</v>
      </c>
      <c r="R1605" t="s">
        <v>1351</v>
      </c>
    </row>
    <row r="1606" spans="1:18" x14ac:dyDescent="0.25">
      <c r="A1606" t="s">
        <v>341</v>
      </c>
      <c r="B1606" s="4">
        <v>44121</v>
      </c>
      <c r="C1606" s="9">
        <f t="shared" si="106"/>
        <v>10</v>
      </c>
      <c r="D1606">
        <f t="shared" si="103"/>
        <v>2020</v>
      </c>
      <c r="E1606">
        <f t="shared" si="104"/>
        <v>1</v>
      </c>
      <c r="F1606" t="s">
        <v>664</v>
      </c>
      <c r="G1606" t="s">
        <v>101</v>
      </c>
      <c r="H1606" t="s">
        <v>244</v>
      </c>
      <c r="I1606">
        <v>2</v>
      </c>
      <c r="J1606">
        <v>13</v>
      </c>
      <c r="K1606">
        <f t="shared" si="105"/>
        <v>133</v>
      </c>
      <c r="R1606" t="s">
        <v>1348</v>
      </c>
    </row>
    <row r="1607" spans="1:18" x14ac:dyDescent="0.25">
      <c r="A1607" t="s">
        <v>341</v>
      </c>
      <c r="B1607" s="4">
        <v>44122</v>
      </c>
      <c r="C1607" s="9">
        <f t="shared" si="106"/>
        <v>10</v>
      </c>
      <c r="D1607">
        <f t="shared" si="103"/>
        <v>2020</v>
      </c>
      <c r="E1607">
        <f t="shared" si="104"/>
        <v>1</v>
      </c>
      <c r="F1607" t="s">
        <v>664</v>
      </c>
      <c r="G1607" t="s">
        <v>101</v>
      </c>
      <c r="H1607" t="s">
        <v>244</v>
      </c>
      <c r="I1607">
        <v>1</v>
      </c>
      <c r="J1607">
        <v>27</v>
      </c>
      <c r="K1607">
        <f t="shared" si="105"/>
        <v>87</v>
      </c>
      <c r="M1607" t="s">
        <v>688</v>
      </c>
      <c r="R1607" t="s">
        <v>1348</v>
      </c>
    </row>
    <row r="1608" spans="1:18" x14ac:dyDescent="0.25">
      <c r="A1608" t="s">
        <v>341</v>
      </c>
      <c r="B1608" s="4">
        <v>44135</v>
      </c>
      <c r="C1608" s="9">
        <f t="shared" si="106"/>
        <v>10</v>
      </c>
      <c r="D1608">
        <f t="shared" si="103"/>
        <v>2020</v>
      </c>
      <c r="E1608">
        <f t="shared" si="104"/>
        <v>1</v>
      </c>
      <c r="F1608" t="s">
        <v>664</v>
      </c>
      <c r="G1608" t="s">
        <v>406</v>
      </c>
      <c r="H1608" t="s">
        <v>244</v>
      </c>
      <c r="I1608">
        <v>1</v>
      </c>
      <c r="J1608">
        <v>54</v>
      </c>
      <c r="K1608">
        <f t="shared" si="105"/>
        <v>114</v>
      </c>
      <c r="R1608" t="s">
        <v>1348</v>
      </c>
    </row>
    <row r="1609" spans="1:18" x14ac:dyDescent="0.25">
      <c r="A1609" t="s">
        <v>341</v>
      </c>
      <c r="B1609" s="4">
        <v>44146</v>
      </c>
      <c r="C1609" s="9">
        <f t="shared" si="106"/>
        <v>11</v>
      </c>
      <c r="D1609">
        <f t="shared" si="103"/>
        <v>2020</v>
      </c>
      <c r="E1609">
        <f t="shared" si="104"/>
        <v>1</v>
      </c>
      <c r="F1609" t="s">
        <v>664</v>
      </c>
      <c r="G1609" t="s">
        <v>406</v>
      </c>
      <c r="H1609" t="s">
        <v>244</v>
      </c>
      <c r="I1609">
        <v>1</v>
      </c>
      <c r="J1609">
        <v>9</v>
      </c>
      <c r="K1609">
        <f t="shared" si="105"/>
        <v>69</v>
      </c>
      <c r="R1609" t="s">
        <v>1348</v>
      </c>
    </row>
    <row r="1610" spans="1:18" x14ac:dyDescent="0.25">
      <c r="A1610" t="s">
        <v>341</v>
      </c>
      <c r="B1610" s="4">
        <v>44147</v>
      </c>
      <c r="C1610" s="9">
        <f t="shared" si="106"/>
        <v>11</v>
      </c>
      <c r="D1610">
        <f t="shared" si="103"/>
        <v>2020</v>
      </c>
      <c r="E1610">
        <f t="shared" si="104"/>
        <v>1</v>
      </c>
      <c r="F1610" t="s">
        <v>664</v>
      </c>
      <c r="G1610" t="s">
        <v>406</v>
      </c>
      <c r="H1610" t="s">
        <v>244</v>
      </c>
      <c r="I1610">
        <v>1</v>
      </c>
      <c r="J1610">
        <v>59</v>
      </c>
      <c r="K1610">
        <f t="shared" si="105"/>
        <v>119</v>
      </c>
      <c r="R1610" t="s">
        <v>1348</v>
      </c>
    </row>
    <row r="1611" spans="1:18" x14ac:dyDescent="0.25">
      <c r="A1611" t="s">
        <v>341</v>
      </c>
      <c r="B1611" s="4">
        <v>44149</v>
      </c>
      <c r="C1611" s="9">
        <f t="shared" si="106"/>
        <v>11</v>
      </c>
      <c r="D1611">
        <f t="shared" si="103"/>
        <v>2020</v>
      </c>
      <c r="E1611">
        <f t="shared" si="104"/>
        <v>1</v>
      </c>
      <c r="F1611" t="s">
        <v>664</v>
      </c>
      <c r="G1611" t="s">
        <v>524</v>
      </c>
      <c r="H1611" t="s">
        <v>244</v>
      </c>
      <c r="I1611">
        <v>2</v>
      </c>
      <c r="J1611">
        <v>44</v>
      </c>
      <c r="K1611">
        <f t="shared" si="105"/>
        <v>164</v>
      </c>
      <c r="R1611" t="s">
        <v>1348</v>
      </c>
    </row>
    <row r="1612" spans="1:18" x14ac:dyDescent="0.25">
      <c r="A1612" t="s">
        <v>341</v>
      </c>
      <c r="B1612" s="4">
        <v>44153</v>
      </c>
      <c r="C1612" s="9">
        <f t="shared" si="106"/>
        <v>11</v>
      </c>
      <c r="D1612">
        <f t="shared" si="103"/>
        <v>2020</v>
      </c>
      <c r="E1612">
        <f t="shared" si="104"/>
        <v>1</v>
      </c>
      <c r="F1612" t="s">
        <v>664</v>
      </c>
      <c r="G1612" t="s">
        <v>406</v>
      </c>
      <c r="H1612" t="s">
        <v>244</v>
      </c>
      <c r="I1612">
        <v>2</v>
      </c>
      <c r="J1612">
        <v>7</v>
      </c>
      <c r="K1612">
        <f t="shared" si="105"/>
        <v>127</v>
      </c>
      <c r="R1612" t="s">
        <v>1348</v>
      </c>
    </row>
    <row r="1613" spans="1:18" x14ac:dyDescent="0.25">
      <c r="A1613" t="s">
        <v>341</v>
      </c>
      <c r="B1613" s="4">
        <v>44157</v>
      </c>
      <c r="C1613" s="9">
        <f t="shared" si="106"/>
        <v>11</v>
      </c>
      <c r="D1613">
        <f t="shared" si="103"/>
        <v>2020</v>
      </c>
      <c r="E1613">
        <f t="shared" si="104"/>
        <v>1</v>
      </c>
      <c r="F1613" t="s">
        <v>664</v>
      </c>
      <c r="G1613" t="s">
        <v>524</v>
      </c>
      <c r="H1613" t="s">
        <v>244</v>
      </c>
      <c r="J1613">
        <v>44</v>
      </c>
      <c r="K1613">
        <f t="shared" si="105"/>
        <v>44</v>
      </c>
      <c r="R1613" t="s">
        <v>1348</v>
      </c>
    </row>
    <row r="1614" spans="1:18" x14ac:dyDescent="0.25">
      <c r="A1614" t="s">
        <v>341</v>
      </c>
      <c r="B1614" s="4">
        <v>44182</v>
      </c>
      <c r="C1614" s="9">
        <f t="shared" si="106"/>
        <v>12</v>
      </c>
      <c r="D1614">
        <f t="shared" si="103"/>
        <v>2020</v>
      </c>
      <c r="E1614">
        <f t="shared" si="104"/>
        <v>1</v>
      </c>
      <c r="F1614" t="s">
        <v>664</v>
      </c>
      <c r="G1614" t="s">
        <v>101</v>
      </c>
      <c r="H1614" t="s">
        <v>575</v>
      </c>
      <c r="I1614">
        <v>2</v>
      </c>
      <c r="J1614">
        <v>5</v>
      </c>
      <c r="K1614">
        <f t="shared" si="105"/>
        <v>125</v>
      </c>
      <c r="R1614" t="s">
        <v>1348</v>
      </c>
    </row>
    <row r="1615" spans="1:18" x14ac:dyDescent="0.25">
      <c r="A1615" t="s">
        <v>341</v>
      </c>
      <c r="B1615" s="4">
        <v>44183</v>
      </c>
      <c r="C1615" s="9">
        <f t="shared" si="106"/>
        <v>12</v>
      </c>
      <c r="D1615">
        <f t="shared" si="103"/>
        <v>2020</v>
      </c>
      <c r="E1615">
        <f t="shared" si="104"/>
        <v>1</v>
      </c>
      <c r="F1615" t="s">
        <v>664</v>
      </c>
      <c r="G1615" t="s">
        <v>101</v>
      </c>
      <c r="H1615" t="s">
        <v>575</v>
      </c>
      <c r="I1615">
        <v>1</v>
      </c>
      <c r="J1615">
        <v>34</v>
      </c>
      <c r="K1615">
        <f t="shared" si="105"/>
        <v>94</v>
      </c>
      <c r="R1615" t="s">
        <v>1348</v>
      </c>
    </row>
    <row r="1616" spans="1:18" x14ac:dyDescent="0.25">
      <c r="A1616" t="s">
        <v>341</v>
      </c>
      <c r="B1616" s="4">
        <v>44256</v>
      </c>
      <c r="C1616" s="9">
        <f t="shared" si="106"/>
        <v>3</v>
      </c>
      <c r="D1616">
        <f t="shared" si="103"/>
        <v>2021</v>
      </c>
      <c r="E1616">
        <f t="shared" si="104"/>
        <v>1</v>
      </c>
      <c r="F1616" t="s">
        <v>664</v>
      </c>
      <c r="G1616" t="s">
        <v>101</v>
      </c>
      <c r="H1616" t="s">
        <v>244</v>
      </c>
      <c r="I1616">
        <v>2</v>
      </c>
      <c r="J1616">
        <v>16</v>
      </c>
      <c r="K1616">
        <f t="shared" si="105"/>
        <v>136</v>
      </c>
      <c r="R1616" t="s">
        <v>1348</v>
      </c>
    </row>
    <row r="1617" spans="1:18" x14ac:dyDescent="0.25">
      <c r="A1617" t="s">
        <v>341</v>
      </c>
      <c r="B1617" s="4">
        <v>44257</v>
      </c>
      <c r="C1617" s="9">
        <f t="shared" si="106"/>
        <v>3</v>
      </c>
      <c r="D1617">
        <f t="shared" si="103"/>
        <v>2021</v>
      </c>
      <c r="E1617">
        <f t="shared" si="104"/>
        <v>1</v>
      </c>
      <c r="F1617" t="s">
        <v>664</v>
      </c>
      <c r="G1617" t="s">
        <v>101</v>
      </c>
      <c r="H1617" t="s">
        <v>244</v>
      </c>
      <c r="I1617">
        <v>2</v>
      </c>
      <c r="J1617">
        <v>16</v>
      </c>
      <c r="K1617">
        <f t="shared" si="105"/>
        <v>136</v>
      </c>
      <c r="R1617" t="s">
        <v>1348</v>
      </c>
    </row>
    <row r="1618" spans="1:18" x14ac:dyDescent="0.25">
      <c r="A1618" t="s">
        <v>341</v>
      </c>
      <c r="B1618" s="4">
        <v>44279</v>
      </c>
      <c r="C1618" s="9">
        <f t="shared" si="106"/>
        <v>3</v>
      </c>
      <c r="D1618">
        <f t="shared" si="103"/>
        <v>2021</v>
      </c>
      <c r="E1618">
        <f t="shared" si="104"/>
        <v>1</v>
      </c>
      <c r="F1618" t="s">
        <v>664</v>
      </c>
      <c r="G1618" t="s">
        <v>101</v>
      </c>
      <c r="H1618" t="s">
        <v>244</v>
      </c>
      <c r="I1618">
        <v>2</v>
      </c>
      <c r="J1618">
        <v>6</v>
      </c>
      <c r="K1618">
        <f t="shared" si="105"/>
        <v>126</v>
      </c>
      <c r="R1618" t="s">
        <v>1348</v>
      </c>
    </row>
    <row r="1619" spans="1:18" x14ac:dyDescent="0.25">
      <c r="A1619" t="s">
        <v>341</v>
      </c>
      <c r="B1619" s="4">
        <v>44280</v>
      </c>
      <c r="C1619" s="9">
        <f t="shared" si="106"/>
        <v>3</v>
      </c>
      <c r="D1619">
        <f t="shared" si="103"/>
        <v>2021</v>
      </c>
      <c r="E1619">
        <f t="shared" si="104"/>
        <v>1</v>
      </c>
      <c r="F1619" t="s">
        <v>664</v>
      </c>
      <c r="G1619" t="s">
        <v>101</v>
      </c>
      <c r="H1619" t="s">
        <v>244</v>
      </c>
      <c r="I1619">
        <v>1</v>
      </c>
      <c r="J1619">
        <v>44</v>
      </c>
      <c r="K1619">
        <f t="shared" si="105"/>
        <v>104</v>
      </c>
      <c r="R1619" t="s">
        <v>1348</v>
      </c>
    </row>
    <row r="1620" spans="1:18" x14ac:dyDescent="0.25">
      <c r="A1620" t="s">
        <v>341</v>
      </c>
      <c r="B1620" s="4">
        <v>44283</v>
      </c>
      <c r="C1620" s="9">
        <f t="shared" si="106"/>
        <v>3</v>
      </c>
      <c r="D1620">
        <f t="shared" si="103"/>
        <v>2021</v>
      </c>
      <c r="E1620">
        <f t="shared" si="104"/>
        <v>1</v>
      </c>
      <c r="F1620" t="s">
        <v>664</v>
      </c>
      <c r="G1620" t="s">
        <v>409</v>
      </c>
      <c r="H1620" t="s">
        <v>244</v>
      </c>
      <c r="I1620">
        <v>2</v>
      </c>
      <c r="J1620">
        <v>5</v>
      </c>
      <c r="K1620">
        <f t="shared" si="105"/>
        <v>125</v>
      </c>
      <c r="R1620" t="s">
        <v>1348</v>
      </c>
    </row>
    <row r="1621" spans="1:18" x14ac:dyDescent="0.25">
      <c r="A1621" t="s">
        <v>341</v>
      </c>
      <c r="B1621" s="4">
        <v>44284</v>
      </c>
      <c r="C1621" s="9">
        <f t="shared" si="106"/>
        <v>3</v>
      </c>
      <c r="D1621">
        <f t="shared" si="103"/>
        <v>2021</v>
      </c>
      <c r="E1621">
        <f t="shared" si="104"/>
        <v>1</v>
      </c>
      <c r="F1621" t="s">
        <v>664</v>
      </c>
      <c r="G1621" t="s">
        <v>409</v>
      </c>
      <c r="H1621" t="s">
        <v>244</v>
      </c>
      <c r="I1621">
        <v>2</v>
      </c>
      <c r="J1621">
        <v>12</v>
      </c>
      <c r="K1621">
        <f t="shared" si="105"/>
        <v>132</v>
      </c>
      <c r="R1621" t="s">
        <v>1348</v>
      </c>
    </row>
    <row r="1622" spans="1:18" x14ac:dyDescent="0.25">
      <c r="A1622" t="s">
        <v>341</v>
      </c>
      <c r="B1622" s="4">
        <v>44286</v>
      </c>
      <c r="C1622" s="9">
        <f t="shared" si="106"/>
        <v>3</v>
      </c>
      <c r="D1622">
        <f t="shared" si="103"/>
        <v>2021</v>
      </c>
      <c r="E1622">
        <f t="shared" si="104"/>
        <v>1</v>
      </c>
      <c r="F1622" t="s">
        <v>664</v>
      </c>
      <c r="G1622" t="s">
        <v>101</v>
      </c>
      <c r="H1622" t="s">
        <v>244</v>
      </c>
      <c r="I1622">
        <v>2</v>
      </c>
      <c r="J1622">
        <v>49</v>
      </c>
      <c r="K1622">
        <f t="shared" si="105"/>
        <v>169</v>
      </c>
      <c r="R1622" t="s">
        <v>1348</v>
      </c>
    </row>
    <row r="1623" spans="1:18" x14ac:dyDescent="0.25">
      <c r="A1623" t="s">
        <v>341</v>
      </c>
      <c r="B1623" s="4">
        <v>44287</v>
      </c>
      <c r="C1623" s="9">
        <f t="shared" si="106"/>
        <v>4</v>
      </c>
      <c r="D1623">
        <f t="shared" si="103"/>
        <v>2021</v>
      </c>
      <c r="E1623">
        <f t="shared" si="104"/>
        <v>1</v>
      </c>
      <c r="F1623" t="s">
        <v>664</v>
      </c>
      <c r="G1623" t="s">
        <v>409</v>
      </c>
      <c r="H1623" t="s">
        <v>244</v>
      </c>
      <c r="I1623">
        <v>1</v>
      </c>
      <c r="J1623">
        <v>52</v>
      </c>
      <c r="K1623">
        <f t="shared" si="105"/>
        <v>112</v>
      </c>
      <c r="R1623" t="s">
        <v>1348</v>
      </c>
    </row>
    <row r="1624" spans="1:18" x14ac:dyDescent="0.25">
      <c r="A1624" t="s">
        <v>341</v>
      </c>
      <c r="B1624" s="4">
        <v>44294</v>
      </c>
      <c r="C1624" s="9">
        <f t="shared" si="106"/>
        <v>4</v>
      </c>
      <c r="D1624">
        <f t="shared" si="103"/>
        <v>2021</v>
      </c>
      <c r="E1624">
        <f t="shared" si="104"/>
        <v>1</v>
      </c>
      <c r="F1624" t="s">
        <v>664</v>
      </c>
      <c r="G1624" t="s">
        <v>945</v>
      </c>
      <c r="H1624" t="s">
        <v>355</v>
      </c>
      <c r="I1624">
        <v>1</v>
      </c>
      <c r="J1624">
        <v>31</v>
      </c>
      <c r="K1624">
        <f t="shared" si="105"/>
        <v>91</v>
      </c>
      <c r="L1624" t="s">
        <v>946</v>
      </c>
      <c r="M1624" t="s">
        <v>947</v>
      </c>
      <c r="R1624" t="s">
        <v>1348</v>
      </c>
    </row>
    <row r="1625" spans="1:18" x14ac:dyDescent="0.25">
      <c r="A1625" t="s">
        <v>341</v>
      </c>
      <c r="B1625" s="4">
        <v>44304</v>
      </c>
      <c r="C1625" s="9">
        <f t="shared" si="106"/>
        <v>4</v>
      </c>
      <c r="D1625">
        <f t="shared" si="103"/>
        <v>2021</v>
      </c>
      <c r="E1625">
        <f t="shared" si="104"/>
        <v>1</v>
      </c>
      <c r="F1625" t="s">
        <v>948</v>
      </c>
      <c r="G1625" t="s">
        <v>101</v>
      </c>
      <c r="H1625" t="s">
        <v>244</v>
      </c>
      <c r="J1625">
        <v>48</v>
      </c>
      <c r="K1625">
        <f t="shared" si="105"/>
        <v>48</v>
      </c>
      <c r="R1625" t="s">
        <v>1348</v>
      </c>
    </row>
    <row r="1626" spans="1:18" x14ac:dyDescent="0.25">
      <c r="A1626" t="s">
        <v>341</v>
      </c>
      <c r="B1626" s="4">
        <v>44306</v>
      </c>
      <c r="C1626" s="9">
        <f t="shared" si="106"/>
        <v>4</v>
      </c>
      <c r="D1626">
        <f t="shared" si="103"/>
        <v>2021</v>
      </c>
      <c r="E1626">
        <f t="shared" si="104"/>
        <v>1</v>
      </c>
      <c r="F1626" t="s">
        <v>948</v>
      </c>
      <c r="G1626" t="s">
        <v>101</v>
      </c>
      <c r="H1626" t="s">
        <v>244</v>
      </c>
      <c r="I1626">
        <v>1</v>
      </c>
      <c r="J1626">
        <v>35</v>
      </c>
      <c r="K1626">
        <f t="shared" si="105"/>
        <v>95</v>
      </c>
      <c r="R1626" t="s">
        <v>1348</v>
      </c>
    </row>
    <row r="1627" spans="1:18" x14ac:dyDescent="0.25">
      <c r="A1627" t="s">
        <v>341</v>
      </c>
      <c r="B1627" s="4">
        <v>44309</v>
      </c>
      <c r="C1627" s="9">
        <f t="shared" si="106"/>
        <v>4</v>
      </c>
      <c r="D1627">
        <f t="shared" si="103"/>
        <v>2021</v>
      </c>
      <c r="E1627">
        <f t="shared" si="104"/>
        <v>1</v>
      </c>
      <c r="F1627" t="s">
        <v>948</v>
      </c>
      <c r="G1627" t="s">
        <v>101</v>
      </c>
      <c r="H1627" t="s">
        <v>244</v>
      </c>
      <c r="I1627">
        <v>2</v>
      </c>
      <c r="J1627">
        <v>9</v>
      </c>
      <c r="K1627">
        <f t="shared" si="105"/>
        <v>129</v>
      </c>
      <c r="R1627" t="s">
        <v>1348</v>
      </c>
    </row>
    <row r="1628" spans="1:18" x14ac:dyDescent="0.25">
      <c r="A1628" t="s">
        <v>341</v>
      </c>
      <c r="B1628" s="4">
        <v>44310</v>
      </c>
      <c r="C1628" s="9">
        <f t="shared" si="106"/>
        <v>4</v>
      </c>
      <c r="D1628">
        <f t="shared" si="103"/>
        <v>2021</v>
      </c>
      <c r="E1628">
        <f t="shared" si="104"/>
        <v>1</v>
      </c>
      <c r="F1628" t="s">
        <v>948</v>
      </c>
      <c r="G1628" t="s">
        <v>101</v>
      </c>
      <c r="H1628" t="s">
        <v>244</v>
      </c>
      <c r="I1628">
        <v>2</v>
      </c>
      <c r="J1628">
        <v>30</v>
      </c>
      <c r="K1628">
        <f t="shared" si="105"/>
        <v>150</v>
      </c>
      <c r="R1628" t="s">
        <v>1348</v>
      </c>
    </row>
    <row r="1629" spans="1:18" x14ac:dyDescent="0.25">
      <c r="A1629" t="s">
        <v>341</v>
      </c>
      <c r="B1629" s="4">
        <v>44344</v>
      </c>
      <c r="C1629" s="9">
        <f t="shared" si="106"/>
        <v>5</v>
      </c>
      <c r="D1629">
        <f t="shared" si="103"/>
        <v>2021</v>
      </c>
      <c r="E1629">
        <f t="shared" si="104"/>
        <v>1</v>
      </c>
      <c r="F1629" t="s">
        <v>948</v>
      </c>
      <c r="G1629" t="s">
        <v>540</v>
      </c>
      <c r="H1629" t="s">
        <v>953</v>
      </c>
      <c r="I1629">
        <v>1</v>
      </c>
      <c r="J1629">
        <v>13</v>
      </c>
      <c r="K1629">
        <f t="shared" si="105"/>
        <v>73</v>
      </c>
      <c r="L1629" t="s">
        <v>509</v>
      </c>
      <c r="M1629" t="s">
        <v>961</v>
      </c>
      <c r="R1629" t="s">
        <v>1355</v>
      </c>
    </row>
    <row r="1630" spans="1:18" x14ac:dyDescent="0.25">
      <c r="A1630" t="s">
        <v>341</v>
      </c>
      <c r="B1630" s="4">
        <v>44344</v>
      </c>
      <c r="C1630" s="9">
        <f t="shared" si="106"/>
        <v>5</v>
      </c>
      <c r="D1630">
        <f t="shared" si="103"/>
        <v>2021</v>
      </c>
      <c r="E1630">
        <f t="shared" si="104"/>
        <v>0</v>
      </c>
      <c r="F1630" t="s">
        <v>948</v>
      </c>
      <c r="G1630" t="s">
        <v>508</v>
      </c>
      <c r="H1630" t="s">
        <v>508</v>
      </c>
      <c r="I1630">
        <v>2</v>
      </c>
      <c r="J1630">
        <v>36</v>
      </c>
      <c r="K1630">
        <f t="shared" si="105"/>
        <v>156</v>
      </c>
      <c r="L1630" t="s">
        <v>509</v>
      </c>
      <c r="R1630" t="s">
        <v>1355</v>
      </c>
    </row>
    <row r="1631" spans="1:18" x14ac:dyDescent="0.25">
      <c r="A1631" t="s">
        <v>341</v>
      </c>
      <c r="B1631" s="4">
        <v>44345</v>
      </c>
      <c r="C1631" s="9">
        <f t="shared" si="106"/>
        <v>5</v>
      </c>
      <c r="D1631">
        <f t="shared" si="103"/>
        <v>2021</v>
      </c>
      <c r="E1631">
        <f t="shared" si="104"/>
        <v>1</v>
      </c>
      <c r="F1631" t="s">
        <v>948</v>
      </c>
      <c r="G1631" t="s">
        <v>540</v>
      </c>
      <c r="H1631" t="s">
        <v>954</v>
      </c>
      <c r="I1631">
        <v>1</v>
      </c>
      <c r="J1631">
        <v>20</v>
      </c>
      <c r="K1631">
        <f t="shared" si="105"/>
        <v>80</v>
      </c>
      <c r="L1631" t="s">
        <v>509</v>
      </c>
      <c r="R1631" t="s">
        <v>1355</v>
      </c>
    </row>
    <row r="1632" spans="1:18" x14ac:dyDescent="0.25">
      <c r="A1632" t="s">
        <v>341</v>
      </c>
      <c r="B1632" s="4">
        <v>44345</v>
      </c>
      <c r="C1632" s="9">
        <f t="shared" si="106"/>
        <v>5</v>
      </c>
      <c r="D1632">
        <f t="shared" si="103"/>
        <v>2021</v>
      </c>
      <c r="E1632">
        <f t="shared" si="104"/>
        <v>0</v>
      </c>
      <c r="F1632" t="s">
        <v>948</v>
      </c>
      <c r="G1632" t="s">
        <v>508</v>
      </c>
      <c r="H1632" t="s">
        <v>508</v>
      </c>
      <c r="J1632">
        <v>56</v>
      </c>
      <c r="K1632">
        <f t="shared" si="105"/>
        <v>56</v>
      </c>
      <c r="L1632" t="s">
        <v>509</v>
      </c>
      <c r="R1632" t="s">
        <v>1355</v>
      </c>
    </row>
    <row r="1633" spans="1:18" x14ac:dyDescent="0.25">
      <c r="A1633" t="s">
        <v>341</v>
      </c>
      <c r="B1633" s="4">
        <v>44346</v>
      </c>
      <c r="C1633" s="9">
        <f t="shared" si="106"/>
        <v>5</v>
      </c>
      <c r="D1633">
        <f t="shared" si="103"/>
        <v>2021</v>
      </c>
      <c r="E1633">
        <f t="shared" si="104"/>
        <v>1</v>
      </c>
      <c r="F1633" t="s">
        <v>948</v>
      </c>
      <c r="G1633" t="s">
        <v>625</v>
      </c>
      <c r="H1633" t="s">
        <v>513</v>
      </c>
      <c r="I1633">
        <v>1</v>
      </c>
      <c r="J1633">
        <v>28</v>
      </c>
      <c r="K1633">
        <f t="shared" si="105"/>
        <v>88</v>
      </c>
      <c r="L1633" t="s">
        <v>509</v>
      </c>
      <c r="R1633" t="s">
        <v>1355</v>
      </c>
    </row>
    <row r="1634" spans="1:18" x14ac:dyDescent="0.25">
      <c r="A1634" t="s">
        <v>341</v>
      </c>
      <c r="B1634" s="4">
        <v>44347</v>
      </c>
      <c r="C1634" s="9">
        <f t="shared" si="106"/>
        <v>5</v>
      </c>
      <c r="D1634">
        <f t="shared" si="103"/>
        <v>2021</v>
      </c>
      <c r="E1634">
        <f t="shared" si="104"/>
        <v>1</v>
      </c>
      <c r="F1634" t="s">
        <v>948</v>
      </c>
      <c r="G1634" t="s">
        <v>955</v>
      </c>
      <c r="H1634" t="s">
        <v>956</v>
      </c>
      <c r="J1634">
        <v>33</v>
      </c>
      <c r="K1634">
        <f t="shared" si="105"/>
        <v>33</v>
      </c>
      <c r="L1634" t="s">
        <v>509</v>
      </c>
      <c r="R1634" t="s">
        <v>1355</v>
      </c>
    </row>
    <row r="1635" spans="1:18" x14ac:dyDescent="0.25">
      <c r="A1635" t="s">
        <v>341</v>
      </c>
      <c r="B1635" s="4">
        <v>44348</v>
      </c>
      <c r="C1635" s="9">
        <f t="shared" si="106"/>
        <v>6</v>
      </c>
      <c r="D1635">
        <f t="shared" si="103"/>
        <v>2021</v>
      </c>
      <c r="E1635">
        <f t="shared" si="104"/>
        <v>1</v>
      </c>
      <c r="F1635" t="s">
        <v>948</v>
      </c>
      <c r="G1635" t="s">
        <v>625</v>
      </c>
      <c r="H1635" t="s">
        <v>625</v>
      </c>
      <c r="J1635">
        <v>43</v>
      </c>
      <c r="K1635">
        <f t="shared" si="105"/>
        <v>43</v>
      </c>
      <c r="L1635" t="s">
        <v>509</v>
      </c>
      <c r="R1635" t="s">
        <v>1355</v>
      </c>
    </row>
    <row r="1636" spans="1:18" x14ac:dyDescent="0.25">
      <c r="A1636" t="s">
        <v>341</v>
      </c>
      <c r="B1636" s="4">
        <v>44349</v>
      </c>
      <c r="C1636" s="9">
        <f t="shared" si="106"/>
        <v>6</v>
      </c>
      <c r="D1636">
        <f t="shared" si="103"/>
        <v>2021</v>
      </c>
      <c r="E1636">
        <f t="shared" si="104"/>
        <v>1</v>
      </c>
      <c r="F1636" t="s">
        <v>948</v>
      </c>
      <c r="G1636" t="s">
        <v>508</v>
      </c>
      <c r="H1636" t="s">
        <v>957</v>
      </c>
      <c r="I1636">
        <v>1</v>
      </c>
      <c r="J1636">
        <v>52</v>
      </c>
      <c r="K1636">
        <f t="shared" si="105"/>
        <v>112</v>
      </c>
      <c r="L1636" t="s">
        <v>509</v>
      </c>
      <c r="R1636" t="s">
        <v>1355</v>
      </c>
    </row>
    <row r="1637" spans="1:18" x14ac:dyDescent="0.25">
      <c r="A1637" t="s">
        <v>341</v>
      </c>
      <c r="B1637" s="4">
        <v>44350</v>
      </c>
      <c r="C1637" s="9">
        <f t="shared" si="106"/>
        <v>6</v>
      </c>
      <c r="D1637">
        <f t="shared" ref="D1637:D1701" si="107">YEAR(B1637)</f>
        <v>2021</v>
      </c>
      <c r="E1637">
        <f t="shared" ref="E1637:E1701" si="108">IF(OR(A1637 = "GS",A1637 = "BP"),IF( OR(A1636="GS",A1636="BP"),IF(B1636=B1637,0,1),1),0)</f>
        <v>1</v>
      </c>
      <c r="F1637" t="s">
        <v>948</v>
      </c>
      <c r="G1637" t="s">
        <v>958</v>
      </c>
      <c r="H1637" t="s">
        <v>959</v>
      </c>
      <c r="J1637">
        <v>24</v>
      </c>
      <c r="K1637">
        <f t="shared" ref="K1637:K1701" si="109">I1637*60+J1637</f>
        <v>24</v>
      </c>
      <c r="L1637" t="s">
        <v>509</v>
      </c>
      <c r="R1637" t="s">
        <v>1355</v>
      </c>
    </row>
    <row r="1638" spans="1:18" x14ac:dyDescent="0.25">
      <c r="A1638" t="s">
        <v>341</v>
      </c>
      <c r="B1638" s="4">
        <v>44350</v>
      </c>
      <c r="C1638" s="9">
        <f t="shared" si="106"/>
        <v>6</v>
      </c>
      <c r="D1638">
        <f t="shared" si="107"/>
        <v>2021</v>
      </c>
      <c r="E1638">
        <f t="shared" si="108"/>
        <v>0</v>
      </c>
      <c r="F1638" t="s">
        <v>948</v>
      </c>
      <c r="G1638" t="s">
        <v>958</v>
      </c>
      <c r="H1638" t="s">
        <v>960</v>
      </c>
      <c r="J1638">
        <v>48</v>
      </c>
      <c r="K1638">
        <f t="shared" si="109"/>
        <v>48</v>
      </c>
      <c r="L1638" t="s">
        <v>509</v>
      </c>
      <c r="R1638" t="s">
        <v>1355</v>
      </c>
    </row>
    <row r="1639" spans="1:18" x14ac:dyDescent="0.25">
      <c r="A1639" t="s">
        <v>341</v>
      </c>
      <c r="B1639" s="4">
        <v>44350</v>
      </c>
      <c r="C1639" s="9">
        <f t="shared" si="106"/>
        <v>6</v>
      </c>
      <c r="D1639">
        <f t="shared" si="107"/>
        <v>2021</v>
      </c>
      <c r="E1639">
        <f t="shared" si="108"/>
        <v>0</v>
      </c>
      <c r="F1639" t="s">
        <v>948</v>
      </c>
      <c r="G1639" t="s">
        <v>508</v>
      </c>
      <c r="H1639" t="s">
        <v>508</v>
      </c>
      <c r="J1639">
        <v>58</v>
      </c>
      <c r="K1639">
        <f t="shared" si="109"/>
        <v>58</v>
      </c>
      <c r="L1639" t="s">
        <v>509</v>
      </c>
      <c r="R1639" t="s">
        <v>1355</v>
      </c>
    </row>
    <row r="1640" spans="1:18" x14ac:dyDescent="0.25">
      <c r="A1640" t="s">
        <v>341</v>
      </c>
      <c r="B1640" s="4">
        <v>44353</v>
      </c>
      <c r="C1640" s="9">
        <f t="shared" si="106"/>
        <v>6</v>
      </c>
      <c r="D1640">
        <f t="shared" si="107"/>
        <v>2021</v>
      </c>
      <c r="E1640">
        <f t="shared" si="108"/>
        <v>1</v>
      </c>
      <c r="F1640" t="s">
        <v>948</v>
      </c>
      <c r="G1640" t="s">
        <v>101</v>
      </c>
      <c r="H1640" t="s">
        <v>244</v>
      </c>
      <c r="J1640">
        <v>56</v>
      </c>
      <c r="K1640">
        <f t="shared" si="109"/>
        <v>56</v>
      </c>
      <c r="R1640" t="s">
        <v>1348</v>
      </c>
    </row>
    <row r="1641" spans="1:18" x14ac:dyDescent="0.25">
      <c r="A1641" t="s">
        <v>341</v>
      </c>
      <c r="B1641" s="4">
        <v>44359</v>
      </c>
      <c r="C1641" s="9">
        <f t="shared" si="106"/>
        <v>6</v>
      </c>
      <c r="D1641">
        <f t="shared" si="107"/>
        <v>2021</v>
      </c>
      <c r="E1641">
        <f t="shared" si="108"/>
        <v>1</v>
      </c>
      <c r="F1641" t="s">
        <v>948</v>
      </c>
      <c r="G1641" t="s">
        <v>101</v>
      </c>
      <c r="H1641" t="s">
        <v>244</v>
      </c>
      <c r="I1641">
        <v>1</v>
      </c>
      <c r="J1641">
        <v>37</v>
      </c>
      <c r="K1641">
        <f t="shared" si="109"/>
        <v>97</v>
      </c>
      <c r="R1641" t="s">
        <v>1348</v>
      </c>
    </row>
    <row r="1642" spans="1:18" x14ac:dyDescent="0.25">
      <c r="A1642" t="s">
        <v>341</v>
      </c>
      <c r="B1642" s="4">
        <v>44365</v>
      </c>
      <c r="C1642" s="9">
        <f t="shared" si="106"/>
        <v>6</v>
      </c>
      <c r="D1642">
        <f t="shared" si="107"/>
        <v>2021</v>
      </c>
      <c r="E1642">
        <f t="shared" si="108"/>
        <v>1</v>
      </c>
      <c r="F1642" t="s">
        <v>948</v>
      </c>
      <c r="G1642" t="s">
        <v>968</v>
      </c>
      <c r="H1642" t="s">
        <v>968</v>
      </c>
      <c r="J1642">
        <v>59</v>
      </c>
      <c r="K1642">
        <f t="shared" si="109"/>
        <v>59</v>
      </c>
      <c r="L1642" t="s">
        <v>969</v>
      </c>
      <c r="R1642" t="s">
        <v>1362</v>
      </c>
    </row>
    <row r="1643" spans="1:18" x14ac:dyDescent="0.25">
      <c r="A1643" t="s">
        <v>341</v>
      </c>
      <c r="B1643" s="4">
        <v>44365</v>
      </c>
      <c r="C1643" s="9">
        <f t="shared" si="106"/>
        <v>6</v>
      </c>
      <c r="D1643">
        <f t="shared" si="107"/>
        <v>2021</v>
      </c>
      <c r="E1643">
        <f t="shared" si="108"/>
        <v>0</v>
      </c>
      <c r="F1643" t="s">
        <v>948</v>
      </c>
      <c r="G1643" t="s">
        <v>968</v>
      </c>
      <c r="H1643" t="s">
        <v>968</v>
      </c>
      <c r="J1643">
        <v>33</v>
      </c>
      <c r="K1643">
        <f t="shared" si="109"/>
        <v>33</v>
      </c>
      <c r="L1643" t="s">
        <v>969</v>
      </c>
      <c r="R1643" t="s">
        <v>1362</v>
      </c>
    </row>
    <row r="1644" spans="1:18" x14ac:dyDescent="0.25">
      <c r="A1644" t="s">
        <v>341</v>
      </c>
      <c r="B1644" s="4">
        <v>44366</v>
      </c>
      <c r="C1644" s="9">
        <f t="shared" si="106"/>
        <v>6</v>
      </c>
      <c r="D1644">
        <f t="shared" si="107"/>
        <v>2021</v>
      </c>
      <c r="E1644">
        <f t="shared" si="108"/>
        <v>1</v>
      </c>
      <c r="F1644" t="s">
        <v>948</v>
      </c>
      <c r="G1644" t="s">
        <v>970</v>
      </c>
      <c r="H1644" t="s">
        <v>971</v>
      </c>
      <c r="J1644">
        <v>25</v>
      </c>
      <c r="K1644">
        <f t="shared" si="109"/>
        <v>25</v>
      </c>
      <c r="L1644" t="s">
        <v>969</v>
      </c>
      <c r="R1644" t="s">
        <v>1362</v>
      </c>
    </row>
    <row r="1645" spans="1:18" x14ac:dyDescent="0.25">
      <c r="A1645" t="s">
        <v>341</v>
      </c>
      <c r="B1645" s="4">
        <v>44367</v>
      </c>
      <c r="C1645" s="9">
        <f t="shared" si="106"/>
        <v>6</v>
      </c>
      <c r="D1645">
        <f t="shared" si="107"/>
        <v>2021</v>
      </c>
      <c r="E1645">
        <f t="shared" si="108"/>
        <v>1</v>
      </c>
      <c r="F1645" t="s">
        <v>948</v>
      </c>
      <c r="G1645" t="s">
        <v>970</v>
      </c>
      <c r="H1645" t="s">
        <v>970</v>
      </c>
      <c r="J1645">
        <v>10</v>
      </c>
      <c r="K1645">
        <f t="shared" si="109"/>
        <v>10</v>
      </c>
      <c r="L1645" t="s">
        <v>969</v>
      </c>
      <c r="R1645" t="s">
        <v>1362</v>
      </c>
    </row>
    <row r="1646" spans="1:18" x14ac:dyDescent="0.25">
      <c r="A1646" t="s">
        <v>341</v>
      </c>
      <c r="B1646" s="4">
        <v>44367</v>
      </c>
      <c r="C1646" s="9">
        <f t="shared" si="106"/>
        <v>6</v>
      </c>
      <c r="D1646">
        <f t="shared" si="107"/>
        <v>2021</v>
      </c>
      <c r="E1646">
        <f t="shared" si="108"/>
        <v>0</v>
      </c>
      <c r="F1646" t="s">
        <v>948</v>
      </c>
      <c r="G1646" t="s">
        <v>970</v>
      </c>
      <c r="H1646" t="s">
        <v>972</v>
      </c>
      <c r="J1646">
        <v>44</v>
      </c>
      <c r="K1646">
        <f t="shared" si="109"/>
        <v>44</v>
      </c>
      <c r="L1646" t="s">
        <v>969</v>
      </c>
      <c r="R1646" t="s">
        <v>1362</v>
      </c>
    </row>
    <row r="1647" spans="1:18" x14ac:dyDescent="0.25">
      <c r="A1647" t="s">
        <v>341</v>
      </c>
      <c r="B1647" s="4">
        <v>44368</v>
      </c>
      <c r="C1647" s="9">
        <f t="shared" si="106"/>
        <v>6</v>
      </c>
      <c r="D1647">
        <f t="shared" si="107"/>
        <v>2021</v>
      </c>
      <c r="E1647">
        <f t="shared" si="108"/>
        <v>1</v>
      </c>
      <c r="F1647" t="s">
        <v>948</v>
      </c>
      <c r="G1647" t="s">
        <v>973</v>
      </c>
      <c r="H1647" t="s">
        <v>974</v>
      </c>
      <c r="J1647">
        <v>44</v>
      </c>
      <c r="K1647">
        <f t="shared" si="109"/>
        <v>44</v>
      </c>
      <c r="L1647" t="s">
        <v>969</v>
      </c>
      <c r="R1647" t="s">
        <v>1363</v>
      </c>
    </row>
    <row r="1648" spans="1:18" x14ac:dyDescent="0.25">
      <c r="A1648" t="s">
        <v>341</v>
      </c>
      <c r="B1648" s="4">
        <v>44368</v>
      </c>
      <c r="C1648" s="9">
        <f t="shared" si="106"/>
        <v>6</v>
      </c>
      <c r="D1648">
        <f t="shared" si="107"/>
        <v>2021</v>
      </c>
      <c r="E1648">
        <f t="shared" si="108"/>
        <v>0</v>
      </c>
      <c r="F1648" t="s">
        <v>948</v>
      </c>
      <c r="G1648" t="s">
        <v>973</v>
      </c>
      <c r="H1648" t="s">
        <v>974</v>
      </c>
      <c r="J1648">
        <v>20</v>
      </c>
      <c r="K1648">
        <f t="shared" si="109"/>
        <v>20</v>
      </c>
      <c r="L1648" t="s">
        <v>969</v>
      </c>
      <c r="R1648" t="s">
        <v>1363</v>
      </c>
    </row>
    <row r="1649" spans="1:18" x14ac:dyDescent="0.25">
      <c r="A1649" t="s">
        <v>341</v>
      </c>
      <c r="B1649" s="4">
        <v>44369</v>
      </c>
      <c r="C1649" s="9">
        <f t="shared" si="106"/>
        <v>6</v>
      </c>
      <c r="D1649">
        <f t="shared" si="107"/>
        <v>2021</v>
      </c>
      <c r="E1649">
        <f t="shared" si="108"/>
        <v>1</v>
      </c>
      <c r="F1649" t="s">
        <v>948</v>
      </c>
      <c r="G1649" t="s">
        <v>975</v>
      </c>
      <c r="H1649" t="s">
        <v>975</v>
      </c>
      <c r="I1649">
        <v>1</v>
      </c>
      <c r="J1649">
        <v>32</v>
      </c>
      <c r="K1649">
        <f t="shared" si="109"/>
        <v>92</v>
      </c>
      <c r="L1649" t="s">
        <v>969</v>
      </c>
      <c r="R1649" t="s">
        <v>1363</v>
      </c>
    </row>
    <row r="1650" spans="1:18" x14ac:dyDescent="0.25">
      <c r="A1650" t="s">
        <v>341</v>
      </c>
      <c r="B1650" s="4">
        <v>44370</v>
      </c>
      <c r="C1650" s="9">
        <f t="shared" si="106"/>
        <v>6</v>
      </c>
      <c r="D1650">
        <f t="shared" si="107"/>
        <v>2021</v>
      </c>
      <c r="E1650">
        <f t="shared" si="108"/>
        <v>1</v>
      </c>
      <c r="F1650" t="s">
        <v>948</v>
      </c>
      <c r="G1650" t="s">
        <v>976</v>
      </c>
      <c r="H1650" t="s">
        <v>977</v>
      </c>
      <c r="I1650">
        <v>1</v>
      </c>
      <c r="J1650">
        <v>55</v>
      </c>
      <c r="K1650">
        <f t="shared" si="109"/>
        <v>115</v>
      </c>
      <c r="L1650" t="s">
        <v>969</v>
      </c>
      <c r="R1650" t="s">
        <v>1363</v>
      </c>
    </row>
    <row r="1651" spans="1:18" x14ac:dyDescent="0.25">
      <c r="A1651" t="s">
        <v>341</v>
      </c>
      <c r="B1651" s="4">
        <v>44372</v>
      </c>
      <c r="C1651" s="9">
        <f t="shared" si="106"/>
        <v>6</v>
      </c>
      <c r="D1651">
        <f t="shared" si="107"/>
        <v>2021</v>
      </c>
      <c r="E1651">
        <f t="shared" si="108"/>
        <v>1</v>
      </c>
      <c r="F1651" t="s">
        <v>948</v>
      </c>
      <c r="G1651" t="s">
        <v>973</v>
      </c>
      <c r="H1651" t="s">
        <v>974</v>
      </c>
      <c r="I1651">
        <v>1</v>
      </c>
      <c r="J1651">
        <v>1</v>
      </c>
      <c r="K1651">
        <f t="shared" si="109"/>
        <v>61</v>
      </c>
      <c r="L1651" t="s">
        <v>969</v>
      </c>
      <c r="R1651" t="s">
        <v>1363</v>
      </c>
    </row>
    <row r="1652" spans="1:18" x14ac:dyDescent="0.25">
      <c r="A1652" t="s">
        <v>341</v>
      </c>
      <c r="B1652" s="4">
        <v>44379</v>
      </c>
      <c r="C1652" s="9">
        <f t="shared" si="106"/>
        <v>7</v>
      </c>
      <c r="D1652">
        <f t="shared" si="107"/>
        <v>2021</v>
      </c>
      <c r="E1652">
        <f t="shared" si="108"/>
        <v>1</v>
      </c>
      <c r="F1652" t="s">
        <v>948</v>
      </c>
      <c r="G1652" t="s">
        <v>595</v>
      </c>
      <c r="H1652" t="s">
        <v>244</v>
      </c>
      <c r="I1652">
        <v>1</v>
      </c>
      <c r="J1652">
        <v>4</v>
      </c>
      <c r="K1652">
        <f t="shared" si="109"/>
        <v>64</v>
      </c>
      <c r="R1652" t="s">
        <v>1348</v>
      </c>
    </row>
    <row r="1653" spans="1:18" x14ac:dyDescent="0.25">
      <c r="A1653" t="s">
        <v>341</v>
      </c>
      <c r="B1653" s="4">
        <v>44380</v>
      </c>
      <c r="C1653" s="9">
        <f t="shared" si="106"/>
        <v>7</v>
      </c>
      <c r="D1653">
        <f t="shared" si="107"/>
        <v>2021</v>
      </c>
      <c r="E1653">
        <f t="shared" si="108"/>
        <v>1</v>
      </c>
      <c r="F1653" t="s">
        <v>613</v>
      </c>
      <c r="G1653" t="s">
        <v>595</v>
      </c>
      <c r="H1653" t="s">
        <v>244</v>
      </c>
      <c r="J1653">
        <v>45</v>
      </c>
      <c r="K1653">
        <f t="shared" si="109"/>
        <v>45</v>
      </c>
      <c r="R1653" t="s">
        <v>1348</v>
      </c>
    </row>
    <row r="1654" spans="1:18" x14ac:dyDescent="0.25">
      <c r="A1654" t="s">
        <v>341</v>
      </c>
      <c r="B1654" s="4">
        <v>44387</v>
      </c>
      <c r="C1654" s="9">
        <f t="shared" si="106"/>
        <v>7</v>
      </c>
      <c r="D1654">
        <f t="shared" si="107"/>
        <v>2021</v>
      </c>
      <c r="E1654">
        <f t="shared" si="108"/>
        <v>1</v>
      </c>
      <c r="F1654" t="s">
        <v>948</v>
      </c>
      <c r="G1654" t="s">
        <v>101</v>
      </c>
      <c r="H1654" t="s">
        <v>153</v>
      </c>
      <c r="J1654">
        <v>57</v>
      </c>
      <c r="K1654">
        <f t="shared" si="109"/>
        <v>57</v>
      </c>
      <c r="R1654" t="s">
        <v>1348</v>
      </c>
    </row>
    <row r="1655" spans="1:18" x14ac:dyDescent="0.25">
      <c r="A1655" t="s">
        <v>341</v>
      </c>
      <c r="B1655" s="4">
        <v>44388</v>
      </c>
      <c r="C1655" s="9">
        <f t="shared" si="106"/>
        <v>7</v>
      </c>
      <c r="D1655">
        <f t="shared" si="107"/>
        <v>2021</v>
      </c>
      <c r="E1655">
        <f t="shared" si="108"/>
        <v>1</v>
      </c>
      <c r="F1655" t="s">
        <v>948</v>
      </c>
      <c r="G1655" t="s">
        <v>409</v>
      </c>
      <c r="H1655" t="s">
        <v>741</v>
      </c>
      <c r="J1655">
        <v>21</v>
      </c>
      <c r="K1655">
        <f t="shared" si="109"/>
        <v>21</v>
      </c>
      <c r="R1655" t="s">
        <v>1348</v>
      </c>
    </row>
    <row r="1656" spans="1:18" x14ac:dyDescent="0.25">
      <c r="A1656" t="s">
        <v>341</v>
      </c>
      <c r="B1656" s="4">
        <v>44406</v>
      </c>
      <c r="C1656" s="9">
        <f t="shared" si="106"/>
        <v>7</v>
      </c>
      <c r="D1656">
        <f t="shared" si="107"/>
        <v>2021</v>
      </c>
      <c r="E1656">
        <f t="shared" si="108"/>
        <v>1</v>
      </c>
      <c r="F1656" t="s">
        <v>948</v>
      </c>
      <c r="G1656" t="s">
        <v>409</v>
      </c>
      <c r="H1656" t="s">
        <v>153</v>
      </c>
      <c r="J1656">
        <v>46</v>
      </c>
      <c r="K1656">
        <f t="shared" si="109"/>
        <v>46</v>
      </c>
      <c r="R1656" t="s">
        <v>1348</v>
      </c>
    </row>
    <row r="1657" spans="1:18" x14ac:dyDescent="0.25">
      <c r="A1657" t="s">
        <v>341</v>
      </c>
      <c r="B1657" s="4">
        <v>44422</v>
      </c>
      <c r="C1657" s="9">
        <f t="shared" si="106"/>
        <v>8</v>
      </c>
      <c r="D1657">
        <f t="shared" si="107"/>
        <v>2021</v>
      </c>
      <c r="E1657">
        <f t="shared" si="108"/>
        <v>1</v>
      </c>
      <c r="F1657" t="s">
        <v>948</v>
      </c>
      <c r="G1657" t="s">
        <v>409</v>
      </c>
      <c r="H1657" t="s">
        <v>153</v>
      </c>
      <c r="I1657">
        <v>1</v>
      </c>
      <c r="J1657">
        <v>21</v>
      </c>
      <c r="K1657">
        <f t="shared" si="109"/>
        <v>81</v>
      </c>
      <c r="R1657" t="s">
        <v>1348</v>
      </c>
    </row>
    <row r="1658" spans="1:18" x14ac:dyDescent="0.25">
      <c r="A1658" t="s">
        <v>341</v>
      </c>
      <c r="B1658" s="4">
        <v>44428</v>
      </c>
      <c r="C1658" s="9">
        <f t="shared" si="106"/>
        <v>8</v>
      </c>
      <c r="D1658">
        <f t="shared" si="107"/>
        <v>2021</v>
      </c>
      <c r="E1658">
        <f t="shared" si="108"/>
        <v>1</v>
      </c>
      <c r="F1658" t="s">
        <v>948</v>
      </c>
      <c r="G1658" t="s">
        <v>101</v>
      </c>
      <c r="H1658" t="s">
        <v>244</v>
      </c>
      <c r="I1658">
        <v>2</v>
      </c>
      <c r="J1658">
        <v>17</v>
      </c>
      <c r="K1658">
        <f t="shared" si="109"/>
        <v>137</v>
      </c>
      <c r="R1658" t="s">
        <v>1348</v>
      </c>
    </row>
    <row r="1659" spans="1:18" x14ac:dyDescent="0.25">
      <c r="A1659" t="s">
        <v>341</v>
      </c>
      <c r="B1659" s="4">
        <v>44429</v>
      </c>
      <c r="C1659" s="9">
        <f t="shared" si="106"/>
        <v>8</v>
      </c>
      <c r="D1659">
        <f t="shared" si="107"/>
        <v>2021</v>
      </c>
      <c r="E1659">
        <f t="shared" si="108"/>
        <v>1</v>
      </c>
      <c r="F1659" t="s">
        <v>948</v>
      </c>
      <c r="G1659" t="s">
        <v>409</v>
      </c>
      <c r="H1659" t="s">
        <v>575</v>
      </c>
      <c r="I1659">
        <v>1</v>
      </c>
      <c r="J1659">
        <v>17</v>
      </c>
      <c r="K1659">
        <f t="shared" si="109"/>
        <v>77</v>
      </c>
      <c r="M1659" t="s">
        <v>314</v>
      </c>
      <c r="R1659" t="s">
        <v>1348</v>
      </c>
    </row>
    <row r="1660" spans="1:18" x14ac:dyDescent="0.25">
      <c r="A1660" t="s">
        <v>341</v>
      </c>
      <c r="B1660" s="4">
        <v>44433</v>
      </c>
      <c r="C1660" s="9">
        <f t="shared" si="106"/>
        <v>8</v>
      </c>
      <c r="D1660">
        <f t="shared" si="107"/>
        <v>2021</v>
      </c>
      <c r="E1660">
        <f t="shared" si="108"/>
        <v>1</v>
      </c>
      <c r="F1660" t="s">
        <v>948</v>
      </c>
      <c r="G1660" t="s">
        <v>409</v>
      </c>
      <c r="H1660" t="s">
        <v>153</v>
      </c>
      <c r="I1660">
        <v>1</v>
      </c>
      <c r="J1660">
        <v>12</v>
      </c>
      <c r="K1660">
        <f t="shared" si="109"/>
        <v>72</v>
      </c>
      <c r="R1660" t="s">
        <v>1348</v>
      </c>
    </row>
    <row r="1661" spans="1:18" x14ac:dyDescent="0.25">
      <c r="A1661" t="s">
        <v>341</v>
      </c>
      <c r="B1661" s="4">
        <v>44440</v>
      </c>
      <c r="C1661" s="9">
        <f t="shared" si="106"/>
        <v>9</v>
      </c>
      <c r="D1661">
        <f t="shared" si="107"/>
        <v>2021</v>
      </c>
      <c r="E1661">
        <f t="shared" si="108"/>
        <v>1</v>
      </c>
      <c r="F1661" t="s">
        <v>948</v>
      </c>
      <c r="G1661" t="s">
        <v>101</v>
      </c>
      <c r="H1661" t="s">
        <v>244</v>
      </c>
      <c r="I1661">
        <v>1</v>
      </c>
      <c r="J1661">
        <v>4</v>
      </c>
      <c r="K1661">
        <f t="shared" si="109"/>
        <v>64</v>
      </c>
      <c r="R1661" t="s">
        <v>1348</v>
      </c>
    </row>
    <row r="1662" spans="1:18" x14ac:dyDescent="0.25">
      <c r="A1662" t="s">
        <v>341</v>
      </c>
      <c r="B1662" s="4">
        <v>44440</v>
      </c>
      <c r="C1662" s="9">
        <f t="shared" si="106"/>
        <v>9</v>
      </c>
      <c r="D1662">
        <f t="shared" si="107"/>
        <v>2021</v>
      </c>
      <c r="E1662">
        <f t="shared" si="108"/>
        <v>0</v>
      </c>
      <c r="F1662" t="s">
        <v>948</v>
      </c>
      <c r="G1662" t="s">
        <v>978</v>
      </c>
      <c r="H1662" t="s">
        <v>378</v>
      </c>
      <c r="I1662">
        <v>1</v>
      </c>
      <c r="J1662">
        <v>52</v>
      </c>
      <c r="K1662">
        <f t="shared" si="109"/>
        <v>112</v>
      </c>
      <c r="M1662" t="s">
        <v>979</v>
      </c>
      <c r="R1662" t="s">
        <v>1348</v>
      </c>
    </row>
    <row r="1663" spans="1:18" x14ac:dyDescent="0.25">
      <c r="A1663" t="s">
        <v>341</v>
      </c>
      <c r="B1663" s="4">
        <v>44441</v>
      </c>
      <c r="C1663" s="9">
        <f t="shared" si="106"/>
        <v>9</v>
      </c>
      <c r="D1663">
        <f t="shared" si="107"/>
        <v>2021</v>
      </c>
      <c r="E1663">
        <f t="shared" si="108"/>
        <v>1</v>
      </c>
      <c r="F1663" t="s">
        <v>948</v>
      </c>
      <c r="G1663" t="s">
        <v>978</v>
      </c>
      <c r="H1663" t="s">
        <v>980</v>
      </c>
      <c r="J1663">
        <v>13</v>
      </c>
      <c r="K1663">
        <f t="shared" si="109"/>
        <v>13</v>
      </c>
      <c r="R1663" t="s">
        <v>1348</v>
      </c>
    </row>
    <row r="1664" spans="1:18" x14ac:dyDescent="0.25">
      <c r="A1664" t="s">
        <v>341</v>
      </c>
      <c r="B1664" s="4">
        <v>44441</v>
      </c>
      <c r="C1664" s="9">
        <f t="shared" si="106"/>
        <v>9</v>
      </c>
      <c r="D1664">
        <f t="shared" si="107"/>
        <v>2021</v>
      </c>
      <c r="E1664">
        <f t="shared" si="108"/>
        <v>0</v>
      </c>
      <c r="F1664" t="s">
        <v>948</v>
      </c>
      <c r="G1664" t="s">
        <v>981</v>
      </c>
      <c r="H1664" t="s">
        <v>447</v>
      </c>
      <c r="I1664">
        <v>1</v>
      </c>
      <c r="J1664">
        <v>12</v>
      </c>
      <c r="K1664">
        <f t="shared" si="109"/>
        <v>72</v>
      </c>
      <c r="R1664" t="s">
        <v>1348</v>
      </c>
    </row>
    <row r="1665" spans="1:18" x14ac:dyDescent="0.25">
      <c r="A1665" t="s">
        <v>341</v>
      </c>
      <c r="B1665" s="4">
        <v>44444</v>
      </c>
      <c r="C1665" s="9">
        <f t="shared" ref="C1665:C1729" si="110">MONTH(B1665)</f>
        <v>9</v>
      </c>
      <c r="D1665">
        <f t="shared" si="107"/>
        <v>2021</v>
      </c>
      <c r="E1665">
        <f t="shared" si="108"/>
        <v>1</v>
      </c>
      <c r="F1665" t="s">
        <v>948</v>
      </c>
      <c r="G1665" t="s">
        <v>982</v>
      </c>
      <c r="H1665" t="s">
        <v>983</v>
      </c>
      <c r="J1665">
        <v>36</v>
      </c>
      <c r="K1665">
        <f t="shared" si="109"/>
        <v>36</v>
      </c>
      <c r="R1665" t="s">
        <v>1348</v>
      </c>
    </row>
    <row r="1666" spans="1:18" x14ac:dyDescent="0.25">
      <c r="A1666" t="s">
        <v>341</v>
      </c>
      <c r="B1666" s="4">
        <v>44451</v>
      </c>
      <c r="C1666" s="9">
        <f t="shared" si="110"/>
        <v>9</v>
      </c>
      <c r="D1666">
        <f t="shared" si="107"/>
        <v>2021</v>
      </c>
      <c r="E1666">
        <f t="shared" si="108"/>
        <v>1</v>
      </c>
      <c r="F1666" t="s">
        <v>948</v>
      </c>
      <c r="G1666" t="s">
        <v>409</v>
      </c>
      <c r="H1666" t="s">
        <v>244</v>
      </c>
      <c r="I1666">
        <v>1</v>
      </c>
      <c r="J1666">
        <v>33</v>
      </c>
      <c r="K1666">
        <f t="shared" si="109"/>
        <v>93</v>
      </c>
      <c r="R1666" t="s">
        <v>1348</v>
      </c>
    </row>
    <row r="1667" spans="1:18" x14ac:dyDescent="0.25">
      <c r="A1667" t="s">
        <v>341</v>
      </c>
      <c r="B1667" s="4">
        <v>44452</v>
      </c>
      <c r="C1667" s="9">
        <f t="shared" si="110"/>
        <v>9</v>
      </c>
      <c r="D1667">
        <f t="shared" si="107"/>
        <v>2021</v>
      </c>
      <c r="E1667">
        <f t="shared" si="108"/>
        <v>1</v>
      </c>
      <c r="F1667" t="s">
        <v>948</v>
      </c>
      <c r="G1667" t="s">
        <v>595</v>
      </c>
      <c r="H1667" t="s">
        <v>856</v>
      </c>
      <c r="J1667">
        <v>40</v>
      </c>
      <c r="K1667">
        <f t="shared" si="109"/>
        <v>40</v>
      </c>
      <c r="R1667" t="s">
        <v>1348</v>
      </c>
    </row>
    <row r="1668" spans="1:18" x14ac:dyDescent="0.25">
      <c r="A1668" t="s">
        <v>341</v>
      </c>
      <c r="B1668" s="4">
        <v>44521</v>
      </c>
      <c r="C1668" s="9">
        <f t="shared" si="110"/>
        <v>11</v>
      </c>
      <c r="D1668">
        <f t="shared" si="107"/>
        <v>2021</v>
      </c>
      <c r="E1668">
        <f t="shared" si="108"/>
        <v>1</v>
      </c>
      <c r="F1668" t="s">
        <v>948</v>
      </c>
      <c r="G1668" t="s">
        <v>101</v>
      </c>
      <c r="H1668" t="s">
        <v>244</v>
      </c>
      <c r="I1668">
        <v>1</v>
      </c>
      <c r="J1668">
        <v>29</v>
      </c>
      <c r="K1668">
        <f t="shared" si="109"/>
        <v>89</v>
      </c>
      <c r="R1668" t="s">
        <v>1348</v>
      </c>
    </row>
    <row r="1669" spans="1:18" x14ac:dyDescent="0.25">
      <c r="A1669" t="s">
        <v>341</v>
      </c>
      <c r="B1669" s="4">
        <v>44524</v>
      </c>
      <c r="C1669" s="9">
        <f t="shared" si="110"/>
        <v>11</v>
      </c>
      <c r="D1669">
        <f t="shared" si="107"/>
        <v>2021</v>
      </c>
      <c r="E1669">
        <f t="shared" si="108"/>
        <v>1</v>
      </c>
      <c r="F1669" t="s">
        <v>948</v>
      </c>
      <c r="G1669" t="s">
        <v>101</v>
      </c>
      <c r="H1669" t="s">
        <v>244</v>
      </c>
      <c r="J1669">
        <v>43</v>
      </c>
      <c r="K1669">
        <f t="shared" si="109"/>
        <v>43</v>
      </c>
      <c r="R1669" t="s">
        <v>1348</v>
      </c>
    </row>
    <row r="1670" spans="1:18" x14ac:dyDescent="0.25">
      <c r="A1670" t="s">
        <v>341</v>
      </c>
      <c r="B1670" s="4">
        <v>44543</v>
      </c>
      <c r="C1670" s="9">
        <f t="shared" si="110"/>
        <v>12</v>
      </c>
      <c r="D1670">
        <f t="shared" si="107"/>
        <v>2021</v>
      </c>
      <c r="E1670">
        <f t="shared" si="108"/>
        <v>1</v>
      </c>
      <c r="F1670" t="s">
        <v>948</v>
      </c>
      <c r="G1670" t="s">
        <v>101</v>
      </c>
      <c r="H1670" t="s">
        <v>244</v>
      </c>
      <c r="J1670">
        <v>16</v>
      </c>
      <c r="K1670">
        <f t="shared" si="109"/>
        <v>16</v>
      </c>
      <c r="R1670" t="s">
        <v>1348</v>
      </c>
    </row>
    <row r="1671" spans="1:18" x14ac:dyDescent="0.25">
      <c r="A1671" t="s">
        <v>341</v>
      </c>
      <c r="B1671" s="4">
        <v>44548</v>
      </c>
      <c r="C1671" s="9">
        <f t="shared" si="110"/>
        <v>12</v>
      </c>
      <c r="D1671">
        <f t="shared" si="107"/>
        <v>2021</v>
      </c>
      <c r="E1671">
        <f t="shared" si="108"/>
        <v>1</v>
      </c>
      <c r="F1671" t="s">
        <v>948</v>
      </c>
      <c r="G1671" t="s">
        <v>101</v>
      </c>
      <c r="H1671" t="s">
        <v>244</v>
      </c>
      <c r="J1671">
        <v>17</v>
      </c>
      <c r="K1671">
        <f t="shared" si="109"/>
        <v>17</v>
      </c>
      <c r="M1671" t="s">
        <v>988</v>
      </c>
      <c r="R1671" t="s">
        <v>1348</v>
      </c>
    </row>
    <row r="1672" spans="1:18" x14ac:dyDescent="0.25">
      <c r="A1672" t="s">
        <v>341</v>
      </c>
      <c r="B1672" s="4">
        <v>44576</v>
      </c>
      <c r="C1672" s="9">
        <f t="shared" si="110"/>
        <v>1</v>
      </c>
      <c r="D1672">
        <f t="shared" si="107"/>
        <v>2022</v>
      </c>
      <c r="E1672">
        <f t="shared" si="108"/>
        <v>1</v>
      </c>
      <c r="F1672" t="s">
        <v>948</v>
      </c>
      <c r="G1672" t="s">
        <v>409</v>
      </c>
      <c r="H1672" t="s">
        <v>244</v>
      </c>
      <c r="I1672">
        <v>1</v>
      </c>
      <c r="J1672">
        <v>12</v>
      </c>
      <c r="K1672">
        <f t="shared" si="109"/>
        <v>72</v>
      </c>
      <c r="R1672" t="s">
        <v>1348</v>
      </c>
    </row>
    <row r="1673" spans="1:18" x14ac:dyDescent="0.25">
      <c r="A1673" t="s">
        <v>341</v>
      </c>
      <c r="B1673" s="4">
        <v>44585</v>
      </c>
      <c r="C1673" s="9">
        <f t="shared" si="110"/>
        <v>1</v>
      </c>
      <c r="D1673">
        <f t="shared" si="107"/>
        <v>2022</v>
      </c>
      <c r="E1673">
        <f t="shared" si="108"/>
        <v>1</v>
      </c>
      <c r="F1673" t="s">
        <v>948</v>
      </c>
      <c r="G1673" t="s">
        <v>101</v>
      </c>
      <c r="H1673" t="s">
        <v>244</v>
      </c>
      <c r="I1673">
        <v>1</v>
      </c>
      <c r="J1673">
        <v>2</v>
      </c>
      <c r="K1673">
        <f t="shared" si="109"/>
        <v>62</v>
      </c>
      <c r="R1673" t="s">
        <v>1348</v>
      </c>
    </row>
    <row r="1674" spans="1:18" x14ac:dyDescent="0.25">
      <c r="A1674" t="s">
        <v>341</v>
      </c>
      <c r="B1674" s="4">
        <v>44586</v>
      </c>
      <c r="C1674" s="9">
        <f t="shared" si="110"/>
        <v>1</v>
      </c>
      <c r="D1674">
        <f t="shared" si="107"/>
        <v>2022</v>
      </c>
      <c r="E1674">
        <f t="shared" si="108"/>
        <v>1</v>
      </c>
      <c r="F1674" t="s">
        <v>948</v>
      </c>
      <c r="G1674" t="s">
        <v>101</v>
      </c>
      <c r="H1674" t="s">
        <v>244</v>
      </c>
      <c r="I1674">
        <v>1</v>
      </c>
      <c r="J1674">
        <v>19</v>
      </c>
      <c r="K1674">
        <f t="shared" si="109"/>
        <v>79</v>
      </c>
      <c r="R1674" t="s">
        <v>1348</v>
      </c>
    </row>
    <row r="1675" spans="1:18" x14ac:dyDescent="0.25">
      <c r="A1675" t="s">
        <v>341</v>
      </c>
      <c r="B1675" s="4">
        <v>44604</v>
      </c>
      <c r="C1675" s="9">
        <f t="shared" si="110"/>
        <v>2</v>
      </c>
      <c r="D1675">
        <f t="shared" si="107"/>
        <v>2022</v>
      </c>
      <c r="E1675">
        <f t="shared" si="108"/>
        <v>1</v>
      </c>
      <c r="F1675" t="s">
        <v>948</v>
      </c>
      <c r="G1675" t="s">
        <v>101</v>
      </c>
      <c r="H1675" t="s">
        <v>153</v>
      </c>
      <c r="I1675">
        <v>1</v>
      </c>
      <c r="J1675">
        <v>17</v>
      </c>
      <c r="K1675">
        <f t="shared" si="109"/>
        <v>77</v>
      </c>
      <c r="R1675" t="s">
        <v>1348</v>
      </c>
    </row>
    <row r="1676" spans="1:18" x14ac:dyDescent="0.25">
      <c r="A1676" t="s">
        <v>341</v>
      </c>
      <c r="B1676" s="4">
        <v>44615</v>
      </c>
      <c r="C1676" s="9">
        <f t="shared" si="110"/>
        <v>2</v>
      </c>
      <c r="D1676">
        <f t="shared" si="107"/>
        <v>2022</v>
      </c>
      <c r="E1676">
        <f t="shared" si="108"/>
        <v>1</v>
      </c>
      <c r="F1676" t="s">
        <v>948</v>
      </c>
      <c r="G1676" t="s">
        <v>409</v>
      </c>
      <c r="H1676" t="s">
        <v>244</v>
      </c>
      <c r="J1676">
        <v>57</v>
      </c>
      <c r="K1676">
        <f t="shared" si="109"/>
        <v>57</v>
      </c>
      <c r="R1676" t="s">
        <v>1348</v>
      </c>
    </row>
    <row r="1677" spans="1:18" x14ac:dyDescent="0.25">
      <c r="A1677" t="s">
        <v>341</v>
      </c>
      <c r="B1677" s="4">
        <v>44628</v>
      </c>
      <c r="C1677" s="9">
        <f t="shared" si="110"/>
        <v>3</v>
      </c>
      <c r="D1677">
        <f t="shared" si="107"/>
        <v>2022</v>
      </c>
      <c r="E1677">
        <f t="shared" si="108"/>
        <v>1</v>
      </c>
      <c r="F1677" t="s">
        <v>948</v>
      </c>
      <c r="G1677" t="s">
        <v>101</v>
      </c>
      <c r="H1677" t="s">
        <v>153</v>
      </c>
      <c r="I1677">
        <v>1</v>
      </c>
      <c r="J1677">
        <v>19</v>
      </c>
      <c r="K1677">
        <f t="shared" si="109"/>
        <v>79</v>
      </c>
      <c r="R1677" t="s">
        <v>1348</v>
      </c>
    </row>
    <row r="1678" spans="1:18" x14ac:dyDescent="0.25">
      <c r="A1678" t="s">
        <v>341</v>
      </c>
      <c r="B1678" s="4">
        <v>44644</v>
      </c>
      <c r="C1678" s="9">
        <f t="shared" si="110"/>
        <v>3</v>
      </c>
      <c r="D1678">
        <f t="shared" si="107"/>
        <v>2022</v>
      </c>
      <c r="E1678">
        <f t="shared" si="108"/>
        <v>1</v>
      </c>
      <c r="F1678" t="s">
        <v>948</v>
      </c>
      <c r="G1678" t="s">
        <v>992</v>
      </c>
      <c r="H1678" t="s">
        <v>882</v>
      </c>
      <c r="I1678">
        <v>1</v>
      </c>
      <c r="J1678">
        <v>5</v>
      </c>
      <c r="K1678">
        <f t="shared" si="109"/>
        <v>65</v>
      </c>
      <c r="M1678" t="s">
        <v>993</v>
      </c>
      <c r="R1678" t="s">
        <v>1348</v>
      </c>
    </row>
    <row r="1679" spans="1:18" x14ac:dyDescent="0.25">
      <c r="A1679" t="s">
        <v>341</v>
      </c>
      <c r="B1679" s="4">
        <v>44647</v>
      </c>
      <c r="C1679" s="9">
        <f t="shared" si="110"/>
        <v>3</v>
      </c>
      <c r="D1679">
        <f t="shared" si="107"/>
        <v>2022</v>
      </c>
      <c r="E1679">
        <f t="shared" si="108"/>
        <v>1</v>
      </c>
      <c r="F1679" t="s">
        <v>948</v>
      </c>
      <c r="G1679" t="s">
        <v>409</v>
      </c>
      <c r="H1679" t="s">
        <v>575</v>
      </c>
      <c r="J1679">
        <v>40</v>
      </c>
      <c r="K1679">
        <f t="shared" si="109"/>
        <v>40</v>
      </c>
      <c r="R1679" t="s">
        <v>1348</v>
      </c>
    </row>
    <row r="1680" spans="1:18" x14ac:dyDescent="0.25">
      <c r="A1680" t="s">
        <v>341</v>
      </c>
      <c r="B1680" s="4">
        <v>44648</v>
      </c>
      <c r="C1680" s="9">
        <f t="shared" si="110"/>
        <v>3</v>
      </c>
      <c r="D1680">
        <f t="shared" si="107"/>
        <v>2022</v>
      </c>
      <c r="E1680">
        <f t="shared" si="108"/>
        <v>1</v>
      </c>
      <c r="F1680" t="s">
        <v>948</v>
      </c>
      <c r="G1680" t="s">
        <v>409</v>
      </c>
      <c r="H1680" t="s">
        <v>994</v>
      </c>
      <c r="I1680">
        <v>1</v>
      </c>
      <c r="J1680">
        <v>49</v>
      </c>
      <c r="K1680">
        <f t="shared" si="109"/>
        <v>109</v>
      </c>
      <c r="M1680" t="s">
        <v>995</v>
      </c>
      <c r="R1680" t="s">
        <v>1348</v>
      </c>
    </row>
    <row r="1681" spans="1:18" x14ac:dyDescent="0.25">
      <c r="A1681" t="s">
        <v>341</v>
      </c>
      <c r="B1681" s="4">
        <v>44654</v>
      </c>
      <c r="C1681" s="9">
        <f t="shared" si="110"/>
        <v>4</v>
      </c>
      <c r="D1681">
        <f t="shared" si="107"/>
        <v>2022</v>
      </c>
      <c r="E1681">
        <f t="shared" si="108"/>
        <v>1</v>
      </c>
      <c r="F1681" t="s">
        <v>613</v>
      </c>
      <c r="G1681" t="s">
        <v>409</v>
      </c>
      <c r="H1681" t="s">
        <v>244</v>
      </c>
      <c r="J1681">
        <v>15</v>
      </c>
      <c r="K1681">
        <f t="shared" si="109"/>
        <v>15</v>
      </c>
      <c r="M1681" t="s">
        <v>996</v>
      </c>
      <c r="R1681" t="s">
        <v>1348</v>
      </c>
    </row>
    <row r="1682" spans="1:18" x14ac:dyDescent="0.25">
      <c r="A1682" t="s">
        <v>341</v>
      </c>
      <c r="B1682" s="4">
        <v>44656</v>
      </c>
      <c r="C1682" s="9">
        <f t="shared" si="110"/>
        <v>4</v>
      </c>
      <c r="D1682">
        <f t="shared" si="107"/>
        <v>2022</v>
      </c>
      <c r="E1682">
        <f t="shared" si="108"/>
        <v>1</v>
      </c>
      <c r="F1682" t="s">
        <v>948</v>
      </c>
      <c r="G1682" t="s">
        <v>101</v>
      </c>
      <c r="H1682" t="s">
        <v>244</v>
      </c>
      <c r="I1682">
        <v>1</v>
      </c>
      <c r="J1682">
        <v>3</v>
      </c>
      <c r="K1682">
        <f t="shared" si="109"/>
        <v>63</v>
      </c>
      <c r="R1682" t="s">
        <v>1348</v>
      </c>
    </row>
    <row r="1683" spans="1:18" x14ac:dyDescent="0.25">
      <c r="A1683" t="s">
        <v>341</v>
      </c>
      <c r="B1683" s="4">
        <v>44660</v>
      </c>
      <c r="C1683" s="9">
        <f t="shared" si="110"/>
        <v>4</v>
      </c>
      <c r="D1683">
        <f t="shared" si="107"/>
        <v>2022</v>
      </c>
      <c r="E1683">
        <f t="shared" si="108"/>
        <v>1</v>
      </c>
      <c r="F1683" t="s">
        <v>948</v>
      </c>
      <c r="G1683" t="s">
        <v>997</v>
      </c>
      <c r="H1683" t="s">
        <v>829</v>
      </c>
      <c r="I1683">
        <v>1</v>
      </c>
      <c r="J1683">
        <v>12</v>
      </c>
      <c r="K1683">
        <f t="shared" si="109"/>
        <v>72</v>
      </c>
      <c r="L1683" t="s">
        <v>841</v>
      </c>
      <c r="M1683" t="s">
        <v>998</v>
      </c>
      <c r="R1683" t="s">
        <v>1349</v>
      </c>
    </row>
    <row r="1684" spans="1:18" x14ac:dyDescent="0.25">
      <c r="A1684" t="s">
        <v>341</v>
      </c>
      <c r="B1684" s="4">
        <v>44662</v>
      </c>
      <c r="C1684" s="9">
        <f t="shared" si="110"/>
        <v>4</v>
      </c>
      <c r="D1684">
        <f t="shared" si="107"/>
        <v>2022</v>
      </c>
      <c r="E1684">
        <f t="shared" si="108"/>
        <v>1</v>
      </c>
      <c r="F1684" t="s">
        <v>948</v>
      </c>
      <c r="G1684" t="s">
        <v>1001</v>
      </c>
      <c r="H1684" t="s">
        <v>833</v>
      </c>
      <c r="I1684">
        <v>1</v>
      </c>
      <c r="J1684">
        <v>11</v>
      </c>
      <c r="K1684">
        <f t="shared" si="109"/>
        <v>71</v>
      </c>
      <c r="L1684" t="s">
        <v>841</v>
      </c>
      <c r="R1684" t="s">
        <v>1349</v>
      </c>
    </row>
    <row r="1685" spans="1:18" x14ac:dyDescent="0.25">
      <c r="A1685" t="s">
        <v>341</v>
      </c>
      <c r="B1685" s="4">
        <v>44662</v>
      </c>
      <c r="C1685" s="9">
        <f t="shared" si="110"/>
        <v>4</v>
      </c>
      <c r="D1685">
        <f t="shared" si="107"/>
        <v>2022</v>
      </c>
      <c r="E1685">
        <f t="shared" si="108"/>
        <v>0</v>
      </c>
      <c r="F1685" t="s">
        <v>948</v>
      </c>
      <c r="G1685" t="s">
        <v>833</v>
      </c>
      <c r="H1685" t="s">
        <v>833</v>
      </c>
      <c r="I1685">
        <v>1</v>
      </c>
      <c r="J1685">
        <v>8</v>
      </c>
      <c r="K1685">
        <f t="shared" ref="K1685" si="111">I1685*60+J1685</f>
        <v>68</v>
      </c>
      <c r="L1685" t="s">
        <v>841</v>
      </c>
      <c r="R1685" t="s">
        <v>1349</v>
      </c>
    </row>
    <row r="1686" spans="1:18" x14ac:dyDescent="0.25">
      <c r="A1686" t="s">
        <v>341</v>
      </c>
      <c r="B1686" s="4">
        <v>44662</v>
      </c>
      <c r="C1686" s="9">
        <f t="shared" si="110"/>
        <v>4</v>
      </c>
      <c r="D1686">
        <f t="shared" si="107"/>
        <v>2022</v>
      </c>
      <c r="E1686">
        <f>IF(OR(A1686 = "GS",A1686 = "BP"),IF( OR(A1684="GS",A1684="BP"),IF(B1684=B1686,0,1),1),0)</f>
        <v>0</v>
      </c>
      <c r="F1686" t="s">
        <v>948</v>
      </c>
      <c r="G1686" t="s">
        <v>833</v>
      </c>
      <c r="H1686" t="s">
        <v>833</v>
      </c>
      <c r="I1686">
        <v>1</v>
      </c>
      <c r="J1686">
        <v>12</v>
      </c>
      <c r="K1686">
        <f t="shared" si="109"/>
        <v>72</v>
      </c>
      <c r="L1686" t="s">
        <v>841</v>
      </c>
      <c r="R1686" t="s">
        <v>1349</v>
      </c>
    </row>
    <row r="1687" spans="1:18" x14ac:dyDescent="0.25">
      <c r="A1687" t="s">
        <v>341</v>
      </c>
      <c r="B1687" s="4">
        <v>44663</v>
      </c>
      <c r="C1687" s="9">
        <f t="shared" si="110"/>
        <v>4</v>
      </c>
      <c r="D1687">
        <f t="shared" si="107"/>
        <v>2022</v>
      </c>
      <c r="E1687">
        <f t="shared" si="108"/>
        <v>1</v>
      </c>
      <c r="F1687" t="s">
        <v>948</v>
      </c>
      <c r="G1687" t="s">
        <v>999</v>
      </c>
      <c r="H1687" t="s">
        <v>1000</v>
      </c>
      <c r="J1687">
        <v>35</v>
      </c>
      <c r="K1687">
        <f t="shared" si="109"/>
        <v>35</v>
      </c>
      <c r="L1687" t="s">
        <v>841</v>
      </c>
      <c r="R1687" t="s">
        <v>1349</v>
      </c>
    </row>
    <row r="1688" spans="1:18" x14ac:dyDescent="0.25">
      <c r="A1688" t="s">
        <v>341</v>
      </c>
      <c r="B1688" s="4">
        <v>44663</v>
      </c>
      <c r="C1688" s="9">
        <f t="shared" si="110"/>
        <v>4</v>
      </c>
      <c r="D1688">
        <f t="shared" si="107"/>
        <v>2022</v>
      </c>
      <c r="E1688">
        <f t="shared" si="108"/>
        <v>0</v>
      </c>
      <c r="F1688" t="s">
        <v>948</v>
      </c>
      <c r="G1688" t="s">
        <v>828</v>
      </c>
      <c r="H1688" t="s">
        <v>829</v>
      </c>
      <c r="J1688">
        <v>23</v>
      </c>
      <c r="K1688">
        <f t="shared" si="109"/>
        <v>23</v>
      </c>
      <c r="L1688" t="s">
        <v>841</v>
      </c>
      <c r="R1688" t="s">
        <v>1349</v>
      </c>
    </row>
    <row r="1689" spans="1:18" x14ac:dyDescent="0.25">
      <c r="A1689" t="s">
        <v>341</v>
      </c>
      <c r="B1689" s="4">
        <v>44664</v>
      </c>
      <c r="C1689" s="9">
        <f t="shared" si="110"/>
        <v>4</v>
      </c>
      <c r="D1689">
        <f t="shared" si="107"/>
        <v>2022</v>
      </c>
      <c r="E1689">
        <f t="shared" si="108"/>
        <v>1</v>
      </c>
      <c r="F1689" t="s">
        <v>948</v>
      </c>
      <c r="G1689" t="s">
        <v>997</v>
      </c>
      <c r="H1689" t="s">
        <v>829</v>
      </c>
      <c r="I1689">
        <v>1</v>
      </c>
      <c r="J1689">
        <v>8</v>
      </c>
      <c r="K1689">
        <f t="shared" si="109"/>
        <v>68</v>
      </c>
      <c r="L1689" t="s">
        <v>841</v>
      </c>
      <c r="R1689" t="s">
        <v>1349</v>
      </c>
    </row>
    <row r="1690" spans="1:18" x14ac:dyDescent="0.25">
      <c r="A1690" t="s">
        <v>341</v>
      </c>
      <c r="B1690" s="4">
        <v>44665</v>
      </c>
      <c r="C1690" s="9">
        <f t="shared" si="110"/>
        <v>4</v>
      </c>
      <c r="D1690">
        <f t="shared" si="107"/>
        <v>2022</v>
      </c>
      <c r="E1690">
        <f t="shared" si="108"/>
        <v>1</v>
      </c>
      <c r="F1690" t="s">
        <v>948</v>
      </c>
      <c r="G1690" t="s">
        <v>997</v>
      </c>
      <c r="H1690" t="s">
        <v>829</v>
      </c>
      <c r="I1690">
        <v>1</v>
      </c>
      <c r="J1690">
        <v>27</v>
      </c>
      <c r="K1690">
        <f t="shared" si="109"/>
        <v>87</v>
      </c>
      <c r="L1690" t="s">
        <v>841</v>
      </c>
      <c r="R1690" t="s">
        <v>1349</v>
      </c>
    </row>
    <row r="1691" spans="1:18" x14ac:dyDescent="0.25">
      <c r="A1691" t="s">
        <v>341</v>
      </c>
      <c r="B1691" s="4">
        <v>44666</v>
      </c>
      <c r="C1691" s="9">
        <f t="shared" si="110"/>
        <v>4</v>
      </c>
      <c r="D1691">
        <f t="shared" si="107"/>
        <v>2022</v>
      </c>
      <c r="E1691">
        <f t="shared" si="108"/>
        <v>1</v>
      </c>
      <c r="F1691" t="s">
        <v>948</v>
      </c>
      <c r="G1691" t="s">
        <v>828</v>
      </c>
      <c r="H1691" t="s">
        <v>829</v>
      </c>
      <c r="J1691">
        <v>20</v>
      </c>
      <c r="K1691">
        <f t="shared" si="109"/>
        <v>20</v>
      </c>
      <c r="L1691" t="s">
        <v>841</v>
      </c>
      <c r="R1691" t="s">
        <v>1349</v>
      </c>
    </row>
    <row r="1692" spans="1:18" x14ac:dyDescent="0.25">
      <c r="A1692" t="s">
        <v>341</v>
      </c>
      <c r="B1692" s="4">
        <v>44669</v>
      </c>
      <c r="C1692" s="9">
        <f t="shared" si="110"/>
        <v>4</v>
      </c>
      <c r="D1692">
        <f t="shared" si="107"/>
        <v>2022</v>
      </c>
      <c r="E1692">
        <f t="shared" si="108"/>
        <v>1</v>
      </c>
      <c r="F1692" t="s">
        <v>948</v>
      </c>
      <c r="G1692" t="s">
        <v>101</v>
      </c>
      <c r="H1692" t="s">
        <v>244</v>
      </c>
      <c r="J1692">
        <v>50</v>
      </c>
      <c r="K1692">
        <f t="shared" si="109"/>
        <v>50</v>
      </c>
      <c r="R1692" t="s">
        <v>1348</v>
      </c>
    </row>
    <row r="1693" spans="1:18" x14ac:dyDescent="0.25">
      <c r="A1693" t="s">
        <v>341</v>
      </c>
      <c r="B1693" s="4">
        <v>44678</v>
      </c>
      <c r="C1693" s="9">
        <f t="shared" si="110"/>
        <v>4</v>
      </c>
      <c r="D1693">
        <f t="shared" si="107"/>
        <v>2022</v>
      </c>
      <c r="E1693">
        <f t="shared" si="108"/>
        <v>1</v>
      </c>
      <c r="F1693" t="s">
        <v>948</v>
      </c>
      <c r="G1693" t="s">
        <v>101</v>
      </c>
      <c r="H1693" t="s">
        <v>244</v>
      </c>
      <c r="J1693">
        <v>42</v>
      </c>
      <c r="K1693">
        <f t="shared" si="109"/>
        <v>42</v>
      </c>
      <c r="R1693" t="s">
        <v>1348</v>
      </c>
    </row>
    <row r="1694" spans="1:18" x14ac:dyDescent="0.25">
      <c r="A1694" t="s">
        <v>341</v>
      </c>
      <c r="B1694" s="4">
        <v>44679</v>
      </c>
      <c r="C1694" s="9">
        <f t="shared" si="110"/>
        <v>4</v>
      </c>
      <c r="D1694">
        <f t="shared" si="107"/>
        <v>2022</v>
      </c>
      <c r="E1694">
        <f t="shared" si="108"/>
        <v>1</v>
      </c>
      <c r="F1694" t="s">
        <v>948</v>
      </c>
      <c r="G1694" t="s">
        <v>101</v>
      </c>
      <c r="H1694" t="s">
        <v>244</v>
      </c>
      <c r="I1694">
        <v>1</v>
      </c>
      <c r="J1694">
        <v>13</v>
      </c>
      <c r="K1694">
        <f t="shared" si="109"/>
        <v>73</v>
      </c>
      <c r="R1694" t="s">
        <v>1348</v>
      </c>
    </row>
    <row r="1695" spans="1:18" x14ac:dyDescent="0.25">
      <c r="A1695" t="s">
        <v>341</v>
      </c>
      <c r="B1695" s="4">
        <v>44680</v>
      </c>
      <c r="C1695" s="9">
        <f t="shared" si="110"/>
        <v>4</v>
      </c>
      <c r="D1695">
        <f t="shared" si="107"/>
        <v>2022</v>
      </c>
      <c r="E1695">
        <f t="shared" si="108"/>
        <v>1</v>
      </c>
      <c r="F1695" t="s">
        <v>948</v>
      </c>
      <c r="G1695" t="s">
        <v>101</v>
      </c>
      <c r="H1695" t="s">
        <v>244</v>
      </c>
      <c r="I1695">
        <v>1</v>
      </c>
      <c r="J1695">
        <v>56</v>
      </c>
      <c r="K1695">
        <f t="shared" si="109"/>
        <v>116</v>
      </c>
      <c r="R1695" t="s">
        <v>1348</v>
      </c>
    </row>
    <row r="1696" spans="1:18" x14ac:dyDescent="0.25">
      <c r="A1696" t="s">
        <v>341</v>
      </c>
      <c r="B1696" s="4">
        <v>44682</v>
      </c>
      <c r="C1696" s="9">
        <f t="shared" si="110"/>
        <v>5</v>
      </c>
      <c r="D1696">
        <f t="shared" si="107"/>
        <v>2022</v>
      </c>
      <c r="E1696">
        <f t="shared" si="108"/>
        <v>1</v>
      </c>
      <c r="F1696" t="s">
        <v>948</v>
      </c>
      <c r="G1696" t="s">
        <v>101</v>
      </c>
      <c r="H1696" t="s">
        <v>244</v>
      </c>
      <c r="I1696">
        <v>1</v>
      </c>
      <c r="J1696">
        <v>34</v>
      </c>
      <c r="K1696">
        <f t="shared" si="109"/>
        <v>94</v>
      </c>
      <c r="R1696" t="s">
        <v>1348</v>
      </c>
    </row>
    <row r="1697" spans="1:18" x14ac:dyDescent="0.25">
      <c r="A1697" t="s">
        <v>341</v>
      </c>
      <c r="B1697" s="4">
        <v>44683</v>
      </c>
      <c r="C1697" s="9">
        <f t="shared" si="110"/>
        <v>5</v>
      </c>
      <c r="D1697">
        <f t="shared" si="107"/>
        <v>2022</v>
      </c>
      <c r="E1697">
        <f t="shared" si="108"/>
        <v>1</v>
      </c>
      <c r="F1697" t="s">
        <v>948</v>
      </c>
      <c r="G1697" t="s">
        <v>101</v>
      </c>
      <c r="H1697" t="s">
        <v>244</v>
      </c>
      <c r="I1697">
        <v>1</v>
      </c>
      <c r="J1697">
        <v>50</v>
      </c>
      <c r="K1697">
        <f t="shared" si="109"/>
        <v>110</v>
      </c>
      <c r="R1697" t="s">
        <v>1348</v>
      </c>
    </row>
    <row r="1698" spans="1:18" x14ac:dyDescent="0.25">
      <c r="A1698" t="s">
        <v>341</v>
      </c>
      <c r="B1698" s="4">
        <v>44693</v>
      </c>
      <c r="C1698" s="9">
        <f t="shared" si="110"/>
        <v>5</v>
      </c>
      <c r="D1698">
        <f t="shared" si="107"/>
        <v>2022</v>
      </c>
      <c r="E1698">
        <f t="shared" si="108"/>
        <v>1</v>
      </c>
      <c r="F1698" t="s">
        <v>948</v>
      </c>
      <c r="G1698" t="s">
        <v>358</v>
      </c>
      <c r="H1698" t="s">
        <v>244</v>
      </c>
      <c r="I1698">
        <v>1</v>
      </c>
      <c r="J1698">
        <v>37</v>
      </c>
      <c r="K1698">
        <f t="shared" si="109"/>
        <v>97</v>
      </c>
      <c r="R1698" t="s">
        <v>1348</v>
      </c>
    </row>
    <row r="1699" spans="1:18" x14ac:dyDescent="0.25">
      <c r="A1699" t="s">
        <v>341</v>
      </c>
      <c r="B1699" s="4">
        <v>44694</v>
      </c>
      <c r="C1699" s="9">
        <f t="shared" si="110"/>
        <v>5</v>
      </c>
      <c r="D1699">
        <f t="shared" si="107"/>
        <v>2022</v>
      </c>
      <c r="E1699">
        <f t="shared" si="108"/>
        <v>1</v>
      </c>
      <c r="F1699" t="s">
        <v>613</v>
      </c>
      <c r="G1699" t="s">
        <v>154</v>
      </c>
      <c r="H1699" t="s">
        <v>244</v>
      </c>
      <c r="J1699">
        <v>30</v>
      </c>
      <c r="K1699">
        <f t="shared" si="109"/>
        <v>30</v>
      </c>
      <c r="R1699" t="s">
        <v>1348</v>
      </c>
    </row>
    <row r="1700" spans="1:18" x14ac:dyDescent="0.25">
      <c r="A1700" t="s">
        <v>341</v>
      </c>
      <c r="B1700" s="4">
        <v>44695</v>
      </c>
      <c r="C1700" s="9">
        <f t="shared" si="110"/>
        <v>5</v>
      </c>
      <c r="D1700">
        <f t="shared" si="107"/>
        <v>2022</v>
      </c>
      <c r="E1700">
        <f t="shared" si="108"/>
        <v>1</v>
      </c>
      <c r="F1700" t="s">
        <v>948</v>
      </c>
      <c r="G1700" t="s">
        <v>101</v>
      </c>
      <c r="H1700" t="s">
        <v>244</v>
      </c>
      <c r="I1700">
        <v>2</v>
      </c>
      <c r="J1700">
        <v>4</v>
      </c>
      <c r="K1700">
        <f t="shared" si="109"/>
        <v>124</v>
      </c>
      <c r="R1700" t="s">
        <v>1348</v>
      </c>
    </row>
    <row r="1701" spans="1:18" x14ac:dyDescent="0.25">
      <c r="A1701" t="s">
        <v>341</v>
      </c>
      <c r="B1701" s="4">
        <v>44696</v>
      </c>
      <c r="C1701" s="9">
        <f t="shared" si="110"/>
        <v>5</v>
      </c>
      <c r="D1701">
        <f t="shared" si="107"/>
        <v>2022</v>
      </c>
      <c r="E1701">
        <f t="shared" si="108"/>
        <v>1</v>
      </c>
      <c r="F1701" t="s">
        <v>948</v>
      </c>
      <c r="G1701" t="s">
        <v>101</v>
      </c>
      <c r="H1701" t="s">
        <v>244</v>
      </c>
      <c r="I1701">
        <v>2</v>
      </c>
      <c r="J1701">
        <v>17</v>
      </c>
      <c r="K1701">
        <f t="shared" si="109"/>
        <v>137</v>
      </c>
      <c r="R1701" t="s">
        <v>1348</v>
      </c>
    </row>
    <row r="1702" spans="1:18" x14ac:dyDescent="0.25">
      <c r="A1702" t="s">
        <v>341</v>
      </c>
      <c r="B1702" s="4">
        <v>44698</v>
      </c>
      <c r="C1702" s="9">
        <f t="shared" si="110"/>
        <v>5</v>
      </c>
      <c r="D1702">
        <f t="shared" ref="D1702:D1765" si="112">YEAR(B1702)</f>
        <v>2022</v>
      </c>
      <c r="E1702">
        <f t="shared" ref="E1702:E1765" si="113">IF(OR(A1702 = "GS",A1702 = "BP"),IF( OR(A1701="GS",A1701="BP"),IF(B1701=B1702,0,1),1),0)</f>
        <v>1</v>
      </c>
      <c r="F1702" t="s">
        <v>948</v>
      </c>
      <c r="G1702" t="s">
        <v>358</v>
      </c>
      <c r="H1702" t="s">
        <v>244</v>
      </c>
      <c r="I1702">
        <v>2</v>
      </c>
      <c r="J1702">
        <v>15</v>
      </c>
      <c r="K1702">
        <f t="shared" ref="K1702:K1765" si="114">I1702*60+J1702</f>
        <v>135</v>
      </c>
      <c r="R1702" t="s">
        <v>1348</v>
      </c>
    </row>
    <row r="1703" spans="1:18" x14ac:dyDescent="0.25">
      <c r="A1703" t="s">
        <v>341</v>
      </c>
      <c r="B1703" s="4">
        <v>44700</v>
      </c>
      <c r="C1703" s="9">
        <f t="shared" si="110"/>
        <v>5</v>
      </c>
      <c r="D1703">
        <f t="shared" si="112"/>
        <v>2022</v>
      </c>
      <c r="E1703">
        <f t="shared" si="113"/>
        <v>1</v>
      </c>
      <c r="F1703" t="s">
        <v>948</v>
      </c>
      <c r="G1703" t="s">
        <v>358</v>
      </c>
      <c r="H1703" t="s">
        <v>244</v>
      </c>
      <c r="I1703">
        <v>2</v>
      </c>
      <c r="J1703">
        <v>33</v>
      </c>
      <c r="K1703">
        <f t="shared" si="114"/>
        <v>153</v>
      </c>
      <c r="R1703" t="s">
        <v>1348</v>
      </c>
    </row>
    <row r="1704" spans="1:18" x14ac:dyDescent="0.25">
      <c r="A1704" t="s">
        <v>341</v>
      </c>
      <c r="B1704" s="4">
        <v>44701</v>
      </c>
      <c r="C1704" s="9">
        <f t="shared" si="110"/>
        <v>5</v>
      </c>
      <c r="D1704">
        <f t="shared" si="112"/>
        <v>2022</v>
      </c>
      <c r="E1704">
        <f t="shared" si="113"/>
        <v>1</v>
      </c>
      <c r="F1704" t="s">
        <v>613</v>
      </c>
      <c r="G1704" t="s">
        <v>1209</v>
      </c>
      <c r="H1704" t="s">
        <v>244</v>
      </c>
      <c r="J1704">
        <v>15</v>
      </c>
      <c r="K1704">
        <f t="shared" si="114"/>
        <v>15</v>
      </c>
      <c r="R1704" t="s">
        <v>1348</v>
      </c>
    </row>
    <row r="1705" spans="1:18" x14ac:dyDescent="0.25">
      <c r="A1705" t="s">
        <v>341</v>
      </c>
      <c r="B1705" s="4">
        <v>44708</v>
      </c>
      <c r="C1705" s="9">
        <f t="shared" si="110"/>
        <v>5</v>
      </c>
      <c r="D1705">
        <f t="shared" si="112"/>
        <v>2022</v>
      </c>
      <c r="E1705">
        <f t="shared" si="113"/>
        <v>1</v>
      </c>
      <c r="F1705" t="s">
        <v>948</v>
      </c>
      <c r="G1705" t="s">
        <v>625</v>
      </c>
      <c r="H1705" t="s">
        <v>628</v>
      </c>
      <c r="I1705">
        <v>1</v>
      </c>
      <c r="J1705">
        <v>10</v>
      </c>
      <c r="K1705">
        <f t="shared" si="114"/>
        <v>70</v>
      </c>
      <c r="L1705" t="s">
        <v>509</v>
      </c>
      <c r="R1705" t="s">
        <v>1355</v>
      </c>
    </row>
    <row r="1706" spans="1:18" x14ac:dyDescent="0.25">
      <c r="A1706" t="s">
        <v>341</v>
      </c>
      <c r="B1706" s="4">
        <v>44709</v>
      </c>
      <c r="C1706" s="9">
        <f t="shared" si="110"/>
        <v>5</v>
      </c>
      <c r="D1706">
        <f t="shared" si="112"/>
        <v>2022</v>
      </c>
      <c r="E1706">
        <f t="shared" si="113"/>
        <v>1</v>
      </c>
      <c r="F1706" t="s">
        <v>948</v>
      </c>
      <c r="G1706" t="s">
        <v>625</v>
      </c>
      <c r="H1706" t="s">
        <v>513</v>
      </c>
      <c r="I1706">
        <v>2</v>
      </c>
      <c r="J1706">
        <v>52</v>
      </c>
      <c r="K1706">
        <f t="shared" si="114"/>
        <v>172</v>
      </c>
      <c r="L1706" t="s">
        <v>509</v>
      </c>
      <c r="R1706" t="s">
        <v>1355</v>
      </c>
    </row>
    <row r="1707" spans="1:18" x14ac:dyDescent="0.25">
      <c r="A1707" t="s">
        <v>341</v>
      </c>
      <c r="B1707" s="4">
        <v>44710</v>
      </c>
      <c r="C1707" s="9">
        <f t="shared" si="110"/>
        <v>5</v>
      </c>
      <c r="D1707">
        <f t="shared" si="112"/>
        <v>2022</v>
      </c>
      <c r="E1707">
        <f t="shared" si="113"/>
        <v>1</v>
      </c>
      <c r="F1707" t="s">
        <v>948</v>
      </c>
      <c r="G1707" t="s">
        <v>625</v>
      </c>
      <c r="H1707" t="s">
        <v>1005</v>
      </c>
      <c r="I1707">
        <v>1</v>
      </c>
      <c r="J1707">
        <v>46</v>
      </c>
      <c r="K1707">
        <f t="shared" si="114"/>
        <v>106</v>
      </c>
      <c r="L1707" t="s">
        <v>509</v>
      </c>
      <c r="R1707" t="s">
        <v>1355</v>
      </c>
    </row>
    <row r="1708" spans="1:18" x14ac:dyDescent="0.25">
      <c r="A1708" t="s">
        <v>341</v>
      </c>
      <c r="B1708" s="4">
        <v>44723</v>
      </c>
      <c r="C1708" s="9">
        <f t="shared" si="110"/>
        <v>6</v>
      </c>
      <c r="D1708">
        <f t="shared" si="112"/>
        <v>2022</v>
      </c>
      <c r="E1708">
        <f t="shared" si="113"/>
        <v>1</v>
      </c>
      <c r="F1708" t="s">
        <v>948</v>
      </c>
      <c r="G1708" t="s">
        <v>101</v>
      </c>
      <c r="H1708" t="s">
        <v>153</v>
      </c>
      <c r="I1708">
        <v>1</v>
      </c>
      <c r="J1708">
        <v>4</v>
      </c>
      <c r="K1708">
        <f t="shared" si="114"/>
        <v>64</v>
      </c>
      <c r="M1708" t="s">
        <v>1006</v>
      </c>
      <c r="R1708" t="s">
        <v>1348</v>
      </c>
    </row>
    <row r="1709" spans="1:18" x14ac:dyDescent="0.25">
      <c r="A1709" t="s">
        <v>341</v>
      </c>
      <c r="B1709" s="4">
        <v>44724</v>
      </c>
      <c r="C1709" s="9">
        <f t="shared" si="110"/>
        <v>6</v>
      </c>
      <c r="D1709">
        <f t="shared" si="112"/>
        <v>2022</v>
      </c>
      <c r="E1709">
        <f t="shared" si="113"/>
        <v>1</v>
      </c>
      <c r="F1709" t="s">
        <v>948</v>
      </c>
      <c r="G1709" t="s">
        <v>101</v>
      </c>
      <c r="H1709" t="s">
        <v>244</v>
      </c>
      <c r="I1709">
        <v>1</v>
      </c>
      <c r="J1709">
        <v>34</v>
      </c>
      <c r="K1709">
        <f t="shared" si="114"/>
        <v>94</v>
      </c>
      <c r="R1709" t="s">
        <v>1348</v>
      </c>
    </row>
    <row r="1710" spans="1:18" x14ac:dyDescent="0.25">
      <c r="A1710" t="s">
        <v>341</v>
      </c>
      <c r="B1710" s="4">
        <v>44726</v>
      </c>
      <c r="C1710" s="9">
        <f t="shared" si="110"/>
        <v>6</v>
      </c>
      <c r="D1710">
        <f t="shared" si="112"/>
        <v>2022</v>
      </c>
      <c r="E1710">
        <f t="shared" si="113"/>
        <v>1</v>
      </c>
      <c r="F1710" t="s">
        <v>948</v>
      </c>
      <c r="G1710" t="s">
        <v>101</v>
      </c>
      <c r="H1710" t="s">
        <v>153</v>
      </c>
      <c r="I1710">
        <v>1</v>
      </c>
      <c r="J1710">
        <v>51</v>
      </c>
      <c r="K1710">
        <f t="shared" si="114"/>
        <v>111</v>
      </c>
      <c r="R1710" t="s">
        <v>1348</v>
      </c>
    </row>
    <row r="1711" spans="1:18" x14ac:dyDescent="0.25">
      <c r="A1711" t="s">
        <v>341</v>
      </c>
      <c r="B1711" s="4">
        <v>44730</v>
      </c>
      <c r="C1711" s="9">
        <f t="shared" si="110"/>
        <v>6</v>
      </c>
      <c r="D1711">
        <f t="shared" si="112"/>
        <v>2022</v>
      </c>
      <c r="E1711">
        <f t="shared" si="113"/>
        <v>1</v>
      </c>
      <c r="F1711" t="s">
        <v>948</v>
      </c>
      <c r="G1711" t="s">
        <v>101</v>
      </c>
      <c r="H1711" t="s">
        <v>244</v>
      </c>
      <c r="I1711">
        <v>2</v>
      </c>
      <c r="J1711">
        <v>13</v>
      </c>
      <c r="K1711">
        <f t="shared" si="114"/>
        <v>133</v>
      </c>
      <c r="R1711" t="s">
        <v>1348</v>
      </c>
    </row>
    <row r="1712" spans="1:18" x14ac:dyDescent="0.25">
      <c r="A1712" t="s">
        <v>341</v>
      </c>
      <c r="B1712" s="4">
        <v>44735</v>
      </c>
      <c r="C1712" s="9">
        <f t="shared" si="110"/>
        <v>6</v>
      </c>
      <c r="D1712">
        <f t="shared" si="112"/>
        <v>2022</v>
      </c>
      <c r="E1712">
        <f t="shared" si="113"/>
        <v>1</v>
      </c>
      <c r="F1712" t="s">
        <v>948</v>
      </c>
      <c r="G1712" t="s">
        <v>101</v>
      </c>
      <c r="H1712" t="s">
        <v>244</v>
      </c>
      <c r="J1712">
        <v>35</v>
      </c>
      <c r="K1712">
        <f t="shared" si="114"/>
        <v>35</v>
      </c>
      <c r="R1712" t="s">
        <v>1348</v>
      </c>
    </row>
    <row r="1713" spans="1:18" x14ac:dyDescent="0.25">
      <c r="A1713" t="s">
        <v>341</v>
      </c>
      <c r="B1713" s="4">
        <v>44737</v>
      </c>
      <c r="C1713" s="9">
        <f t="shared" si="110"/>
        <v>6</v>
      </c>
      <c r="D1713">
        <f t="shared" si="112"/>
        <v>2022</v>
      </c>
      <c r="E1713">
        <f t="shared" si="113"/>
        <v>1</v>
      </c>
      <c r="F1713" t="s">
        <v>948</v>
      </c>
      <c r="G1713" t="s">
        <v>101</v>
      </c>
      <c r="H1713" t="s">
        <v>153</v>
      </c>
      <c r="I1713">
        <v>1</v>
      </c>
      <c r="J1713">
        <v>40</v>
      </c>
      <c r="K1713">
        <f t="shared" si="114"/>
        <v>100</v>
      </c>
      <c r="R1713" t="s">
        <v>1348</v>
      </c>
    </row>
    <row r="1714" spans="1:18" x14ac:dyDescent="0.25">
      <c r="A1714" t="s">
        <v>341</v>
      </c>
      <c r="B1714" s="4">
        <v>44741</v>
      </c>
      <c r="C1714" s="9">
        <f t="shared" si="110"/>
        <v>6</v>
      </c>
      <c r="D1714">
        <f t="shared" si="112"/>
        <v>2022</v>
      </c>
      <c r="E1714">
        <f t="shared" si="113"/>
        <v>1</v>
      </c>
      <c r="F1714" t="s">
        <v>948</v>
      </c>
      <c r="G1714" t="s">
        <v>406</v>
      </c>
      <c r="H1714" t="s">
        <v>244</v>
      </c>
      <c r="I1714">
        <v>2</v>
      </c>
      <c r="J1714">
        <v>6</v>
      </c>
      <c r="K1714">
        <f t="shared" si="114"/>
        <v>126</v>
      </c>
      <c r="R1714" t="s">
        <v>1348</v>
      </c>
    </row>
    <row r="1715" spans="1:18" x14ac:dyDescent="0.25">
      <c r="A1715" t="s">
        <v>341</v>
      </c>
      <c r="B1715" s="4">
        <v>44742</v>
      </c>
      <c r="C1715" s="9">
        <f t="shared" si="110"/>
        <v>6</v>
      </c>
      <c r="D1715">
        <f t="shared" si="112"/>
        <v>2022</v>
      </c>
      <c r="E1715">
        <f t="shared" si="113"/>
        <v>1</v>
      </c>
      <c r="F1715" t="s">
        <v>948</v>
      </c>
      <c r="G1715" t="s">
        <v>101</v>
      </c>
      <c r="H1715" t="s">
        <v>244</v>
      </c>
      <c r="J1715">
        <v>15</v>
      </c>
      <c r="K1715">
        <f t="shared" si="114"/>
        <v>15</v>
      </c>
      <c r="R1715" t="s">
        <v>1348</v>
      </c>
    </row>
    <row r="1716" spans="1:18" x14ac:dyDescent="0.25">
      <c r="A1716" t="s">
        <v>341</v>
      </c>
      <c r="B1716" s="4">
        <v>44744</v>
      </c>
      <c r="C1716" s="9">
        <f t="shared" si="110"/>
        <v>7</v>
      </c>
      <c r="D1716">
        <f t="shared" si="112"/>
        <v>2022</v>
      </c>
      <c r="E1716">
        <f t="shared" si="113"/>
        <v>1</v>
      </c>
      <c r="F1716" t="s">
        <v>948</v>
      </c>
      <c r="G1716" t="s">
        <v>406</v>
      </c>
      <c r="H1716" t="s">
        <v>153</v>
      </c>
      <c r="J1716">
        <v>59</v>
      </c>
      <c r="K1716">
        <f t="shared" si="114"/>
        <v>59</v>
      </c>
      <c r="R1716" t="s">
        <v>1348</v>
      </c>
    </row>
    <row r="1717" spans="1:18" x14ac:dyDescent="0.25">
      <c r="A1717" t="s">
        <v>341</v>
      </c>
      <c r="B1717" s="4">
        <v>44745</v>
      </c>
      <c r="C1717" s="9">
        <f t="shared" si="110"/>
        <v>7</v>
      </c>
      <c r="D1717">
        <f t="shared" si="112"/>
        <v>2022</v>
      </c>
      <c r="E1717">
        <f t="shared" si="113"/>
        <v>1</v>
      </c>
      <c r="F1717" t="s">
        <v>948</v>
      </c>
      <c r="G1717" t="s">
        <v>101</v>
      </c>
      <c r="H1717" t="s">
        <v>244</v>
      </c>
      <c r="J1717">
        <v>10</v>
      </c>
      <c r="K1717">
        <f t="shared" si="114"/>
        <v>10</v>
      </c>
      <c r="R1717" t="s">
        <v>1348</v>
      </c>
    </row>
    <row r="1718" spans="1:18" x14ac:dyDescent="0.25">
      <c r="A1718" t="s">
        <v>341</v>
      </c>
      <c r="B1718" s="4">
        <v>44748</v>
      </c>
      <c r="C1718" s="9">
        <f t="shared" si="110"/>
        <v>7</v>
      </c>
      <c r="D1718">
        <f t="shared" si="112"/>
        <v>2022</v>
      </c>
      <c r="E1718">
        <f t="shared" si="113"/>
        <v>1</v>
      </c>
      <c r="F1718" t="s">
        <v>948</v>
      </c>
      <c r="G1718" t="s">
        <v>101</v>
      </c>
      <c r="H1718" t="s">
        <v>244</v>
      </c>
      <c r="I1718">
        <v>2</v>
      </c>
      <c r="J1718">
        <v>0</v>
      </c>
      <c r="K1718">
        <f t="shared" si="114"/>
        <v>120</v>
      </c>
      <c r="R1718" t="s">
        <v>1348</v>
      </c>
    </row>
    <row r="1719" spans="1:18" x14ac:dyDescent="0.25">
      <c r="A1719" t="s">
        <v>341</v>
      </c>
      <c r="B1719" s="4">
        <v>44753</v>
      </c>
      <c r="C1719" s="9">
        <f t="shared" si="110"/>
        <v>7</v>
      </c>
      <c r="D1719">
        <f t="shared" si="112"/>
        <v>2022</v>
      </c>
      <c r="E1719">
        <f t="shared" si="113"/>
        <v>1</v>
      </c>
      <c r="F1719" t="s">
        <v>948</v>
      </c>
      <c r="G1719" t="s">
        <v>101</v>
      </c>
      <c r="H1719" t="s">
        <v>244</v>
      </c>
      <c r="I1719">
        <v>1</v>
      </c>
      <c r="J1719">
        <v>53</v>
      </c>
      <c r="K1719">
        <f t="shared" si="114"/>
        <v>113</v>
      </c>
      <c r="R1719" t="s">
        <v>1348</v>
      </c>
    </row>
    <row r="1720" spans="1:18" x14ac:dyDescent="0.25">
      <c r="A1720" t="s">
        <v>341</v>
      </c>
      <c r="B1720" s="4">
        <v>44754</v>
      </c>
      <c r="C1720" s="9">
        <f t="shared" si="110"/>
        <v>7</v>
      </c>
      <c r="D1720">
        <f t="shared" si="112"/>
        <v>2022</v>
      </c>
      <c r="E1720">
        <f t="shared" si="113"/>
        <v>1</v>
      </c>
      <c r="F1720" t="s">
        <v>948</v>
      </c>
      <c r="G1720" t="s">
        <v>101</v>
      </c>
      <c r="H1720" t="s">
        <v>244</v>
      </c>
      <c r="I1720">
        <v>1</v>
      </c>
      <c r="J1720">
        <v>24</v>
      </c>
      <c r="K1720">
        <f t="shared" si="114"/>
        <v>84</v>
      </c>
      <c r="R1720" t="s">
        <v>1348</v>
      </c>
    </row>
    <row r="1721" spans="1:18" x14ac:dyDescent="0.25">
      <c r="A1721" t="s">
        <v>341</v>
      </c>
      <c r="B1721" s="4">
        <v>44755</v>
      </c>
      <c r="C1721" s="9">
        <f t="shared" si="110"/>
        <v>7</v>
      </c>
      <c r="D1721">
        <f t="shared" si="112"/>
        <v>2022</v>
      </c>
      <c r="E1721">
        <f t="shared" si="113"/>
        <v>1</v>
      </c>
      <c r="F1721" t="s">
        <v>948</v>
      </c>
      <c r="G1721" t="s">
        <v>101</v>
      </c>
      <c r="H1721" t="s">
        <v>244</v>
      </c>
      <c r="I1721">
        <v>2</v>
      </c>
      <c r="J1721">
        <v>37</v>
      </c>
      <c r="K1721">
        <f t="shared" si="114"/>
        <v>157</v>
      </c>
      <c r="R1721" t="s">
        <v>1348</v>
      </c>
    </row>
    <row r="1722" spans="1:18" x14ac:dyDescent="0.25">
      <c r="A1722" t="s">
        <v>341</v>
      </c>
      <c r="B1722" s="4">
        <v>44759</v>
      </c>
      <c r="C1722" s="9">
        <f t="shared" si="110"/>
        <v>7</v>
      </c>
      <c r="D1722">
        <f t="shared" si="112"/>
        <v>2022</v>
      </c>
      <c r="E1722">
        <f t="shared" si="113"/>
        <v>1</v>
      </c>
      <c r="F1722" t="s">
        <v>948</v>
      </c>
      <c r="G1722" t="s">
        <v>101</v>
      </c>
      <c r="H1722" t="s">
        <v>244</v>
      </c>
      <c r="I1722">
        <v>2</v>
      </c>
      <c r="J1722">
        <v>3</v>
      </c>
      <c r="K1722">
        <f t="shared" si="114"/>
        <v>123</v>
      </c>
      <c r="R1722" t="s">
        <v>1348</v>
      </c>
    </row>
    <row r="1723" spans="1:18" x14ac:dyDescent="0.25">
      <c r="A1723" t="s">
        <v>341</v>
      </c>
      <c r="B1723" s="4">
        <v>44760</v>
      </c>
      <c r="C1723" s="9">
        <f t="shared" si="110"/>
        <v>7</v>
      </c>
      <c r="D1723">
        <f t="shared" si="112"/>
        <v>2022</v>
      </c>
      <c r="E1723">
        <f t="shared" si="113"/>
        <v>1</v>
      </c>
      <c r="F1723" t="s">
        <v>948</v>
      </c>
      <c r="G1723" t="s">
        <v>101</v>
      </c>
      <c r="H1723" t="s">
        <v>244</v>
      </c>
      <c r="I1723">
        <v>2</v>
      </c>
      <c r="J1723">
        <v>5</v>
      </c>
      <c r="K1723">
        <f t="shared" si="114"/>
        <v>125</v>
      </c>
      <c r="R1723" t="s">
        <v>1348</v>
      </c>
    </row>
    <row r="1724" spans="1:18" x14ac:dyDescent="0.25">
      <c r="A1724" t="s">
        <v>341</v>
      </c>
      <c r="B1724" s="4">
        <v>44761</v>
      </c>
      <c r="C1724" s="9">
        <f t="shared" si="110"/>
        <v>7</v>
      </c>
      <c r="D1724">
        <f t="shared" si="112"/>
        <v>2022</v>
      </c>
      <c r="E1724">
        <f t="shared" si="113"/>
        <v>1</v>
      </c>
      <c r="F1724" t="s">
        <v>948</v>
      </c>
      <c r="G1724" t="s">
        <v>101</v>
      </c>
      <c r="H1724" t="s">
        <v>244</v>
      </c>
      <c r="I1724">
        <v>3</v>
      </c>
      <c r="J1724">
        <v>0</v>
      </c>
      <c r="K1724">
        <f t="shared" si="114"/>
        <v>180</v>
      </c>
      <c r="R1724" t="s">
        <v>1348</v>
      </c>
    </row>
    <row r="1725" spans="1:18" x14ac:dyDescent="0.25">
      <c r="A1725" t="s">
        <v>341</v>
      </c>
      <c r="B1725" s="4">
        <v>44764</v>
      </c>
      <c r="C1725" s="9">
        <f t="shared" si="110"/>
        <v>7</v>
      </c>
      <c r="D1725">
        <f t="shared" si="112"/>
        <v>2022</v>
      </c>
      <c r="E1725">
        <f t="shared" si="113"/>
        <v>1</v>
      </c>
      <c r="F1725" t="s">
        <v>948</v>
      </c>
      <c r="G1725" t="s">
        <v>101</v>
      </c>
      <c r="H1725" t="s">
        <v>244</v>
      </c>
      <c r="I1725">
        <v>1</v>
      </c>
      <c r="J1725">
        <v>27</v>
      </c>
      <c r="K1725">
        <f t="shared" si="114"/>
        <v>87</v>
      </c>
      <c r="R1725" t="s">
        <v>1348</v>
      </c>
    </row>
    <row r="1726" spans="1:18" x14ac:dyDescent="0.25">
      <c r="A1726" t="s">
        <v>341</v>
      </c>
      <c r="B1726" s="4">
        <v>44766</v>
      </c>
      <c r="C1726" s="9">
        <f t="shared" si="110"/>
        <v>7</v>
      </c>
      <c r="D1726">
        <f t="shared" si="112"/>
        <v>2022</v>
      </c>
      <c r="E1726">
        <f t="shared" si="113"/>
        <v>1</v>
      </c>
      <c r="F1726" t="s">
        <v>948</v>
      </c>
      <c r="G1726" t="s">
        <v>101</v>
      </c>
      <c r="H1726" t="s">
        <v>244</v>
      </c>
      <c r="I1726">
        <v>3</v>
      </c>
      <c r="J1726">
        <v>12</v>
      </c>
      <c r="K1726">
        <f t="shared" si="114"/>
        <v>192</v>
      </c>
      <c r="R1726" t="s">
        <v>1348</v>
      </c>
    </row>
    <row r="1727" spans="1:18" x14ac:dyDescent="0.25">
      <c r="A1727" t="s">
        <v>341</v>
      </c>
      <c r="B1727" s="4">
        <v>44767</v>
      </c>
      <c r="C1727" s="9">
        <f t="shared" si="110"/>
        <v>7</v>
      </c>
      <c r="D1727">
        <f t="shared" si="112"/>
        <v>2022</v>
      </c>
      <c r="E1727">
        <f t="shared" si="113"/>
        <v>1</v>
      </c>
      <c r="F1727" t="s">
        <v>948</v>
      </c>
      <c r="G1727" t="s">
        <v>101</v>
      </c>
      <c r="H1727" t="s">
        <v>244</v>
      </c>
      <c r="I1727">
        <v>1</v>
      </c>
      <c r="J1727">
        <v>12</v>
      </c>
      <c r="K1727">
        <f t="shared" si="114"/>
        <v>72</v>
      </c>
      <c r="R1727" t="s">
        <v>1348</v>
      </c>
    </row>
    <row r="1728" spans="1:18" x14ac:dyDescent="0.25">
      <c r="A1728" t="s">
        <v>341</v>
      </c>
      <c r="B1728" s="4">
        <v>44773</v>
      </c>
      <c r="C1728" s="9">
        <f t="shared" si="110"/>
        <v>7</v>
      </c>
      <c r="D1728">
        <f t="shared" si="112"/>
        <v>2022</v>
      </c>
      <c r="E1728">
        <f t="shared" si="113"/>
        <v>1</v>
      </c>
      <c r="F1728" t="s">
        <v>948</v>
      </c>
      <c r="G1728" t="s">
        <v>101</v>
      </c>
      <c r="H1728" t="s">
        <v>244</v>
      </c>
      <c r="I1728">
        <v>1</v>
      </c>
      <c r="J1728">
        <v>46</v>
      </c>
      <c r="K1728">
        <f t="shared" si="114"/>
        <v>106</v>
      </c>
      <c r="R1728" t="s">
        <v>1348</v>
      </c>
    </row>
    <row r="1729" spans="1:18" x14ac:dyDescent="0.25">
      <c r="A1729" t="s">
        <v>341</v>
      </c>
      <c r="B1729" s="4">
        <v>44774</v>
      </c>
      <c r="C1729" s="9">
        <f t="shared" si="110"/>
        <v>8</v>
      </c>
      <c r="D1729">
        <f t="shared" si="112"/>
        <v>2022</v>
      </c>
      <c r="E1729">
        <f t="shared" si="113"/>
        <v>1</v>
      </c>
      <c r="F1729" t="s">
        <v>948</v>
      </c>
      <c r="G1729" t="s">
        <v>406</v>
      </c>
      <c r="H1729" t="s">
        <v>244</v>
      </c>
      <c r="I1729">
        <v>1</v>
      </c>
      <c r="J1729">
        <v>37</v>
      </c>
      <c r="K1729">
        <f t="shared" si="114"/>
        <v>97</v>
      </c>
      <c r="R1729" t="s">
        <v>1348</v>
      </c>
    </row>
    <row r="1730" spans="1:18" x14ac:dyDescent="0.25">
      <c r="A1730" t="s">
        <v>341</v>
      </c>
      <c r="B1730" s="4">
        <v>44776</v>
      </c>
      <c r="C1730" s="9">
        <f t="shared" ref="C1730:C1793" si="115">MONTH(B1730)</f>
        <v>8</v>
      </c>
      <c r="D1730">
        <f t="shared" si="112"/>
        <v>2022</v>
      </c>
      <c r="E1730">
        <f t="shared" si="113"/>
        <v>1</v>
      </c>
      <c r="F1730" t="s">
        <v>948</v>
      </c>
      <c r="G1730" t="s">
        <v>101</v>
      </c>
      <c r="H1730" t="s">
        <v>244</v>
      </c>
      <c r="I1730">
        <v>2</v>
      </c>
      <c r="J1730">
        <v>29</v>
      </c>
      <c r="K1730">
        <f t="shared" si="114"/>
        <v>149</v>
      </c>
      <c r="R1730" t="s">
        <v>1348</v>
      </c>
    </row>
    <row r="1731" spans="1:18" x14ac:dyDescent="0.25">
      <c r="A1731" t="s">
        <v>341</v>
      </c>
      <c r="B1731" s="4">
        <v>44777</v>
      </c>
      <c r="C1731" s="9">
        <f t="shared" si="115"/>
        <v>8</v>
      </c>
      <c r="D1731">
        <f t="shared" si="112"/>
        <v>2022</v>
      </c>
      <c r="E1731">
        <f t="shared" si="113"/>
        <v>1</v>
      </c>
      <c r="F1731" t="s">
        <v>948</v>
      </c>
      <c r="G1731" t="s">
        <v>101</v>
      </c>
      <c r="H1731" t="s">
        <v>244</v>
      </c>
      <c r="I1731">
        <v>1</v>
      </c>
      <c r="J1731">
        <v>38</v>
      </c>
      <c r="K1731">
        <f t="shared" si="114"/>
        <v>98</v>
      </c>
      <c r="R1731" t="s">
        <v>1348</v>
      </c>
    </row>
    <row r="1732" spans="1:18" x14ac:dyDescent="0.25">
      <c r="A1732" t="s">
        <v>341</v>
      </c>
      <c r="B1732" s="4">
        <v>44781</v>
      </c>
      <c r="C1732" s="9">
        <f t="shared" si="115"/>
        <v>8</v>
      </c>
      <c r="D1732">
        <f t="shared" si="112"/>
        <v>2022</v>
      </c>
      <c r="E1732">
        <f t="shared" si="113"/>
        <v>1</v>
      </c>
      <c r="F1732" t="s">
        <v>948</v>
      </c>
      <c r="G1732" t="s">
        <v>101</v>
      </c>
      <c r="H1732" t="s">
        <v>244</v>
      </c>
      <c r="I1732">
        <v>2</v>
      </c>
      <c r="J1732">
        <v>6</v>
      </c>
      <c r="K1732">
        <f t="shared" si="114"/>
        <v>126</v>
      </c>
      <c r="R1732" t="s">
        <v>1348</v>
      </c>
    </row>
    <row r="1733" spans="1:18" x14ac:dyDescent="0.25">
      <c r="A1733" t="s">
        <v>341</v>
      </c>
      <c r="B1733" s="4">
        <v>44782</v>
      </c>
      <c r="C1733" s="9">
        <f t="shared" si="115"/>
        <v>8</v>
      </c>
      <c r="D1733">
        <f t="shared" si="112"/>
        <v>2022</v>
      </c>
      <c r="E1733">
        <f t="shared" si="113"/>
        <v>1</v>
      </c>
      <c r="F1733" t="s">
        <v>948</v>
      </c>
      <c r="G1733" t="s">
        <v>406</v>
      </c>
      <c r="H1733" t="s">
        <v>153</v>
      </c>
      <c r="I1733">
        <v>1</v>
      </c>
      <c r="J1733">
        <v>48</v>
      </c>
      <c r="K1733">
        <f t="shared" si="114"/>
        <v>108</v>
      </c>
      <c r="R1733" t="s">
        <v>1348</v>
      </c>
    </row>
    <row r="1734" spans="1:18" x14ac:dyDescent="0.25">
      <c r="A1734" t="s">
        <v>341</v>
      </c>
      <c r="B1734" s="4">
        <v>44783</v>
      </c>
      <c r="C1734" s="9">
        <f t="shared" si="115"/>
        <v>8</v>
      </c>
      <c r="D1734">
        <f t="shared" si="112"/>
        <v>2022</v>
      </c>
      <c r="E1734">
        <f t="shared" si="113"/>
        <v>1</v>
      </c>
      <c r="F1734" t="s">
        <v>948</v>
      </c>
      <c r="G1734" t="s">
        <v>101</v>
      </c>
      <c r="H1734" t="s">
        <v>244</v>
      </c>
      <c r="I1734">
        <v>1</v>
      </c>
      <c r="J1734">
        <v>43</v>
      </c>
      <c r="K1734">
        <f t="shared" si="114"/>
        <v>103</v>
      </c>
      <c r="R1734" t="s">
        <v>1348</v>
      </c>
    </row>
    <row r="1735" spans="1:18" x14ac:dyDescent="0.25">
      <c r="A1735" t="s">
        <v>341</v>
      </c>
      <c r="B1735" s="4">
        <v>44784</v>
      </c>
      <c r="C1735" s="9">
        <f t="shared" si="115"/>
        <v>8</v>
      </c>
      <c r="D1735">
        <f t="shared" si="112"/>
        <v>2022</v>
      </c>
      <c r="E1735">
        <f t="shared" si="113"/>
        <v>1</v>
      </c>
      <c r="F1735" t="s">
        <v>948</v>
      </c>
      <c r="G1735" t="s">
        <v>101</v>
      </c>
      <c r="H1735" t="s">
        <v>575</v>
      </c>
      <c r="I1735">
        <v>1</v>
      </c>
      <c r="J1735">
        <v>26</v>
      </c>
      <c r="K1735">
        <f t="shared" si="114"/>
        <v>86</v>
      </c>
      <c r="R1735" t="s">
        <v>1348</v>
      </c>
    </row>
    <row r="1736" spans="1:18" x14ac:dyDescent="0.25">
      <c r="A1736" t="s">
        <v>341</v>
      </c>
      <c r="B1736" s="4">
        <v>44785</v>
      </c>
      <c r="C1736" s="9">
        <f t="shared" si="115"/>
        <v>8</v>
      </c>
      <c r="D1736">
        <f t="shared" si="112"/>
        <v>2022</v>
      </c>
      <c r="E1736">
        <f t="shared" si="113"/>
        <v>1</v>
      </c>
      <c r="F1736" t="s">
        <v>948</v>
      </c>
      <c r="G1736" t="s">
        <v>101</v>
      </c>
      <c r="H1736" t="s">
        <v>575</v>
      </c>
      <c r="I1736">
        <v>1</v>
      </c>
      <c r="J1736">
        <v>13</v>
      </c>
      <c r="K1736">
        <f t="shared" si="114"/>
        <v>73</v>
      </c>
      <c r="M1736" t="s">
        <v>1007</v>
      </c>
      <c r="R1736" t="s">
        <v>1348</v>
      </c>
    </row>
    <row r="1737" spans="1:18" x14ac:dyDescent="0.25">
      <c r="A1737" t="s">
        <v>341</v>
      </c>
      <c r="B1737" s="4">
        <v>44786</v>
      </c>
      <c r="C1737" s="9">
        <f t="shared" si="115"/>
        <v>8</v>
      </c>
      <c r="D1737">
        <f t="shared" si="112"/>
        <v>2022</v>
      </c>
      <c r="E1737">
        <f t="shared" si="113"/>
        <v>1</v>
      </c>
      <c r="F1737" t="s">
        <v>948</v>
      </c>
      <c r="G1737" t="s">
        <v>101</v>
      </c>
      <c r="H1737" t="s">
        <v>244</v>
      </c>
      <c r="I1737">
        <v>1</v>
      </c>
      <c r="J1737">
        <v>47</v>
      </c>
      <c r="K1737">
        <f t="shared" si="114"/>
        <v>107</v>
      </c>
      <c r="R1737" t="s">
        <v>1348</v>
      </c>
    </row>
    <row r="1738" spans="1:18" x14ac:dyDescent="0.25">
      <c r="A1738" t="s">
        <v>341</v>
      </c>
      <c r="B1738" s="4">
        <v>44789</v>
      </c>
      <c r="C1738" s="9">
        <f t="shared" si="115"/>
        <v>8</v>
      </c>
      <c r="D1738">
        <f t="shared" si="112"/>
        <v>2022</v>
      </c>
      <c r="E1738">
        <f t="shared" si="113"/>
        <v>1</v>
      </c>
      <c r="F1738" t="s">
        <v>948</v>
      </c>
      <c r="G1738" t="s">
        <v>101</v>
      </c>
      <c r="H1738" t="s">
        <v>244</v>
      </c>
      <c r="I1738">
        <v>1</v>
      </c>
      <c r="J1738">
        <v>34</v>
      </c>
      <c r="K1738">
        <f t="shared" si="114"/>
        <v>94</v>
      </c>
      <c r="R1738" t="s">
        <v>1348</v>
      </c>
    </row>
    <row r="1739" spans="1:18" x14ac:dyDescent="0.25">
      <c r="A1739" t="s">
        <v>341</v>
      </c>
      <c r="B1739" s="4">
        <v>44795</v>
      </c>
      <c r="C1739" s="9">
        <f t="shared" si="115"/>
        <v>8</v>
      </c>
      <c r="D1739">
        <f t="shared" si="112"/>
        <v>2022</v>
      </c>
      <c r="E1739">
        <f t="shared" si="113"/>
        <v>1</v>
      </c>
      <c r="F1739" t="s">
        <v>948</v>
      </c>
      <c r="G1739" t="s">
        <v>101</v>
      </c>
      <c r="H1739" t="s">
        <v>741</v>
      </c>
      <c r="J1739">
        <v>36</v>
      </c>
      <c r="K1739">
        <f t="shared" si="114"/>
        <v>36</v>
      </c>
      <c r="R1739" t="s">
        <v>1348</v>
      </c>
    </row>
    <row r="1740" spans="1:18" x14ac:dyDescent="0.25">
      <c r="A1740" t="s">
        <v>341</v>
      </c>
      <c r="B1740" s="4">
        <v>44797</v>
      </c>
      <c r="C1740" s="9">
        <f t="shared" si="115"/>
        <v>8</v>
      </c>
      <c r="D1740">
        <f t="shared" si="112"/>
        <v>2022</v>
      </c>
      <c r="E1740">
        <f t="shared" si="113"/>
        <v>1</v>
      </c>
      <c r="F1740" t="s">
        <v>948</v>
      </c>
      <c r="G1740" t="s">
        <v>1008</v>
      </c>
      <c r="H1740" t="s">
        <v>360</v>
      </c>
      <c r="J1740">
        <v>53</v>
      </c>
      <c r="K1740">
        <f t="shared" si="114"/>
        <v>53</v>
      </c>
      <c r="M1740" t="s">
        <v>805</v>
      </c>
      <c r="R1740" t="s">
        <v>1348</v>
      </c>
    </row>
    <row r="1741" spans="1:18" x14ac:dyDescent="0.25">
      <c r="A1741" t="s">
        <v>341</v>
      </c>
      <c r="B1741" s="4">
        <v>44798</v>
      </c>
      <c r="C1741" s="9">
        <f t="shared" si="115"/>
        <v>8</v>
      </c>
      <c r="D1741">
        <f t="shared" si="112"/>
        <v>2022</v>
      </c>
      <c r="E1741">
        <f t="shared" si="113"/>
        <v>1</v>
      </c>
      <c r="F1741" t="s">
        <v>948</v>
      </c>
      <c r="G1741" t="s">
        <v>1008</v>
      </c>
      <c r="H1741" t="s">
        <v>360</v>
      </c>
      <c r="I1741">
        <v>1</v>
      </c>
      <c r="J1741">
        <v>8</v>
      </c>
      <c r="K1741">
        <f t="shared" si="114"/>
        <v>68</v>
      </c>
      <c r="M1741" t="s">
        <v>805</v>
      </c>
      <c r="R1741" t="s">
        <v>1348</v>
      </c>
    </row>
    <row r="1742" spans="1:18" x14ac:dyDescent="0.25">
      <c r="A1742" t="s">
        <v>341</v>
      </c>
      <c r="B1742" s="4">
        <v>44801</v>
      </c>
      <c r="C1742" s="9">
        <f t="shared" si="115"/>
        <v>8</v>
      </c>
      <c r="D1742">
        <f t="shared" si="112"/>
        <v>2022</v>
      </c>
      <c r="E1742">
        <f t="shared" si="113"/>
        <v>1</v>
      </c>
      <c r="F1742" t="s">
        <v>948</v>
      </c>
      <c r="G1742" t="s">
        <v>101</v>
      </c>
      <c r="H1742" t="s">
        <v>994</v>
      </c>
      <c r="I1742">
        <v>2</v>
      </c>
      <c r="J1742">
        <v>20</v>
      </c>
      <c r="K1742">
        <f t="shared" si="114"/>
        <v>140</v>
      </c>
      <c r="R1742" t="s">
        <v>1348</v>
      </c>
    </row>
    <row r="1743" spans="1:18" x14ac:dyDescent="0.25">
      <c r="A1743" t="s">
        <v>341</v>
      </c>
      <c r="B1743" s="4">
        <v>44802</v>
      </c>
      <c r="C1743" s="9">
        <f t="shared" si="115"/>
        <v>8</v>
      </c>
      <c r="D1743">
        <f t="shared" si="112"/>
        <v>2022</v>
      </c>
      <c r="E1743">
        <f t="shared" si="113"/>
        <v>1</v>
      </c>
      <c r="F1743" t="s">
        <v>948</v>
      </c>
      <c r="G1743" t="s">
        <v>101</v>
      </c>
      <c r="H1743" t="s">
        <v>244</v>
      </c>
      <c r="I1743">
        <v>1</v>
      </c>
      <c r="J1743">
        <v>52</v>
      </c>
      <c r="K1743">
        <f t="shared" si="114"/>
        <v>112</v>
      </c>
      <c r="R1743" t="s">
        <v>1348</v>
      </c>
    </row>
    <row r="1744" spans="1:18" x14ac:dyDescent="0.25">
      <c r="A1744" t="s">
        <v>341</v>
      </c>
      <c r="B1744" s="4">
        <v>44807</v>
      </c>
      <c r="C1744" s="9">
        <f t="shared" si="115"/>
        <v>9</v>
      </c>
      <c r="D1744">
        <f t="shared" si="112"/>
        <v>2022</v>
      </c>
      <c r="E1744">
        <f t="shared" si="113"/>
        <v>1</v>
      </c>
      <c r="F1744" t="s">
        <v>948</v>
      </c>
      <c r="G1744" t="s">
        <v>791</v>
      </c>
      <c r="H1744" t="s">
        <v>791</v>
      </c>
      <c r="J1744">
        <v>35</v>
      </c>
      <c r="K1744">
        <f t="shared" si="114"/>
        <v>35</v>
      </c>
      <c r="L1744" t="s">
        <v>787</v>
      </c>
      <c r="R1744" t="s">
        <v>1354</v>
      </c>
    </row>
    <row r="1745" spans="1:18" x14ac:dyDescent="0.25">
      <c r="A1745" t="s">
        <v>341</v>
      </c>
      <c r="B1745" s="4">
        <v>44808</v>
      </c>
      <c r="C1745" s="9">
        <f t="shared" si="115"/>
        <v>9</v>
      </c>
      <c r="D1745">
        <f t="shared" si="112"/>
        <v>2022</v>
      </c>
      <c r="E1745">
        <f t="shared" si="113"/>
        <v>1</v>
      </c>
      <c r="F1745" t="s">
        <v>948</v>
      </c>
      <c r="G1745" t="s">
        <v>1009</v>
      </c>
      <c r="H1745" t="s">
        <v>698</v>
      </c>
      <c r="I1745">
        <v>1</v>
      </c>
      <c r="J1745">
        <v>37</v>
      </c>
      <c r="K1745">
        <f t="shared" si="114"/>
        <v>97</v>
      </c>
      <c r="L1745" t="s">
        <v>787</v>
      </c>
      <c r="R1745" t="s">
        <v>1354</v>
      </c>
    </row>
    <row r="1746" spans="1:18" x14ac:dyDescent="0.25">
      <c r="A1746" t="s">
        <v>341</v>
      </c>
      <c r="B1746" s="4">
        <v>44809</v>
      </c>
      <c r="C1746" s="9">
        <f t="shared" si="115"/>
        <v>9</v>
      </c>
      <c r="D1746">
        <f t="shared" si="112"/>
        <v>2022</v>
      </c>
      <c r="E1746">
        <f t="shared" si="113"/>
        <v>1</v>
      </c>
      <c r="F1746" t="s">
        <v>948</v>
      </c>
      <c r="G1746" t="s">
        <v>1010</v>
      </c>
      <c r="H1746" t="s">
        <v>698</v>
      </c>
      <c r="I1746">
        <v>1</v>
      </c>
      <c r="J1746">
        <v>41</v>
      </c>
      <c r="K1746">
        <f t="shared" si="114"/>
        <v>101</v>
      </c>
      <c r="L1746" t="s">
        <v>787</v>
      </c>
      <c r="R1746" t="s">
        <v>1354</v>
      </c>
    </row>
    <row r="1747" spans="1:18" x14ac:dyDescent="0.25">
      <c r="A1747" t="s">
        <v>341</v>
      </c>
      <c r="B1747" s="4">
        <v>44809</v>
      </c>
      <c r="C1747" s="9">
        <f t="shared" si="115"/>
        <v>9</v>
      </c>
      <c r="D1747">
        <f t="shared" si="112"/>
        <v>2022</v>
      </c>
      <c r="E1747">
        <f t="shared" si="113"/>
        <v>0</v>
      </c>
      <c r="F1747" t="s">
        <v>948</v>
      </c>
      <c r="G1747" t="s">
        <v>1010</v>
      </c>
      <c r="H1747" t="s">
        <v>698</v>
      </c>
      <c r="I1747">
        <v>1</v>
      </c>
      <c r="J1747">
        <v>32</v>
      </c>
      <c r="K1747">
        <f t="shared" si="114"/>
        <v>92</v>
      </c>
      <c r="L1747" t="s">
        <v>787</v>
      </c>
      <c r="R1747" t="s">
        <v>1354</v>
      </c>
    </row>
    <row r="1748" spans="1:18" x14ac:dyDescent="0.25">
      <c r="A1748" t="s">
        <v>341</v>
      </c>
      <c r="B1748" s="4">
        <v>44810</v>
      </c>
      <c r="C1748" s="9">
        <f t="shared" si="115"/>
        <v>9</v>
      </c>
      <c r="D1748">
        <f t="shared" si="112"/>
        <v>2022</v>
      </c>
      <c r="E1748">
        <f t="shared" si="113"/>
        <v>1</v>
      </c>
      <c r="F1748" t="s">
        <v>948</v>
      </c>
      <c r="G1748" t="s">
        <v>707</v>
      </c>
      <c r="H1748" t="s">
        <v>1011</v>
      </c>
      <c r="I1748">
        <v>1</v>
      </c>
      <c r="J1748">
        <v>33</v>
      </c>
      <c r="K1748">
        <f t="shared" si="114"/>
        <v>93</v>
      </c>
      <c r="L1748" t="s">
        <v>787</v>
      </c>
      <c r="R1748" t="s">
        <v>1354</v>
      </c>
    </row>
    <row r="1749" spans="1:18" x14ac:dyDescent="0.25">
      <c r="A1749" t="s">
        <v>341</v>
      </c>
      <c r="B1749" s="4">
        <v>44811</v>
      </c>
      <c r="C1749" s="9">
        <f t="shared" si="115"/>
        <v>9</v>
      </c>
      <c r="D1749">
        <f t="shared" si="112"/>
        <v>2022</v>
      </c>
      <c r="E1749">
        <f t="shared" si="113"/>
        <v>1</v>
      </c>
      <c r="F1749" t="s">
        <v>948</v>
      </c>
      <c r="G1749" t="s">
        <v>707</v>
      </c>
      <c r="H1749" t="s">
        <v>1011</v>
      </c>
      <c r="J1749">
        <v>38</v>
      </c>
      <c r="K1749">
        <f t="shared" si="114"/>
        <v>38</v>
      </c>
      <c r="L1749" t="s">
        <v>787</v>
      </c>
      <c r="R1749" t="s">
        <v>1354</v>
      </c>
    </row>
    <row r="1750" spans="1:18" x14ac:dyDescent="0.25">
      <c r="A1750" t="s">
        <v>341</v>
      </c>
      <c r="B1750" s="4">
        <v>44812</v>
      </c>
      <c r="C1750" s="9">
        <f t="shared" si="115"/>
        <v>9</v>
      </c>
      <c r="D1750">
        <f t="shared" si="112"/>
        <v>2022</v>
      </c>
      <c r="E1750">
        <f t="shared" si="113"/>
        <v>1</v>
      </c>
      <c r="F1750" t="s">
        <v>948</v>
      </c>
      <c r="G1750" t="s">
        <v>789</v>
      </c>
      <c r="H1750" t="s">
        <v>790</v>
      </c>
      <c r="J1750">
        <v>49</v>
      </c>
      <c r="K1750">
        <f t="shared" si="114"/>
        <v>49</v>
      </c>
      <c r="L1750" t="s">
        <v>787</v>
      </c>
      <c r="M1750" t="s">
        <v>1013</v>
      </c>
      <c r="R1750" t="s">
        <v>1354</v>
      </c>
    </row>
    <row r="1751" spans="1:18" x14ac:dyDescent="0.25">
      <c r="A1751" t="s">
        <v>341</v>
      </c>
      <c r="B1751" s="4">
        <v>44813</v>
      </c>
      <c r="C1751" s="9">
        <f t="shared" si="115"/>
        <v>9</v>
      </c>
      <c r="D1751">
        <f t="shared" si="112"/>
        <v>2022</v>
      </c>
      <c r="E1751">
        <f t="shared" si="113"/>
        <v>1</v>
      </c>
      <c r="F1751" t="s">
        <v>948</v>
      </c>
      <c r="G1751" t="s">
        <v>798</v>
      </c>
      <c r="H1751" t="s">
        <v>1012</v>
      </c>
      <c r="I1751">
        <v>2</v>
      </c>
      <c r="J1751">
        <v>17</v>
      </c>
      <c r="K1751">
        <f t="shared" si="114"/>
        <v>137</v>
      </c>
      <c r="L1751" t="s">
        <v>787</v>
      </c>
      <c r="R1751" t="s">
        <v>1354</v>
      </c>
    </row>
    <row r="1752" spans="1:18" x14ac:dyDescent="0.25">
      <c r="A1752" t="s">
        <v>341</v>
      </c>
      <c r="B1752" s="4">
        <v>44824</v>
      </c>
      <c r="C1752" s="9">
        <f t="shared" si="115"/>
        <v>9</v>
      </c>
      <c r="D1752">
        <f t="shared" si="112"/>
        <v>2022</v>
      </c>
      <c r="E1752">
        <f t="shared" si="113"/>
        <v>1</v>
      </c>
      <c r="F1752" t="s">
        <v>948</v>
      </c>
      <c r="G1752" t="s">
        <v>101</v>
      </c>
      <c r="H1752" t="s">
        <v>153</v>
      </c>
      <c r="I1752">
        <v>1</v>
      </c>
      <c r="J1752">
        <v>38</v>
      </c>
      <c r="K1752">
        <f t="shared" si="114"/>
        <v>98</v>
      </c>
      <c r="R1752" t="s">
        <v>1348</v>
      </c>
    </row>
    <row r="1753" spans="1:18" x14ac:dyDescent="0.25">
      <c r="A1753" t="s">
        <v>341</v>
      </c>
      <c r="B1753" s="4">
        <v>44825</v>
      </c>
      <c r="C1753" s="9">
        <f t="shared" si="115"/>
        <v>9</v>
      </c>
      <c r="D1753">
        <f t="shared" si="112"/>
        <v>2022</v>
      </c>
      <c r="E1753">
        <f t="shared" si="113"/>
        <v>1</v>
      </c>
      <c r="F1753" t="s">
        <v>948</v>
      </c>
      <c r="G1753" t="s">
        <v>101</v>
      </c>
      <c r="H1753" t="s">
        <v>153</v>
      </c>
      <c r="I1753">
        <v>1</v>
      </c>
      <c r="J1753">
        <v>5</v>
      </c>
      <c r="K1753">
        <f t="shared" si="114"/>
        <v>65</v>
      </c>
      <c r="M1753" t="s">
        <v>587</v>
      </c>
      <c r="R1753" t="s">
        <v>1348</v>
      </c>
    </row>
    <row r="1754" spans="1:18" x14ac:dyDescent="0.25">
      <c r="A1754" t="s">
        <v>341</v>
      </c>
      <c r="B1754" s="4">
        <v>44826</v>
      </c>
      <c r="C1754" s="9">
        <f t="shared" si="115"/>
        <v>9</v>
      </c>
      <c r="D1754">
        <f t="shared" si="112"/>
        <v>2022</v>
      </c>
      <c r="E1754">
        <f t="shared" si="113"/>
        <v>1</v>
      </c>
      <c r="F1754" t="s">
        <v>948</v>
      </c>
      <c r="G1754" t="s">
        <v>101</v>
      </c>
      <c r="H1754" t="s">
        <v>153</v>
      </c>
      <c r="I1754">
        <v>1</v>
      </c>
      <c r="J1754">
        <v>18</v>
      </c>
      <c r="K1754">
        <f t="shared" si="114"/>
        <v>78</v>
      </c>
      <c r="M1754" t="s">
        <v>587</v>
      </c>
      <c r="R1754" t="s">
        <v>1348</v>
      </c>
    </row>
    <row r="1755" spans="1:18" x14ac:dyDescent="0.25">
      <c r="A1755" t="s">
        <v>341</v>
      </c>
      <c r="B1755" s="4">
        <v>44827</v>
      </c>
      <c r="C1755" s="9">
        <f t="shared" si="115"/>
        <v>9</v>
      </c>
      <c r="D1755">
        <f t="shared" si="112"/>
        <v>2022</v>
      </c>
      <c r="E1755">
        <f t="shared" si="113"/>
        <v>1</v>
      </c>
      <c r="F1755" t="s">
        <v>948</v>
      </c>
      <c r="G1755" t="s">
        <v>101</v>
      </c>
      <c r="H1755" t="s">
        <v>244</v>
      </c>
      <c r="I1755">
        <v>1</v>
      </c>
      <c r="J1755">
        <v>2</v>
      </c>
      <c r="K1755">
        <f t="shared" si="114"/>
        <v>62</v>
      </c>
      <c r="M1755" t="s">
        <v>587</v>
      </c>
      <c r="R1755" t="s">
        <v>1348</v>
      </c>
    </row>
    <row r="1756" spans="1:18" x14ac:dyDescent="0.25">
      <c r="A1756" t="s">
        <v>341</v>
      </c>
      <c r="B1756" s="4">
        <v>44836</v>
      </c>
      <c r="C1756" s="9">
        <f t="shared" si="115"/>
        <v>10</v>
      </c>
      <c r="D1756">
        <f t="shared" si="112"/>
        <v>2022</v>
      </c>
      <c r="E1756">
        <f t="shared" si="113"/>
        <v>1</v>
      </c>
      <c r="F1756" t="s">
        <v>948</v>
      </c>
      <c r="G1756" t="s">
        <v>564</v>
      </c>
      <c r="H1756" t="s">
        <v>564</v>
      </c>
      <c r="J1756">
        <v>20</v>
      </c>
      <c r="K1756">
        <f t="shared" si="114"/>
        <v>20</v>
      </c>
      <c r="L1756" t="s">
        <v>1203</v>
      </c>
      <c r="R1756" t="s">
        <v>1351</v>
      </c>
    </row>
    <row r="1757" spans="1:18" x14ac:dyDescent="0.25">
      <c r="A1757" t="s">
        <v>341</v>
      </c>
      <c r="B1757" s="4">
        <v>44837</v>
      </c>
      <c r="C1757" s="9">
        <f t="shared" si="115"/>
        <v>10</v>
      </c>
      <c r="D1757">
        <f t="shared" si="112"/>
        <v>2022</v>
      </c>
      <c r="E1757">
        <f t="shared" si="113"/>
        <v>1</v>
      </c>
      <c r="F1757" t="s">
        <v>948</v>
      </c>
      <c r="G1757" t="s">
        <v>563</v>
      </c>
      <c r="H1757" t="s">
        <v>1016</v>
      </c>
      <c r="I1757">
        <v>1</v>
      </c>
      <c r="J1757">
        <v>45</v>
      </c>
      <c r="K1757">
        <f t="shared" si="114"/>
        <v>105</v>
      </c>
      <c r="L1757" t="s">
        <v>1203</v>
      </c>
      <c r="M1757" t="s">
        <v>1017</v>
      </c>
      <c r="R1757" t="s">
        <v>1351</v>
      </c>
    </row>
    <row r="1758" spans="1:18" x14ac:dyDescent="0.25">
      <c r="A1758" t="s">
        <v>341</v>
      </c>
      <c r="B1758" s="4">
        <v>44838</v>
      </c>
      <c r="C1758" s="9">
        <f t="shared" si="115"/>
        <v>10</v>
      </c>
      <c r="D1758">
        <f t="shared" si="112"/>
        <v>2022</v>
      </c>
      <c r="E1758">
        <f t="shared" si="113"/>
        <v>1</v>
      </c>
      <c r="F1758" t="s">
        <v>948</v>
      </c>
      <c r="G1758" t="s">
        <v>566</v>
      </c>
      <c r="H1758" t="s">
        <v>1018</v>
      </c>
      <c r="I1758">
        <v>1</v>
      </c>
      <c r="J1758">
        <v>51</v>
      </c>
      <c r="K1758">
        <f t="shared" si="114"/>
        <v>111</v>
      </c>
      <c r="L1758" t="s">
        <v>1203</v>
      </c>
      <c r="M1758" t="s">
        <v>1017</v>
      </c>
      <c r="R1758" t="s">
        <v>1351</v>
      </c>
    </row>
    <row r="1759" spans="1:18" x14ac:dyDescent="0.25">
      <c r="A1759" t="s">
        <v>341</v>
      </c>
      <c r="B1759" s="4">
        <v>44839</v>
      </c>
      <c r="C1759" s="9">
        <f t="shared" si="115"/>
        <v>10</v>
      </c>
      <c r="D1759">
        <f t="shared" si="112"/>
        <v>2022</v>
      </c>
      <c r="E1759">
        <f t="shared" si="113"/>
        <v>1</v>
      </c>
      <c r="F1759" t="s">
        <v>948</v>
      </c>
      <c r="G1759" t="s">
        <v>563</v>
      </c>
      <c r="H1759" t="s">
        <v>276</v>
      </c>
      <c r="I1759">
        <v>3</v>
      </c>
      <c r="J1759">
        <v>39</v>
      </c>
      <c r="K1759">
        <f t="shared" si="114"/>
        <v>219</v>
      </c>
      <c r="L1759" t="s">
        <v>1203</v>
      </c>
      <c r="R1759" t="s">
        <v>1351</v>
      </c>
    </row>
    <row r="1760" spans="1:18" x14ac:dyDescent="0.25">
      <c r="A1760" t="s">
        <v>341</v>
      </c>
      <c r="B1760" s="4">
        <v>44840</v>
      </c>
      <c r="C1760" s="9">
        <f t="shared" si="115"/>
        <v>10</v>
      </c>
      <c r="D1760">
        <f t="shared" si="112"/>
        <v>2022</v>
      </c>
      <c r="E1760">
        <f t="shared" si="113"/>
        <v>1</v>
      </c>
      <c r="F1760" t="s">
        <v>948</v>
      </c>
      <c r="G1760" t="s">
        <v>1019</v>
      </c>
      <c r="H1760" t="s">
        <v>1020</v>
      </c>
      <c r="I1760">
        <v>1</v>
      </c>
      <c r="J1760">
        <v>32</v>
      </c>
      <c r="K1760">
        <f t="shared" si="114"/>
        <v>92</v>
      </c>
      <c r="L1760" t="s">
        <v>1203</v>
      </c>
      <c r="R1760" t="s">
        <v>1351</v>
      </c>
    </row>
    <row r="1761" spans="1:18" x14ac:dyDescent="0.25">
      <c r="A1761" t="s">
        <v>341</v>
      </c>
      <c r="B1761" s="4">
        <v>44840</v>
      </c>
      <c r="C1761" s="9">
        <f t="shared" si="115"/>
        <v>10</v>
      </c>
      <c r="D1761">
        <f t="shared" si="112"/>
        <v>2022</v>
      </c>
      <c r="E1761">
        <f t="shared" si="113"/>
        <v>0</v>
      </c>
      <c r="F1761" t="s">
        <v>948</v>
      </c>
      <c r="G1761" t="s">
        <v>562</v>
      </c>
      <c r="H1761" t="s">
        <v>276</v>
      </c>
      <c r="I1761">
        <v>1</v>
      </c>
      <c r="J1761">
        <v>4</v>
      </c>
      <c r="K1761">
        <f t="shared" si="114"/>
        <v>64</v>
      </c>
      <c r="L1761" t="s">
        <v>1203</v>
      </c>
      <c r="R1761" t="s">
        <v>1351</v>
      </c>
    </row>
    <row r="1762" spans="1:18" x14ac:dyDescent="0.25">
      <c r="A1762" t="s">
        <v>341</v>
      </c>
      <c r="B1762" s="4">
        <v>44841</v>
      </c>
      <c r="C1762" s="9">
        <f t="shared" si="115"/>
        <v>10</v>
      </c>
      <c r="D1762">
        <f t="shared" si="112"/>
        <v>2022</v>
      </c>
      <c r="E1762">
        <f t="shared" si="113"/>
        <v>1</v>
      </c>
      <c r="F1762" t="s">
        <v>948</v>
      </c>
      <c r="G1762" t="s">
        <v>563</v>
      </c>
      <c r="H1762" t="s">
        <v>1021</v>
      </c>
      <c r="I1762">
        <v>1</v>
      </c>
      <c r="J1762">
        <v>58</v>
      </c>
      <c r="K1762">
        <f t="shared" si="114"/>
        <v>118</v>
      </c>
      <c r="L1762" t="s">
        <v>1203</v>
      </c>
      <c r="R1762" t="s">
        <v>1351</v>
      </c>
    </row>
    <row r="1763" spans="1:18" x14ac:dyDescent="0.25">
      <c r="A1763" t="s">
        <v>341</v>
      </c>
      <c r="B1763" s="4">
        <v>44845</v>
      </c>
      <c r="C1763" s="9">
        <f t="shared" si="115"/>
        <v>10</v>
      </c>
      <c r="D1763">
        <f t="shared" si="112"/>
        <v>2022</v>
      </c>
      <c r="E1763">
        <f t="shared" si="113"/>
        <v>1</v>
      </c>
      <c r="F1763" t="s">
        <v>948</v>
      </c>
      <c r="G1763" t="s">
        <v>101</v>
      </c>
      <c r="H1763" t="s">
        <v>244</v>
      </c>
      <c r="J1763">
        <v>35</v>
      </c>
      <c r="K1763">
        <f t="shared" si="114"/>
        <v>35</v>
      </c>
      <c r="M1763" t="s">
        <v>325</v>
      </c>
      <c r="R1763" t="s">
        <v>1348</v>
      </c>
    </row>
    <row r="1764" spans="1:18" x14ac:dyDescent="0.25">
      <c r="A1764" t="s">
        <v>341</v>
      </c>
      <c r="B1764" s="4">
        <v>44851</v>
      </c>
      <c r="C1764" s="9">
        <f t="shared" si="115"/>
        <v>10</v>
      </c>
      <c r="D1764">
        <f t="shared" si="112"/>
        <v>2022</v>
      </c>
      <c r="E1764">
        <f t="shared" si="113"/>
        <v>1</v>
      </c>
      <c r="F1764" t="s">
        <v>948</v>
      </c>
      <c r="G1764" t="s">
        <v>101</v>
      </c>
      <c r="H1764" t="s">
        <v>244</v>
      </c>
      <c r="J1764">
        <v>43</v>
      </c>
      <c r="K1764">
        <f t="shared" si="114"/>
        <v>43</v>
      </c>
      <c r="R1764" t="s">
        <v>1348</v>
      </c>
    </row>
    <row r="1765" spans="1:18" x14ac:dyDescent="0.25">
      <c r="A1765" t="s">
        <v>341</v>
      </c>
      <c r="B1765" s="4">
        <v>44852</v>
      </c>
      <c r="C1765" s="9">
        <f t="shared" si="115"/>
        <v>10</v>
      </c>
      <c r="D1765">
        <f t="shared" si="112"/>
        <v>2022</v>
      </c>
      <c r="E1765">
        <f t="shared" si="113"/>
        <v>1</v>
      </c>
      <c r="F1765" t="s">
        <v>948</v>
      </c>
      <c r="G1765" t="s">
        <v>101</v>
      </c>
      <c r="H1765" t="s">
        <v>244</v>
      </c>
      <c r="I1765">
        <v>2</v>
      </c>
      <c r="J1765">
        <v>19</v>
      </c>
      <c r="K1765">
        <f t="shared" si="114"/>
        <v>139</v>
      </c>
      <c r="R1765" t="s">
        <v>1348</v>
      </c>
    </row>
    <row r="1766" spans="1:18" x14ac:dyDescent="0.25">
      <c r="A1766" t="s">
        <v>341</v>
      </c>
      <c r="B1766" s="4">
        <v>44859</v>
      </c>
      <c r="C1766" s="9">
        <f t="shared" si="115"/>
        <v>10</v>
      </c>
      <c r="D1766">
        <f t="shared" ref="D1766:D1829" si="116">YEAR(B1766)</f>
        <v>2022</v>
      </c>
      <c r="E1766">
        <f t="shared" ref="E1766:E1829" si="117">IF(OR(A1766 = "GS",A1766 = "BP"),IF( OR(A1765="GS",A1765="BP"),IF(B1765=B1766,0,1),1),0)</f>
        <v>1</v>
      </c>
      <c r="F1766" t="s">
        <v>948</v>
      </c>
      <c r="G1766" t="s">
        <v>101</v>
      </c>
      <c r="H1766" t="s">
        <v>244</v>
      </c>
      <c r="J1766">
        <v>33</v>
      </c>
      <c r="K1766">
        <f t="shared" ref="K1766:K1829" si="118">I1766*60+J1766</f>
        <v>33</v>
      </c>
      <c r="R1766" t="s">
        <v>1348</v>
      </c>
    </row>
    <row r="1767" spans="1:18" x14ac:dyDescent="0.25">
      <c r="A1767" t="s">
        <v>341</v>
      </c>
      <c r="B1767" s="4">
        <v>44863</v>
      </c>
      <c r="C1767" s="9">
        <f t="shared" si="115"/>
        <v>10</v>
      </c>
      <c r="D1767">
        <f t="shared" si="116"/>
        <v>2022</v>
      </c>
      <c r="E1767">
        <f t="shared" si="117"/>
        <v>1</v>
      </c>
      <c r="F1767" t="s">
        <v>948</v>
      </c>
      <c r="G1767" t="s">
        <v>101</v>
      </c>
      <c r="H1767" t="s">
        <v>244</v>
      </c>
      <c r="I1767">
        <v>2</v>
      </c>
      <c r="J1767">
        <v>17</v>
      </c>
      <c r="K1767">
        <f t="shared" si="118"/>
        <v>137</v>
      </c>
      <c r="R1767" t="s">
        <v>1348</v>
      </c>
    </row>
    <row r="1768" spans="1:18" x14ac:dyDescent="0.25">
      <c r="A1768" t="s">
        <v>341</v>
      </c>
      <c r="B1768" s="4">
        <v>44864</v>
      </c>
      <c r="C1768" s="9">
        <f t="shared" si="115"/>
        <v>10</v>
      </c>
      <c r="D1768">
        <f t="shared" si="116"/>
        <v>2022</v>
      </c>
      <c r="E1768">
        <f t="shared" si="117"/>
        <v>1</v>
      </c>
      <c r="F1768" t="s">
        <v>948</v>
      </c>
      <c r="G1768" t="s">
        <v>101</v>
      </c>
      <c r="H1768" t="s">
        <v>741</v>
      </c>
      <c r="I1768">
        <v>1</v>
      </c>
      <c r="J1768">
        <v>21</v>
      </c>
      <c r="K1768">
        <f t="shared" si="118"/>
        <v>81</v>
      </c>
      <c r="R1768" t="s">
        <v>1348</v>
      </c>
    </row>
    <row r="1769" spans="1:18" x14ac:dyDescent="0.25">
      <c r="A1769" t="s">
        <v>341</v>
      </c>
      <c r="B1769" s="4">
        <v>44913</v>
      </c>
      <c r="C1769" s="9">
        <f t="shared" si="115"/>
        <v>12</v>
      </c>
      <c r="D1769">
        <f t="shared" si="116"/>
        <v>2022</v>
      </c>
      <c r="E1769">
        <f t="shared" si="117"/>
        <v>1</v>
      </c>
      <c r="F1769" t="s">
        <v>948</v>
      </c>
      <c r="G1769" t="s">
        <v>101</v>
      </c>
      <c r="H1769" t="s">
        <v>244</v>
      </c>
      <c r="J1769">
        <v>28</v>
      </c>
      <c r="K1769">
        <f t="shared" si="118"/>
        <v>28</v>
      </c>
      <c r="R1769" t="s">
        <v>1348</v>
      </c>
    </row>
    <row r="1770" spans="1:18" x14ac:dyDescent="0.25">
      <c r="A1770" t="s">
        <v>341</v>
      </c>
      <c r="B1770" s="4">
        <v>44923</v>
      </c>
      <c r="C1770" s="9">
        <f t="shared" si="115"/>
        <v>12</v>
      </c>
      <c r="D1770">
        <f t="shared" si="116"/>
        <v>2022</v>
      </c>
      <c r="E1770">
        <f t="shared" si="117"/>
        <v>1</v>
      </c>
      <c r="F1770" t="s">
        <v>948</v>
      </c>
      <c r="G1770" t="s">
        <v>101</v>
      </c>
      <c r="H1770" t="s">
        <v>244</v>
      </c>
      <c r="J1770">
        <v>56</v>
      </c>
      <c r="K1770">
        <f t="shared" si="118"/>
        <v>56</v>
      </c>
      <c r="R1770" t="s">
        <v>1348</v>
      </c>
    </row>
    <row r="1771" spans="1:18" x14ac:dyDescent="0.25">
      <c r="A1771" t="s">
        <v>341</v>
      </c>
      <c r="B1771" s="4">
        <v>44932</v>
      </c>
      <c r="C1771" s="9">
        <f t="shared" si="115"/>
        <v>1</v>
      </c>
      <c r="D1771">
        <f t="shared" si="116"/>
        <v>2023</v>
      </c>
      <c r="E1771">
        <f t="shared" si="117"/>
        <v>1</v>
      </c>
      <c r="F1771" t="s">
        <v>948</v>
      </c>
      <c r="G1771" t="s">
        <v>101</v>
      </c>
      <c r="H1771" t="s">
        <v>153</v>
      </c>
      <c r="I1771">
        <v>1</v>
      </c>
      <c r="J1771">
        <v>49</v>
      </c>
      <c r="K1771">
        <f t="shared" si="118"/>
        <v>109</v>
      </c>
      <c r="R1771" t="s">
        <v>1348</v>
      </c>
    </row>
    <row r="1772" spans="1:18" x14ac:dyDescent="0.25">
      <c r="A1772" t="s">
        <v>341</v>
      </c>
      <c r="B1772" s="4">
        <v>44933</v>
      </c>
      <c r="C1772" s="9">
        <f t="shared" si="115"/>
        <v>1</v>
      </c>
      <c r="D1772">
        <f t="shared" si="116"/>
        <v>2023</v>
      </c>
      <c r="E1772">
        <f t="shared" si="117"/>
        <v>1</v>
      </c>
      <c r="F1772" t="s">
        <v>948</v>
      </c>
      <c r="G1772" t="s">
        <v>101</v>
      </c>
      <c r="H1772" t="s">
        <v>153</v>
      </c>
      <c r="I1772">
        <v>1</v>
      </c>
      <c r="J1772">
        <v>8</v>
      </c>
      <c r="K1772">
        <f t="shared" si="118"/>
        <v>68</v>
      </c>
      <c r="R1772" t="s">
        <v>1348</v>
      </c>
    </row>
    <row r="1773" spans="1:18" x14ac:dyDescent="0.25">
      <c r="A1773" t="s">
        <v>341</v>
      </c>
      <c r="B1773" s="4">
        <v>44955</v>
      </c>
      <c r="C1773" s="9">
        <f t="shared" si="115"/>
        <v>1</v>
      </c>
      <c r="D1773">
        <f t="shared" si="116"/>
        <v>2023</v>
      </c>
      <c r="E1773">
        <f t="shared" si="117"/>
        <v>1</v>
      </c>
      <c r="F1773" t="s">
        <v>948</v>
      </c>
      <c r="G1773" t="s">
        <v>101</v>
      </c>
      <c r="H1773" t="s">
        <v>244</v>
      </c>
      <c r="J1773">
        <v>19</v>
      </c>
      <c r="K1773">
        <f t="shared" si="118"/>
        <v>19</v>
      </c>
      <c r="R1773" t="s">
        <v>1348</v>
      </c>
    </row>
    <row r="1774" spans="1:18" x14ac:dyDescent="0.25">
      <c r="A1774" t="s">
        <v>341</v>
      </c>
      <c r="B1774" s="4">
        <v>44973</v>
      </c>
      <c r="C1774" s="9">
        <f t="shared" si="115"/>
        <v>2</v>
      </c>
      <c r="D1774">
        <f t="shared" si="116"/>
        <v>2023</v>
      </c>
      <c r="E1774">
        <f t="shared" si="117"/>
        <v>1</v>
      </c>
      <c r="F1774" t="s">
        <v>948</v>
      </c>
      <c r="G1774" t="s">
        <v>101</v>
      </c>
      <c r="H1774" t="s">
        <v>153</v>
      </c>
      <c r="I1774">
        <v>1</v>
      </c>
      <c r="J1774">
        <v>10</v>
      </c>
      <c r="K1774">
        <f t="shared" si="118"/>
        <v>70</v>
      </c>
      <c r="R1774" t="s">
        <v>1348</v>
      </c>
    </row>
    <row r="1775" spans="1:18" x14ac:dyDescent="0.25">
      <c r="A1775" t="s">
        <v>341</v>
      </c>
      <c r="B1775" s="4">
        <v>44977</v>
      </c>
      <c r="C1775" s="9">
        <f t="shared" si="115"/>
        <v>2</v>
      </c>
      <c r="D1775">
        <f t="shared" si="116"/>
        <v>2023</v>
      </c>
      <c r="E1775">
        <f t="shared" si="117"/>
        <v>1</v>
      </c>
      <c r="F1775" t="s">
        <v>948</v>
      </c>
      <c r="G1775" t="s">
        <v>101</v>
      </c>
      <c r="H1775" t="s">
        <v>244</v>
      </c>
      <c r="J1775">
        <v>44</v>
      </c>
      <c r="K1775">
        <f t="shared" si="118"/>
        <v>44</v>
      </c>
      <c r="R1775" t="s">
        <v>1348</v>
      </c>
    </row>
    <row r="1776" spans="1:18" x14ac:dyDescent="0.25">
      <c r="A1776" t="s">
        <v>341</v>
      </c>
      <c r="B1776" s="4">
        <v>44978</v>
      </c>
      <c r="C1776" s="9">
        <f t="shared" si="115"/>
        <v>2</v>
      </c>
      <c r="D1776">
        <f t="shared" si="116"/>
        <v>2023</v>
      </c>
      <c r="E1776">
        <f t="shared" si="117"/>
        <v>1</v>
      </c>
      <c r="F1776" t="s">
        <v>948</v>
      </c>
      <c r="G1776" t="s">
        <v>101</v>
      </c>
      <c r="H1776" t="s">
        <v>153</v>
      </c>
      <c r="I1776">
        <v>1</v>
      </c>
      <c r="J1776">
        <v>32</v>
      </c>
      <c r="K1776">
        <f t="shared" si="118"/>
        <v>92</v>
      </c>
      <c r="R1776" t="s">
        <v>1348</v>
      </c>
    </row>
    <row r="1777" spans="1:19" x14ac:dyDescent="0.25">
      <c r="A1777" t="s">
        <v>341</v>
      </c>
      <c r="B1777" s="4">
        <v>44985</v>
      </c>
      <c r="C1777" s="9">
        <f t="shared" si="115"/>
        <v>2</v>
      </c>
      <c r="D1777">
        <f t="shared" si="116"/>
        <v>2023</v>
      </c>
      <c r="E1777">
        <f t="shared" si="117"/>
        <v>1</v>
      </c>
      <c r="F1777" t="s">
        <v>948</v>
      </c>
      <c r="G1777" t="s">
        <v>1030</v>
      </c>
      <c r="H1777" t="s">
        <v>1027</v>
      </c>
      <c r="I1777">
        <v>1</v>
      </c>
      <c r="J1777">
        <v>35</v>
      </c>
      <c r="K1777">
        <f t="shared" si="118"/>
        <v>95</v>
      </c>
      <c r="L1777" t="s">
        <v>1033</v>
      </c>
      <c r="R1777" t="s">
        <v>1352</v>
      </c>
    </row>
    <row r="1778" spans="1:19" x14ac:dyDescent="0.25">
      <c r="A1778" t="s">
        <v>341</v>
      </c>
      <c r="B1778" s="4">
        <v>44985</v>
      </c>
      <c r="C1778" s="9">
        <f t="shared" si="115"/>
        <v>2</v>
      </c>
      <c r="D1778">
        <f t="shared" si="116"/>
        <v>2023</v>
      </c>
      <c r="E1778">
        <f t="shared" si="117"/>
        <v>0</v>
      </c>
      <c r="F1778" t="s">
        <v>948</v>
      </c>
      <c r="G1778" t="s">
        <v>1028</v>
      </c>
      <c r="H1778" t="s">
        <v>1029</v>
      </c>
      <c r="I1778">
        <v>1</v>
      </c>
      <c r="J1778">
        <v>42</v>
      </c>
      <c r="K1778">
        <f t="shared" si="118"/>
        <v>102</v>
      </c>
      <c r="L1778" t="s">
        <v>1033</v>
      </c>
      <c r="R1778" t="s">
        <v>1352</v>
      </c>
    </row>
    <row r="1779" spans="1:19" x14ac:dyDescent="0.25">
      <c r="A1779" t="s">
        <v>341</v>
      </c>
      <c r="B1779" s="4">
        <v>44986</v>
      </c>
      <c r="C1779" s="9">
        <f t="shared" si="115"/>
        <v>3</v>
      </c>
      <c r="D1779">
        <f t="shared" si="116"/>
        <v>2023</v>
      </c>
      <c r="E1779">
        <f t="shared" si="117"/>
        <v>1</v>
      </c>
      <c r="F1779" t="s">
        <v>948</v>
      </c>
      <c r="G1779" t="s">
        <v>1028</v>
      </c>
      <c r="H1779" t="s">
        <v>1027</v>
      </c>
      <c r="J1779">
        <v>9</v>
      </c>
      <c r="K1779">
        <f t="shared" si="118"/>
        <v>9</v>
      </c>
      <c r="L1779" t="s">
        <v>1033</v>
      </c>
      <c r="R1779" t="s">
        <v>1352</v>
      </c>
    </row>
    <row r="1780" spans="1:19" x14ac:dyDescent="0.25">
      <c r="A1780" t="s">
        <v>341</v>
      </c>
      <c r="B1780" s="4">
        <v>44987</v>
      </c>
      <c r="C1780" s="9">
        <f t="shared" si="115"/>
        <v>3</v>
      </c>
      <c r="D1780">
        <f t="shared" si="116"/>
        <v>2023</v>
      </c>
      <c r="E1780">
        <f t="shared" si="117"/>
        <v>1</v>
      </c>
      <c r="F1780" t="s">
        <v>948</v>
      </c>
      <c r="G1780" t="s">
        <v>1030</v>
      </c>
      <c r="H1780" t="s">
        <v>1027</v>
      </c>
      <c r="J1780">
        <v>42</v>
      </c>
      <c r="K1780">
        <f t="shared" si="118"/>
        <v>42</v>
      </c>
      <c r="L1780" t="s">
        <v>1033</v>
      </c>
      <c r="R1780" t="s">
        <v>1352</v>
      </c>
    </row>
    <row r="1781" spans="1:19" x14ac:dyDescent="0.25">
      <c r="A1781" t="s">
        <v>341</v>
      </c>
      <c r="B1781" s="4">
        <v>44988</v>
      </c>
      <c r="C1781" s="9">
        <f t="shared" si="115"/>
        <v>3</v>
      </c>
      <c r="D1781">
        <f t="shared" si="116"/>
        <v>2023</v>
      </c>
      <c r="E1781">
        <f t="shared" si="117"/>
        <v>1</v>
      </c>
      <c r="F1781" t="s">
        <v>948</v>
      </c>
      <c r="G1781" t="s">
        <v>1031</v>
      </c>
      <c r="H1781" t="s">
        <v>1032</v>
      </c>
      <c r="I1781">
        <v>1</v>
      </c>
      <c r="J1781">
        <v>41</v>
      </c>
      <c r="K1781">
        <f t="shared" si="118"/>
        <v>101</v>
      </c>
      <c r="L1781" t="s">
        <v>1033</v>
      </c>
      <c r="R1781" t="s">
        <v>1352</v>
      </c>
    </row>
    <row r="1782" spans="1:19" x14ac:dyDescent="0.25">
      <c r="A1782" t="s">
        <v>341</v>
      </c>
      <c r="B1782" s="4">
        <v>45003</v>
      </c>
      <c r="C1782" s="9">
        <f t="shared" si="115"/>
        <v>3</v>
      </c>
      <c r="D1782">
        <f t="shared" si="116"/>
        <v>2023</v>
      </c>
      <c r="E1782">
        <f t="shared" si="117"/>
        <v>1</v>
      </c>
      <c r="F1782" t="s">
        <v>948</v>
      </c>
      <c r="G1782" t="s">
        <v>101</v>
      </c>
      <c r="H1782" t="s">
        <v>153</v>
      </c>
      <c r="J1782">
        <v>56</v>
      </c>
      <c r="K1782">
        <f t="shared" si="118"/>
        <v>56</v>
      </c>
      <c r="R1782" t="s">
        <v>1348</v>
      </c>
    </row>
    <row r="1783" spans="1:19" x14ac:dyDescent="0.25">
      <c r="A1783" t="s">
        <v>341</v>
      </c>
      <c r="B1783" s="4">
        <v>45005</v>
      </c>
      <c r="C1783" s="9">
        <f t="shared" si="115"/>
        <v>3</v>
      </c>
      <c r="D1783">
        <f t="shared" si="116"/>
        <v>2023</v>
      </c>
      <c r="E1783">
        <f t="shared" si="117"/>
        <v>1</v>
      </c>
      <c r="F1783" t="s">
        <v>948</v>
      </c>
      <c r="G1783" t="s">
        <v>101</v>
      </c>
      <c r="H1783" t="s">
        <v>575</v>
      </c>
      <c r="J1783">
        <v>58</v>
      </c>
      <c r="K1783">
        <f t="shared" si="118"/>
        <v>58</v>
      </c>
      <c r="R1783" t="s">
        <v>1348</v>
      </c>
    </row>
    <row r="1784" spans="1:19" x14ac:dyDescent="0.25">
      <c r="A1784" t="s">
        <v>341</v>
      </c>
      <c r="B1784" s="4">
        <v>45007</v>
      </c>
      <c r="C1784" s="9">
        <f t="shared" si="115"/>
        <v>3</v>
      </c>
      <c r="D1784">
        <f t="shared" si="116"/>
        <v>2023</v>
      </c>
      <c r="E1784">
        <f t="shared" si="117"/>
        <v>1</v>
      </c>
      <c r="F1784" t="s">
        <v>948</v>
      </c>
      <c r="G1784" t="s">
        <v>101</v>
      </c>
      <c r="H1784" t="s">
        <v>153</v>
      </c>
      <c r="I1784">
        <v>1</v>
      </c>
      <c r="J1784">
        <v>39</v>
      </c>
      <c r="K1784">
        <f t="shared" si="118"/>
        <v>99</v>
      </c>
      <c r="R1784" t="s">
        <v>1348</v>
      </c>
    </row>
    <row r="1785" spans="1:19" x14ac:dyDescent="0.25">
      <c r="A1785" t="s">
        <v>341</v>
      </c>
      <c r="B1785" s="4">
        <v>45013</v>
      </c>
      <c r="C1785" s="9">
        <f t="shared" si="115"/>
        <v>3</v>
      </c>
      <c r="D1785">
        <f t="shared" si="116"/>
        <v>2023</v>
      </c>
      <c r="E1785">
        <f t="shared" si="117"/>
        <v>1</v>
      </c>
      <c r="F1785" t="s">
        <v>948</v>
      </c>
      <c r="G1785" t="s">
        <v>101</v>
      </c>
      <c r="H1785" t="s">
        <v>244</v>
      </c>
      <c r="J1785">
        <v>32</v>
      </c>
      <c r="K1785">
        <f t="shared" si="118"/>
        <v>32</v>
      </c>
      <c r="R1785" t="s">
        <v>1348</v>
      </c>
    </row>
    <row r="1786" spans="1:19" x14ac:dyDescent="0.25">
      <c r="A1786" t="s">
        <v>341</v>
      </c>
      <c r="B1786" s="4">
        <v>45026</v>
      </c>
      <c r="C1786" s="9">
        <f t="shared" si="115"/>
        <v>4</v>
      </c>
      <c r="D1786">
        <f t="shared" si="116"/>
        <v>2023</v>
      </c>
      <c r="E1786">
        <f t="shared" si="117"/>
        <v>1</v>
      </c>
      <c r="F1786" t="s">
        <v>948</v>
      </c>
      <c r="G1786" t="s">
        <v>101</v>
      </c>
      <c r="H1786" t="s">
        <v>244</v>
      </c>
      <c r="I1786">
        <v>1</v>
      </c>
      <c r="J1786">
        <v>43</v>
      </c>
      <c r="K1786">
        <f t="shared" si="118"/>
        <v>103</v>
      </c>
      <c r="R1786" t="s">
        <v>1348</v>
      </c>
    </row>
    <row r="1787" spans="1:19" x14ac:dyDescent="0.25">
      <c r="A1787" t="s">
        <v>341</v>
      </c>
      <c r="B1787" s="4">
        <v>45030</v>
      </c>
      <c r="C1787" s="9">
        <f t="shared" si="115"/>
        <v>4</v>
      </c>
      <c r="D1787">
        <f t="shared" si="116"/>
        <v>2023</v>
      </c>
      <c r="E1787">
        <v>1</v>
      </c>
      <c r="F1787" t="s">
        <v>948</v>
      </c>
      <c r="G1787" t="s">
        <v>493</v>
      </c>
      <c r="H1787" t="s">
        <v>493</v>
      </c>
      <c r="J1787">
        <v>9</v>
      </c>
      <c r="K1787">
        <f t="shared" si="118"/>
        <v>9</v>
      </c>
      <c r="L1787" t="s">
        <v>617</v>
      </c>
      <c r="R1787" t="s">
        <v>1349</v>
      </c>
      <c r="S1787" t="s">
        <v>1367</v>
      </c>
    </row>
    <row r="1788" spans="1:19" x14ac:dyDescent="0.25">
      <c r="A1788" t="s">
        <v>341</v>
      </c>
      <c r="B1788" s="4">
        <v>45030</v>
      </c>
      <c r="C1788" s="9">
        <f t="shared" si="115"/>
        <v>4</v>
      </c>
      <c r="D1788">
        <f t="shared" si="116"/>
        <v>2023</v>
      </c>
      <c r="E1788">
        <f t="shared" si="117"/>
        <v>0</v>
      </c>
      <c r="F1788" t="s">
        <v>948</v>
      </c>
      <c r="G1788" t="s">
        <v>493</v>
      </c>
      <c r="H1788" t="s">
        <v>493</v>
      </c>
      <c r="J1788">
        <v>22</v>
      </c>
      <c r="K1788">
        <f t="shared" si="118"/>
        <v>22</v>
      </c>
      <c r="L1788" t="s">
        <v>617</v>
      </c>
      <c r="R1788" t="s">
        <v>1349</v>
      </c>
      <c r="S1788" t="s">
        <v>1367</v>
      </c>
    </row>
    <row r="1789" spans="1:19" x14ac:dyDescent="0.25">
      <c r="A1789" t="s">
        <v>341</v>
      </c>
      <c r="B1789" s="4">
        <v>45030</v>
      </c>
      <c r="C1789" s="9">
        <f t="shared" si="115"/>
        <v>4</v>
      </c>
      <c r="D1789">
        <f t="shared" si="116"/>
        <v>2023</v>
      </c>
      <c r="E1789">
        <f t="shared" si="117"/>
        <v>0</v>
      </c>
      <c r="F1789" t="s">
        <v>948</v>
      </c>
      <c r="G1789" t="s">
        <v>493</v>
      </c>
      <c r="H1789" t="s">
        <v>493</v>
      </c>
      <c r="J1789">
        <v>30</v>
      </c>
      <c r="K1789">
        <f t="shared" si="118"/>
        <v>30</v>
      </c>
      <c r="L1789" t="s">
        <v>617</v>
      </c>
      <c r="R1789" t="s">
        <v>1349</v>
      </c>
      <c r="S1789" t="s">
        <v>1367</v>
      </c>
    </row>
    <row r="1790" spans="1:19" x14ac:dyDescent="0.25">
      <c r="A1790" t="s">
        <v>341</v>
      </c>
      <c r="B1790" s="4">
        <v>45031</v>
      </c>
      <c r="C1790" s="9">
        <f t="shared" si="115"/>
        <v>4</v>
      </c>
      <c r="D1790">
        <f t="shared" si="116"/>
        <v>2023</v>
      </c>
      <c r="E1790">
        <v>1</v>
      </c>
      <c r="F1790" t="s">
        <v>948</v>
      </c>
      <c r="G1790" t="s">
        <v>493</v>
      </c>
      <c r="H1790" t="s">
        <v>493</v>
      </c>
      <c r="J1790">
        <v>8</v>
      </c>
      <c r="K1790">
        <f t="shared" si="118"/>
        <v>8</v>
      </c>
      <c r="L1790" t="s">
        <v>617</v>
      </c>
      <c r="R1790" t="s">
        <v>1349</v>
      </c>
      <c r="S1790" t="s">
        <v>1367</v>
      </c>
    </row>
    <row r="1791" spans="1:19" x14ac:dyDescent="0.25">
      <c r="A1791" t="s">
        <v>341</v>
      </c>
      <c r="B1791" s="4">
        <v>45031</v>
      </c>
      <c r="C1791" s="9">
        <f t="shared" si="115"/>
        <v>4</v>
      </c>
      <c r="D1791">
        <f t="shared" si="116"/>
        <v>2023</v>
      </c>
      <c r="E1791">
        <f t="shared" si="117"/>
        <v>0</v>
      </c>
      <c r="F1791" t="s">
        <v>948</v>
      </c>
      <c r="G1791" t="s">
        <v>493</v>
      </c>
      <c r="H1791" t="s">
        <v>493</v>
      </c>
      <c r="J1791">
        <v>17</v>
      </c>
      <c r="K1791">
        <f t="shared" si="118"/>
        <v>17</v>
      </c>
      <c r="L1791" t="s">
        <v>617</v>
      </c>
      <c r="R1791" t="s">
        <v>1349</v>
      </c>
      <c r="S1791" t="s">
        <v>1367</v>
      </c>
    </row>
    <row r="1792" spans="1:19" x14ac:dyDescent="0.25">
      <c r="A1792" t="s">
        <v>341</v>
      </c>
      <c r="B1792" s="4">
        <v>45031</v>
      </c>
      <c r="C1792" s="9">
        <f t="shared" si="115"/>
        <v>4</v>
      </c>
      <c r="D1792">
        <f t="shared" si="116"/>
        <v>2023</v>
      </c>
      <c r="E1792">
        <f t="shared" si="117"/>
        <v>0</v>
      </c>
      <c r="F1792" t="s">
        <v>948</v>
      </c>
      <c r="G1792" t="s">
        <v>493</v>
      </c>
      <c r="H1792" t="s">
        <v>493</v>
      </c>
      <c r="J1792">
        <v>18</v>
      </c>
      <c r="K1792">
        <f t="shared" si="118"/>
        <v>18</v>
      </c>
      <c r="L1792" t="s">
        <v>617</v>
      </c>
      <c r="R1792" t="s">
        <v>1349</v>
      </c>
      <c r="S1792" t="s">
        <v>1367</v>
      </c>
    </row>
    <row r="1793" spans="1:19" x14ac:dyDescent="0.25">
      <c r="A1793" t="s">
        <v>341</v>
      </c>
      <c r="B1793" s="4">
        <v>45032</v>
      </c>
      <c r="C1793" s="9">
        <f t="shared" si="115"/>
        <v>4</v>
      </c>
      <c r="D1793">
        <f t="shared" si="116"/>
        <v>2023</v>
      </c>
      <c r="E1793">
        <v>1</v>
      </c>
      <c r="F1793" t="s">
        <v>948</v>
      </c>
      <c r="G1793" t="s">
        <v>493</v>
      </c>
      <c r="H1793" t="s">
        <v>618</v>
      </c>
      <c r="J1793">
        <v>51</v>
      </c>
      <c r="K1793">
        <f t="shared" si="118"/>
        <v>51</v>
      </c>
      <c r="L1793" t="s">
        <v>617</v>
      </c>
      <c r="R1793" t="s">
        <v>1349</v>
      </c>
      <c r="S1793" t="s">
        <v>1367</v>
      </c>
    </row>
    <row r="1794" spans="1:19" x14ac:dyDescent="0.25">
      <c r="A1794" t="s">
        <v>341</v>
      </c>
      <c r="B1794" s="4">
        <v>45034</v>
      </c>
      <c r="C1794" s="9">
        <f t="shared" ref="C1794:C1857" si="119">MONTH(B1794)</f>
        <v>4</v>
      </c>
      <c r="D1794">
        <f t="shared" si="116"/>
        <v>2023</v>
      </c>
      <c r="E1794">
        <f t="shared" si="117"/>
        <v>1</v>
      </c>
      <c r="F1794" t="s">
        <v>948</v>
      </c>
      <c r="G1794" t="s">
        <v>101</v>
      </c>
      <c r="H1794" t="s">
        <v>320</v>
      </c>
      <c r="J1794">
        <v>29</v>
      </c>
      <c r="K1794">
        <f t="shared" si="118"/>
        <v>29</v>
      </c>
      <c r="R1794" t="s">
        <v>1348</v>
      </c>
    </row>
    <row r="1795" spans="1:19" x14ac:dyDescent="0.25">
      <c r="A1795" t="s">
        <v>341</v>
      </c>
      <c r="B1795" s="4">
        <v>45035</v>
      </c>
      <c r="C1795" s="9">
        <f t="shared" si="119"/>
        <v>4</v>
      </c>
      <c r="D1795">
        <f t="shared" si="116"/>
        <v>2023</v>
      </c>
      <c r="E1795">
        <f t="shared" si="117"/>
        <v>1</v>
      </c>
      <c r="F1795" t="s">
        <v>948</v>
      </c>
      <c r="G1795" t="s">
        <v>101</v>
      </c>
      <c r="H1795" t="s">
        <v>244</v>
      </c>
      <c r="I1795">
        <v>1</v>
      </c>
      <c r="J1795">
        <v>38</v>
      </c>
      <c r="K1795">
        <f t="shared" si="118"/>
        <v>98</v>
      </c>
      <c r="R1795" t="s">
        <v>1348</v>
      </c>
    </row>
    <row r="1796" spans="1:19" x14ac:dyDescent="0.25">
      <c r="A1796" t="s">
        <v>341</v>
      </c>
      <c r="B1796" s="4">
        <v>45037</v>
      </c>
      <c r="C1796" s="9">
        <f t="shared" si="119"/>
        <v>4</v>
      </c>
      <c r="D1796">
        <f t="shared" si="116"/>
        <v>2023</v>
      </c>
      <c r="E1796">
        <f t="shared" si="117"/>
        <v>1</v>
      </c>
      <c r="F1796" t="s">
        <v>1034</v>
      </c>
      <c r="G1796" t="s">
        <v>1037</v>
      </c>
      <c r="H1796" t="s">
        <v>1038</v>
      </c>
      <c r="J1796">
        <v>12</v>
      </c>
      <c r="K1796">
        <f t="shared" si="118"/>
        <v>12</v>
      </c>
      <c r="R1796" t="s">
        <v>1348</v>
      </c>
    </row>
    <row r="1797" spans="1:19" x14ac:dyDescent="0.25">
      <c r="A1797" t="s">
        <v>341</v>
      </c>
      <c r="B1797" s="4">
        <v>45039</v>
      </c>
      <c r="C1797" s="9">
        <f t="shared" si="119"/>
        <v>4</v>
      </c>
      <c r="D1797">
        <f t="shared" si="116"/>
        <v>2023</v>
      </c>
      <c r="E1797">
        <v>1</v>
      </c>
      <c r="F1797" t="s">
        <v>1034</v>
      </c>
      <c r="G1797" t="s">
        <v>1035</v>
      </c>
      <c r="H1797" t="s">
        <v>1035</v>
      </c>
      <c r="J1797">
        <v>0</v>
      </c>
      <c r="K1797">
        <f t="shared" si="118"/>
        <v>0</v>
      </c>
      <c r="L1797" t="s">
        <v>1036</v>
      </c>
      <c r="R1797" t="s">
        <v>1348</v>
      </c>
      <c r="S1797" t="s">
        <v>1367</v>
      </c>
    </row>
    <row r="1798" spans="1:19" x14ac:dyDescent="0.25">
      <c r="A1798" t="s">
        <v>341</v>
      </c>
      <c r="B1798" s="4">
        <v>45042</v>
      </c>
      <c r="C1798" s="9">
        <f t="shared" si="119"/>
        <v>4</v>
      </c>
      <c r="D1798">
        <f t="shared" si="116"/>
        <v>2023</v>
      </c>
      <c r="E1798">
        <f t="shared" si="117"/>
        <v>1</v>
      </c>
      <c r="F1798" t="s">
        <v>1034</v>
      </c>
      <c r="G1798" t="s">
        <v>101</v>
      </c>
      <c r="H1798" t="s">
        <v>244</v>
      </c>
      <c r="I1798">
        <v>1</v>
      </c>
      <c r="J1798">
        <v>19</v>
      </c>
      <c r="K1798">
        <f t="shared" si="118"/>
        <v>79</v>
      </c>
      <c r="L1798" t="s">
        <v>325</v>
      </c>
      <c r="R1798" t="s">
        <v>1348</v>
      </c>
    </row>
    <row r="1799" spans="1:19" x14ac:dyDescent="0.25">
      <c r="A1799" t="s">
        <v>341</v>
      </c>
      <c r="B1799" s="4">
        <v>45043</v>
      </c>
      <c r="C1799" s="9">
        <f t="shared" si="119"/>
        <v>4</v>
      </c>
      <c r="D1799">
        <f t="shared" si="116"/>
        <v>2023</v>
      </c>
      <c r="E1799">
        <f t="shared" si="117"/>
        <v>1</v>
      </c>
      <c r="F1799" t="s">
        <v>1034</v>
      </c>
      <c r="G1799" t="s">
        <v>101</v>
      </c>
      <c r="H1799" t="s">
        <v>244</v>
      </c>
      <c r="I1799">
        <v>1</v>
      </c>
      <c r="J1799">
        <v>42</v>
      </c>
      <c r="K1799">
        <f t="shared" si="118"/>
        <v>102</v>
      </c>
      <c r="L1799" t="s">
        <v>325</v>
      </c>
      <c r="R1799" t="s">
        <v>1348</v>
      </c>
    </row>
    <row r="1800" spans="1:19" x14ac:dyDescent="0.25">
      <c r="A1800" t="s">
        <v>341</v>
      </c>
      <c r="B1800" s="4">
        <v>45046</v>
      </c>
      <c r="C1800" s="9">
        <f t="shared" si="119"/>
        <v>4</v>
      </c>
      <c r="D1800">
        <f t="shared" si="116"/>
        <v>2023</v>
      </c>
      <c r="E1800">
        <f t="shared" si="117"/>
        <v>1</v>
      </c>
      <c r="F1800" t="s">
        <v>1034</v>
      </c>
      <c r="G1800" t="s">
        <v>101</v>
      </c>
      <c r="H1800" t="s">
        <v>244</v>
      </c>
      <c r="J1800">
        <v>14</v>
      </c>
      <c r="K1800">
        <f t="shared" si="118"/>
        <v>14</v>
      </c>
      <c r="R1800" t="s">
        <v>1348</v>
      </c>
    </row>
    <row r="1801" spans="1:19" x14ac:dyDescent="0.25">
      <c r="A1801" t="s">
        <v>342</v>
      </c>
      <c r="B1801" s="4">
        <v>45049</v>
      </c>
      <c r="C1801" s="9">
        <f t="shared" si="119"/>
        <v>5</v>
      </c>
      <c r="D1801">
        <f t="shared" si="116"/>
        <v>2023</v>
      </c>
      <c r="E1801">
        <f t="shared" si="117"/>
        <v>0</v>
      </c>
      <c r="F1801" t="s">
        <v>1043</v>
      </c>
      <c r="G1801" t="s">
        <v>1042</v>
      </c>
      <c r="H1801" t="s">
        <v>1041</v>
      </c>
      <c r="I1801">
        <v>9</v>
      </c>
      <c r="J1801">
        <v>0</v>
      </c>
      <c r="K1801">
        <f t="shared" si="118"/>
        <v>540</v>
      </c>
      <c r="M1801" t="s">
        <v>1044</v>
      </c>
      <c r="R1801" t="s">
        <v>1350</v>
      </c>
    </row>
    <row r="1802" spans="1:19" x14ac:dyDescent="0.25">
      <c r="A1802" t="s">
        <v>341</v>
      </c>
      <c r="B1802" s="4">
        <v>45051</v>
      </c>
      <c r="C1802" s="9">
        <f t="shared" si="119"/>
        <v>5</v>
      </c>
      <c r="D1802">
        <f t="shared" si="116"/>
        <v>2023</v>
      </c>
      <c r="E1802">
        <f t="shared" si="117"/>
        <v>1</v>
      </c>
      <c r="F1802" t="s">
        <v>1034</v>
      </c>
      <c r="G1802" t="s">
        <v>101</v>
      </c>
      <c r="H1802" t="s">
        <v>244</v>
      </c>
      <c r="I1802">
        <v>1</v>
      </c>
      <c r="J1802">
        <v>13</v>
      </c>
      <c r="K1802">
        <f t="shared" si="118"/>
        <v>73</v>
      </c>
      <c r="R1802" t="s">
        <v>1348</v>
      </c>
    </row>
    <row r="1803" spans="1:19" x14ac:dyDescent="0.25">
      <c r="A1803" t="s">
        <v>341</v>
      </c>
      <c r="B1803" s="4">
        <v>45052</v>
      </c>
      <c r="C1803" s="9">
        <f t="shared" si="119"/>
        <v>5</v>
      </c>
      <c r="D1803">
        <f t="shared" si="116"/>
        <v>2023</v>
      </c>
      <c r="E1803">
        <f t="shared" si="117"/>
        <v>1</v>
      </c>
      <c r="F1803" t="s">
        <v>1034</v>
      </c>
      <c r="G1803" t="s">
        <v>101</v>
      </c>
      <c r="H1803" t="s">
        <v>244</v>
      </c>
      <c r="I1803">
        <v>1</v>
      </c>
      <c r="J1803">
        <v>38</v>
      </c>
      <c r="K1803">
        <f t="shared" si="118"/>
        <v>98</v>
      </c>
      <c r="R1803" t="s">
        <v>1348</v>
      </c>
    </row>
    <row r="1804" spans="1:19" x14ac:dyDescent="0.25">
      <c r="A1804" t="s">
        <v>341</v>
      </c>
      <c r="B1804" s="4">
        <v>45053</v>
      </c>
      <c r="C1804" s="9">
        <f t="shared" si="119"/>
        <v>5</v>
      </c>
      <c r="D1804">
        <f t="shared" si="116"/>
        <v>2023</v>
      </c>
      <c r="E1804">
        <f t="shared" si="117"/>
        <v>1</v>
      </c>
      <c r="F1804" t="s">
        <v>1034</v>
      </c>
      <c r="G1804" t="s">
        <v>101</v>
      </c>
      <c r="H1804" t="s">
        <v>244</v>
      </c>
      <c r="J1804">
        <v>25</v>
      </c>
      <c r="K1804">
        <f t="shared" si="118"/>
        <v>25</v>
      </c>
      <c r="R1804" t="s">
        <v>1348</v>
      </c>
    </row>
    <row r="1805" spans="1:19" x14ac:dyDescent="0.25">
      <c r="A1805" t="s">
        <v>341</v>
      </c>
      <c r="B1805" s="4">
        <v>45064</v>
      </c>
      <c r="C1805" s="9">
        <f t="shared" si="119"/>
        <v>5</v>
      </c>
      <c r="D1805">
        <f t="shared" si="116"/>
        <v>2023</v>
      </c>
      <c r="E1805">
        <f t="shared" si="117"/>
        <v>1</v>
      </c>
      <c r="F1805" t="s">
        <v>1034</v>
      </c>
      <c r="G1805" t="s">
        <v>101</v>
      </c>
      <c r="H1805" t="s">
        <v>244</v>
      </c>
      <c r="J1805">
        <v>16</v>
      </c>
      <c r="K1805">
        <f t="shared" si="118"/>
        <v>16</v>
      </c>
      <c r="R1805" t="s">
        <v>1348</v>
      </c>
    </row>
    <row r="1806" spans="1:19" x14ac:dyDescent="0.25">
      <c r="A1806" t="s">
        <v>341</v>
      </c>
      <c r="B1806" s="4">
        <v>45065</v>
      </c>
      <c r="C1806" s="9">
        <f t="shared" si="119"/>
        <v>5</v>
      </c>
      <c r="D1806">
        <f t="shared" si="116"/>
        <v>2023</v>
      </c>
      <c r="E1806">
        <f t="shared" si="117"/>
        <v>1</v>
      </c>
      <c r="F1806" t="s">
        <v>1034</v>
      </c>
      <c r="G1806" t="s">
        <v>101</v>
      </c>
      <c r="H1806" t="s">
        <v>244</v>
      </c>
      <c r="J1806">
        <v>29</v>
      </c>
      <c r="K1806">
        <f t="shared" si="118"/>
        <v>29</v>
      </c>
      <c r="R1806" t="s">
        <v>1348</v>
      </c>
    </row>
    <row r="1807" spans="1:19" x14ac:dyDescent="0.25">
      <c r="A1807" t="s">
        <v>341</v>
      </c>
      <c r="B1807" s="4">
        <v>45068</v>
      </c>
      <c r="C1807" s="9">
        <f t="shared" si="119"/>
        <v>5</v>
      </c>
      <c r="D1807">
        <f t="shared" si="116"/>
        <v>2023</v>
      </c>
      <c r="E1807">
        <f t="shared" si="117"/>
        <v>1</v>
      </c>
      <c r="F1807" t="s">
        <v>1034</v>
      </c>
      <c r="G1807" t="s">
        <v>358</v>
      </c>
      <c r="H1807" t="s">
        <v>244</v>
      </c>
      <c r="I1807">
        <v>1</v>
      </c>
      <c r="J1807">
        <v>36</v>
      </c>
      <c r="K1807">
        <f t="shared" si="118"/>
        <v>96</v>
      </c>
      <c r="R1807" t="s">
        <v>1348</v>
      </c>
    </row>
    <row r="1808" spans="1:19" x14ac:dyDescent="0.25">
      <c r="A1808" t="s">
        <v>341</v>
      </c>
      <c r="B1808" s="4">
        <v>45069</v>
      </c>
      <c r="C1808" s="9">
        <f t="shared" si="119"/>
        <v>5</v>
      </c>
      <c r="D1808">
        <f t="shared" si="116"/>
        <v>2023</v>
      </c>
      <c r="E1808">
        <f t="shared" si="117"/>
        <v>1</v>
      </c>
      <c r="F1808" t="s">
        <v>1034</v>
      </c>
      <c r="G1808" t="s">
        <v>358</v>
      </c>
      <c r="H1808" t="s">
        <v>244</v>
      </c>
      <c r="I1808">
        <v>1</v>
      </c>
      <c r="J1808">
        <v>13</v>
      </c>
      <c r="K1808">
        <f t="shared" si="118"/>
        <v>73</v>
      </c>
      <c r="M1808" t="s">
        <v>1045</v>
      </c>
      <c r="R1808" t="s">
        <v>1348</v>
      </c>
    </row>
    <row r="1809" spans="1:18" x14ac:dyDescent="0.25">
      <c r="A1809" t="s">
        <v>341</v>
      </c>
      <c r="B1809" s="4">
        <v>45072</v>
      </c>
      <c r="C1809" s="9">
        <f t="shared" si="119"/>
        <v>5</v>
      </c>
      <c r="D1809">
        <f t="shared" si="116"/>
        <v>2023</v>
      </c>
      <c r="E1809">
        <f t="shared" si="117"/>
        <v>1</v>
      </c>
      <c r="F1809" t="s">
        <v>1034</v>
      </c>
      <c r="G1809" t="s">
        <v>101</v>
      </c>
      <c r="H1809" t="s">
        <v>244</v>
      </c>
      <c r="I1809">
        <v>2</v>
      </c>
      <c r="J1809">
        <v>8</v>
      </c>
      <c r="K1809">
        <f t="shared" si="118"/>
        <v>128</v>
      </c>
      <c r="R1809" t="s">
        <v>1348</v>
      </c>
    </row>
    <row r="1810" spans="1:18" x14ac:dyDescent="0.25">
      <c r="A1810" t="s">
        <v>341</v>
      </c>
      <c r="B1810" s="4">
        <v>45073</v>
      </c>
      <c r="C1810" s="9">
        <f t="shared" si="119"/>
        <v>5</v>
      </c>
      <c r="D1810">
        <f t="shared" si="116"/>
        <v>2023</v>
      </c>
      <c r="E1810">
        <f t="shared" si="117"/>
        <v>1</v>
      </c>
      <c r="F1810" t="s">
        <v>1034</v>
      </c>
      <c r="G1810" t="s">
        <v>406</v>
      </c>
      <c r="H1810" t="s">
        <v>244</v>
      </c>
      <c r="I1810">
        <v>1</v>
      </c>
      <c r="J1810">
        <v>41</v>
      </c>
      <c r="K1810">
        <f t="shared" si="118"/>
        <v>101</v>
      </c>
      <c r="R1810" t="s">
        <v>1348</v>
      </c>
    </row>
    <row r="1811" spans="1:18" x14ac:dyDescent="0.25">
      <c r="A1811" t="s">
        <v>341</v>
      </c>
      <c r="B1811" s="4">
        <v>45074</v>
      </c>
      <c r="C1811" s="9">
        <f t="shared" si="119"/>
        <v>5</v>
      </c>
      <c r="D1811">
        <f t="shared" si="116"/>
        <v>2023</v>
      </c>
      <c r="E1811">
        <f t="shared" si="117"/>
        <v>1</v>
      </c>
      <c r="F1811" t="s">
        <v>1034</v>
      </c>
      <c r="G1811" t="s">
        <v>406</v>
      </c>
      <c r="H1811" t="s">
        <v>153</v>
      </c>
      <c r="I1811">
        <v>1</v>
      </c>
      <c r="J1811">
        <v>6</v>
      </c>
      <c r="K1811">
        <f t="shared" si="118"/>
        <v>66</v>
      </c>
      <c r="R1811" t="s">
        <v>1348</v>
      </c>
    </row>
    <row r="1812" spans="1:18" x14ac:dyDescent="0.25">
      <c r="A1812" t="s">
        <v>341</v>
      </c>
      <c r="B1812" s="4">
        <v>45078</v>
      </c>
      <c r="C1812" s="9">
        <f t="shared" si="119"/>
        <v>6</v>
      </c>
      <c r="D1812">
        <f t="shared" si="116"/>
        <v>2023</v>
      </c>
      <c r="E1812">
        <f t="shared" si="117"/>
        <v>1</v>
      </c>
      <c r="F1812" t="s">
        <v>1034</v>
      </c>
      <c r="G1812" t="s">
        <v>1046</v>
      </c>
      <c r="H1812" t="s">
        <v>1047</v>
      </c>
      <c r="J1812">
        <v>43</v>
      </c>
      <c r="K1812">
        <f t="shared" si="118"/>
        <v>43</v>
      </c>
      <c r="M1812" t="s">
        <v>840</v>
      </c>
      <c r="R1812" t="s">
        <v>1348</v>
      </c>
    </row>
    <row r="1813" spans="1:18" x14ac:dyDescent="0.25">
      <c r="A1813" t="s">
        <v>341</v>
      </c>
      <c r="B1813" s="4">
        <v>45081</v>
      </c>
      <c r="C1813" s="9">
        <f t="shared" si="119"/>
        <v>6</v>
      </c>
      <c r="D1813">
        <f t="shared" si="116"/>
        <v>2023</v>
      </c>
      <c r="E1813">
        <f t="shared" si="117"/>
        <v>1</v>
      </c>
      <c r="F1813" t="s">
        <v>1034</v>
      </c>
      <c r="G1813" t="s">
        <v>1156</v>
      </c>
      <c r="H1813" t="s">
        <v>1156</v>
      </c>
      <c r="J1813">
        <v>16</v>
      </c>
      <c r="K1813">
        <f t="shared" si="118"/>
        <v>16</v>
      </c>
      <c r="L1813" t="s">
        <v>509</v>
      </c>
      <c r="R1813" t="s">
        <v>1355</v>
      </c>
    </row>
    <row r="1814" spans="1:18" x14ac:dyDescent="0.25">
      <c r="A1814" t="s">
        <v>341</v>
      </c>
      <c r="B1814" s="4">
        <v>45081</v>
      </c>
      <c r="C1814" s="9">
        <f t="shared" si="119"/>
        <v>6</v>
      </c>
      <c r="D1814">
        <f t="shared" si="116"/>
        <v>2023</v>
      </c>
      <c r="E1814">
        <f t="shared" si="117"/>
        <v>0</v>
      </c>
      <c r="F1814" t="s">
        <v>1034</v>
      </c>
      <c r="G1814" t="s">
        <v>1156</v>
      </c>
      <c r="H1814" t="s">
        <v>1156</v>
      </c>
      <c r="J1814">
        <v>24</v>
      </c>
      <c r="K1814">
        <f t="shared" si="118"/>
        <v>24</v>
      </c>
      <c r="L1814" t="s">
        <v>509</v>
      </c>
      <c r="R1814" t="s">
        <v>1355</v>
      </c>
    </row>
    <row r="1815" spans="1:18" x14ac:dyDescent="0.25">
      <c r="A1815" t="s">
        <v>341</v>
      </c>
      <c r="B1815" s="4">
        <v>45081</v>
      </c>
      <c r="C1815" s="9">
        <f t="shared" si="119"/>
        <v>6</v>
      </c>
      <c r="D1815">
        <f t="shared" si="116"/>
        <v>2023</v>
      </c>
      <c r="E1815">
        <f t="shared" si="117"/>
        <v>0</v>
      </c>
      <c r="F1815" t="s">
        <v>1034</v>
      </c>
      <c r="G1815" t="s">
        <v>1156</v>
      </c>
      <c r="H1815" t="s">
        <v>1156</v>
      </c>
      <c r="J1815">
        <v>17</v>
      </c>
      <c r="K1815">
        <f t="shared" si="118"/>
        <v>17</v>
      </c>
      <c r="L1815" t="s">
        <v>509</v>
      </c>
      <c r="R1815" t="s">
        <v>1355</v>
      </c>
    </row>
    <row r="1816" spans="1:18" x14ac:dyDescent="0.25">
      <c r="A1816" t="s">
        <v>341</v>
      </c>
      <c r="B1816" s="4">
        <v>45082</v>
      </c>
      <c r="C1816" s="9">
        <f t="shared" si="119"/>
        <v>6</v>
      </c>
      <c r="D1816">
        <f t="shared" si="116"/>
        <v>2023</v>
      </c>
      <c r="E1816">
        <f t="shared" si="117"/>
        <v>1</v>
      </c>
      <c r="F1816" t="s">
        <v>1034</v>
      </c>
      <c r="G1816" t="s">
        <v>508</v>
      </c>
      <c r="H1816" t="s">
        <v>508</v>
      </c>
      <c r="I1816">
        <v>1</v>
      </c>
      <c r="J1816">
        <v>1</v>
      </c>
      <c r="K1816">
        <f t="shared" si="118"/>
        <v>61</v>
      </c>
      <c r="L1816" t="s">
        <v>509</v>
      </c>
      <c r="R1816" t="s">
        <v>1355</v>
      </c>
    </row>
    <row r="1817" spans="1:18" x14ac:dyDescent="0.25">
      <c r="A1817" t="s">
        <v>341</v>
      </c>
      <c r="B1817" s="4">
        <v>45082</v>
      </c>
      <c r="C1817" s="9">
        <f t="shared" si="119"/>
        <v>6</v>
      </c>
      <c r="D1817">
        <f t="shared" si="116"/>
        <v>2023</v>
      </c>
      <c r="E1817">
        <f t="shared" si="117"/>
        <v>0</v>
      </c>
      <c r="F1817" t="s">
        <v>1034</v>
      </c>
      <c r="G1817" t="s">
        <v>508</v>
      </c>
      <c r="H1817" t="s">
        <v>508</v>
      </c>
      <c r="J1817">
        <v>12</v>
      </c>
      <c r="K1817">
        <f t="shared" si="118"/>
        <v>12</v>
      </c>
      <c r="L1817" t="s">
        <v>509</v>
      </c>
      <c r="R1817" t="s">
        <v>1355</v>
      </c>
    </row>
    <row r="1818" spans="1:18" x14ac:dyDescent="0.25">
      <c r="A1818" t="s">
        <v>341</v>
      </c>
      <c r="B1818" s="4">
        <v>45082</v>
      </c>
      <c r="C1818" s="9">
        <f t="shared" si="119"/>
        <v>6</v>
      </c>
      <c r="D1818">
        <f t="shared" si="116"/>
        <v>2023</v>
      </c>
      <c r="E1818">
        <f t="shared" si="117"/>
        <v>0</v>
      </c>
      <c r="F1818" t="s">
        <v>1034</v>
      </c>
      <c r="G1818" t="s">
        <v>508</v>
      </c>
      <c r="H1818" t="s">
        <v>508</v>
      </c>
      <c r="J1818">
        <v>28</v>
      </c>
      <c r="K1818">
        <f t="shared" si="118"/>
        <v>28</v>
      </c>
      <c r="L1818" t="s">
        <v>509</v>
      </c>
      <c r="R1818" t="s">
        <v>1355</v>
      </c>
    </row>
    <row r="1819" spans="1:18" x14ac:dyDescent="0.25">
      <c r="A1819" t="s">
        <v>341</v>
      </c>
      <c r="B1819" s="4">
        <v>45083</v>
      </c>
      <c r="C1819" s="9">
        <f t="shared" si="119"/>
        <v>6</v>
      </c>
      <c r="D1819">
        <f t="shared" si="116"/>
        <v>2023</v>
      </c>
      <c r="E1819">
        <f t="shared" si="117"/>
        <v>1</v>
      </c>
      <c r="F1819" t="s">
        <v>1034</v>
      </c>
      <c r="G1819" t="s">
        <v>1156</v>
      </c>
      <c r="H1819" t="s">
        <v>1156</v>
      </c>
      <c r="J1819">
        <v>5</v>
      </c>
      <c r="K1819">
        <f t="shared" si="118"/>
        <v>5</v>
      </c>
      <c r="L1819" t="s">
        <v>509</v>
      </c>
      <c r="R1819" t="s">
        <v>1355</v>
      </c>
    </row>
    <row r="1820" spans="1:18" x14ac:dyDescent="0.25">
      <c r="A1820" t="s">
        <v>341</v>
      </c>
      <c r="B1820" s="4">
        <v>45085</v>
      </c>
      <c r="C1820" s="9">
        <f t="shared" si="119"/>
        <v>6</v>
      </c>
      <c r="D1820">
        <f t="shared" si="116"/>
        <v>2023</v>
      </c>
      <c r="E1820">
        <f t="shared" si="117"/>
        <v>1</v>
      </c>
      <c r="F1820" t="s">
        <v>1034</v>
      </c>
      <c r="G1820" t="s">
        <v>1152</v>
      </c>
      <c r="H1820" t="s">
        <v>1152</v>
      </c>
      <c r="J1820">
        <v>49</v>
      </c>
      <c r="K1820">
        <f t="shared" si="118"/>
        <v>49</v>
      </c>
      <c r="L1820" t="s">
        <v>509</v>
      </c>
      <c r="R1820" t="s">
        <v>1354</v>
      </c>
    </row>
    <row r="1821" spans="1:18" x14ac:dyDescent="0.25">
      <c r="A1821" t="s">
        <v>341</v>
      </c>
      <c r="B1821" s="4">
        <v>45086</v>
      </c>
      <c r="C1821" s="9">
        <f t="shared" si="119"/>
        <v>6</v>
      </c>
      <c r="D1821">
        <f t="shared" si="116"/>
        <v>2023</v>
      </c>
      <c r="E1821">
        <f t="shared" si="117"/>
        <v>1</v>
      </c>
      <c r="F1821" t="s">
        <v>1034</v>
      </c>
      <c r="G1821" t="s">
        <v>1152</v>
      </c>
      <c r="H1821" t="s">
        <v>1152</v>
      </c>
      <c r="I1821">
        <v>2</v>
      </c>
      <c r="J1821">
        <v>13</v>
      </c>
      <c r="K1821">
        <f t="shared" si="118"/>
        <v>133</v>
      </c>
      <c r="L1821" t="s">
        <v>509</v>
      </c>
      <c r="R1821" t="s">
        <v>1354</v>
      </c>
    </row>
    <row r="1822" spans="1:18" x14ac:dyDescent="0.25">
      <c r="A1822" t="s">
        <v>341</v>
      </c>
      <c r="B1822" s="4">
        <v>45087</v>
      </c>
      <c r="C1822" s="9">
        <f t="shared" si="119"/>
        <v>6</v>
      </c>
      <c r="D1822">
        <f t="shared" si="116"/>
        <v>2023</v>
      </c>
      <c r="E1822">
        <f t="shared" si="117"/>
        <v>1</v>
      </c>
      <c r="F1822" t="s">
        <v>1034</v>
      </c>
      <c r="G1822" t="s">
        <v>1048</v>
      </c>
      <c r="H1822" t="s">
        <v>1048</v>
      </c>
      <c r="J1822">
        <v>36</v>
      </c>
      <c r="K1822">
        <f t="shared" si="118"/>
        <v>36</v>
      </c>
      <c r="L1822" t="s">
        <v>509</v>
      </c>
      <c r="R1822" t="s">
        <v>1355</v>
      </c>
    </row>
    <row r="1823" spans="1:18" x14ac:dyDescent="0.25">
      <c r="A1823" t="s">
        <v>341</v>
      </c>
      <c r="B1823" s="4">
        <v>45093</v>
      </c>
      <c r="C1823" s="9">
        <f t="shared" si="119"/>
        <v>6</v>
      </c>
      <c r="D1823">
        <f t="shared" si="116"/>
        <v>2023</v>
      </c>
      <c r="E1823">
        <f t="shared" si="117"/>
        <v>1</v>
      </c>
      <c r="F1823" t="s">
        <v>1034</v>
      </c>
      <c r="G1823" t="s">
        <v>1049</v>
      </c>
      <c r="H1823" t="s">
        <v>1049</v>
      </c>
      <c r="J1823">
        <v>10</v>
      </c>
      <c r="K1823">
        <f t="shared" si="118"/>
        <v>10</v>
      </c>
      <c r="L1823" t="s">
        <v>763</v>
      </c>
      <c r="R1823" t="s">
        <v>1359</v>
      </c>
    </row>
    <row r="1824" spans="1:18" x14ac:dyDescent="0.25">
      <c r="A1824" t="s">
        <v>341</v>
      </c>
      <c r="B1824" s="4">
        <v>45093</v>
      </c>
      <c r="C1824" s="9">
        <f t="shared" si="119"/>
        <v>6</v>
      </c>
      <c r="D1824">
        <f t="shared" si="116"/>
        <v>2023</v>
      </c>
      <c r="E1824">
        <f t="shared" si="117"/>
        <v>0</v>
      </c>
      <c r="F1824" t="s">
        <v>1034</v>
      </c>
      <c r="G1824" t="s">
        <v>1049</v>
      </c>
      <c r="H1824" t="s">
        <v>1049</v>
      </c>
      <c r="J1824">
        <v>18</v>
      </c>
      <c r="K1824">
        <f t="shared" si="118"/>
        <v>18</v>
      </c>
      <c r="L1824" t="s">
        <v>763</v>
      </c>
      <c r="R1824" t="s">
        <v>1359</v>
      </c>
    </row>
    <row r="1825" spans="1:18" x14ac:dyDescent="0.25">
      <c r="A1825" t="s">
        <v>341</v>
      </c>
      <c r="B1825" s="4">
        <v>45094</v>
      </c>
      <c r="C1825" s="9">
        <f t="shared" si="119"/>
        <v>6</v>
      </c>
      <c r="D1825">
        <f t="shared" si="116"/>
        <v>2023</v>
      </c>
      <c r="E1825">
        <f t="shared" si="117"/>
        <v>1</v>
      </c>
      <c r="F1825" t="s">
        <v>1034</v>
      </c>
      <c r="G1825" t="s">
        <v>1050</v>
      </c>
      <c r="H1825" t="s">
        <v>1051</v>
      </c>
      <c r="I1825">
        <v>1</v>
      </c>
      <c r="J1825">
        <v>43</v>
      </c>
      <c r="K1825">
        <f t="shared" si="118"/>
        <v>103</v>
      </c>
      <c r="L1825" t="s">
        <v>763</v>
      </c>
      <c r="R1825" t="s">
        <v>1359</v>
      </c>
    </row>
    <row r="1826" spans="1:18" x14ac:dyDescent="0.25">
      <c r="A1826" t="s">
        <v>341</v>
      </c>
      <c r="B1826" s="4">
        <v>45095</v>
      </c>
      <c r="C1826" s="9">
        <f t="shared" si="119"/>
        <v>6</v>
      </c>
      <c r="D1826">
        <f t="shared" si="116"/>
        <v>2023</v>
      </c>
      <c r="E1826">
        <f t="shared" si="117"/>
        <v>1</v>
      </c>
      <c r="F1826" t="s">
        <v>1034</v>
      </c>
      <c r="G1826" t="s">
        <v>1052</v>
      </c>
      <c r="H1826" t="s">
        <v>1052</v>
      </c>
      <c r="I1826">
        <v>1</v>
      </c>
      <c r="J1826">
        <v>3</v>
      </c>
      <c r="K1826">
        <f t="shared" si="118"/>
        <v>63</v>
      </c>
      <c r="L1826" t="s">
        <v>763</v>
      </c>
      <c r="R1826" t="s">
        <v>1364</v>
      </c>
    </row>
    <row r="1827" spans="1:18" x14ac:dyDescent="0.25">
      <c r="A1827" t="s">
        <v>341</v>
      </c>
      <c r="B1827" s="4">
        <v>45096</v>
      </c>
      <c r="C1827" s="9">
        <f t="shared" si="119"/>
        <v>6</v>
      </c>
      <c r="D1827">
        <f t="shared" si="116"/>
        <v>2023</v>
      </c>
      <c r="E1827">
        <f t="shared" si="117"/>
        <v>1</v>
      </c>
      <c r="F1827" t="s">
        <v>1034</v>
      </c>
      <c r="G1827" t="s">
        <v>1052</v>
      </c>
      <c r="H1827" t="s">
        <v>1052</v>
      </c>
      <c r="J1827">
        <v>12</v>
      </c>
      <c r="K1827">
        <f t="shared" si="118"/>
        <v>12</v>
      </c>
      <c r="L1827" t="s">
        <v>763</v>
      </c>
      <c r="R1827" t="s">
        <v>1364</v>
      </c>
    </row>
    <row r="1828" spans="1:18" x14ac:dyDescent="0.25">
      <c r="A1828" t="s">
        <v>341</v>
      </c>
      <c r="B1828" s="4">
        <v>45096</v>
      </c>
      <c r="C1828" s="9">
        <f t="shared" si="119"/>
        <v>6</v>
      </c>
      <c r="D1828">
        <f t="shared" si="116"/>
        <v>2023</v>
      </c>
      <c r="E1828">
        <f t="shared" si="117"/>
        <v>0</v>
      </c>
      <c r="F1828" t="s">
        <v>1034</v>
      </c>
      <c r="G1828" t="s">
        <v>1052</v>
      </c>
      <c r="H1828" t="s">
        <v>1052</v>
      </c>
      <c r="J1828">
        <v>13</v>
      </c>
      <c r="K1828">
        <f t="shared" si="118"/>
        <v>13</v>
      </c>
      <c r="L1828" t="s">
        <v>763</v>
      </c>
      <c r="R1828" t="s">
        <v>1364</v>
      </c>
    </row>
    <row r="1829" spans="1:18" x14ac:dyDescent="0.25">
      <c r="A1829" t="s">
        <v>341</v>
      </c>
      <c r="B1829" s="4">
        <v>45097</v>
      </c>
      <c r="C1829" s="9">
        <f t="shared" si="119"/>
        <v>6</v>
      </c>
      <c r="D1829">
        <f t="shared" si="116"/>
        <v>2023</v>
      </c>
      <c r="E1829">
        <f t="shared" si="117"/>
        <v>1</v>
      </c>
      <c r="F1829" t="s">
        <v>1034</v>
      </c>
      <c r="G1829" t="s">
        <v>1053</v>
      </c>
      <c r="H1829" t="s">
        <v>1054</v>
      </c>
      <c r="I1829">
        <v>5</v>
      </c>
      <c r="J1829">
        <v>42</v>
      </c>
      <c r="K1829">
        <f t="shared" si="118"/>
        <v>342</v>
      </c>
      <c r="L1829" t="s">
        <v>763</v>
      </c>
      <c r="Q1829">
        <v>132</v>
      </c>
      <c r="R1829" t="s">
        <v>1364</v>
      </c>
    </row>
    <row r="1830" spans="1:18" x14ac:dyDescent="0.25">
      <c r="A1830" t="s">
        <v>341</v>
      </c>
      <c r="B1830" s="4">
        <v>45098</v>
      </c>
      <c r="C1830" s="9">
        <f t="shared" si="119"/>
        <v>6</v>
      </c>
      <c r="D1830">
        <f t="shared" ref="D1830:D1893" si="120">YEAR(B1830)</f>
        <v>2023</v>
      </c>
      <c r="E1830">
        <f t="shared" ref="E1830:E1893" si="121">IF(OR(A1830 = "GS",A1830 = "BP"),IF( OR(A1829="GS",A1829="BP"),IF(B1829=B1830,0,1),1),0)</f>
        <v>1</v>
      </c>
      <c r="F1830" t="s">
        <v>1034</v>
      </c>
      <c r="G1830" t="s">
        <v>1053</v>
      </c>
      <c r="H1830" t="s">
        <v>1055</v>
      </c>
      <c r="I1830">
        <v>4</v>
      </c>
      <c r="J1830">
        <v>29</v>
      </c>
      <c r="K1830">
        <f t="shared" ref="K1830:K1893" si="122">I1830*60+J1830</f>
        <v>269</v>
      </c>
      <c r="L1830" t="s">
        <v>763</v>
      </c>
      <c r="Q1830">
        <v>113</v>
      </c>
      <c r="R1830" t="s">
        <v>1364</v>
      </c>
    </row>
    <row r="1831" spans="1:18" x14ac:dyDescent="0.25">
      <c r="A1831" t="s">
        <v>341</v>
      </c>
      <c r="B1831" s="4">
        <v>45099</v>
      </c>
      <c r="C1831" s="9">
        <f t="shared" si="119"/>
        <v>6</v>
      </c>
      <c r="D1831">
        <f t="shared" si="120"/>
        <v>2023</v>
      </c>
      <c r="E1831">
        <f t="shared" si="121"/>
        <v>1</v>
      </c>
      <c r="F1831" t="s">
        <v>1034</v>
      </c>
      <c r="G1831" t="s">
        <v>1056</v>
      </c>
      <c r="H1831" t="s">
        <v>1056</v>
      </c>
      <c r="J1831">
        <v>7</v>
      </c>
      <c r="K1831">
        <f t="shared" si="122"/>
        <v>7</v>
      </c>
      <c r="L1831" t="s">
        <v>763</v>
      </c>
      <c r="M1831" t="s">
        <v>1057</v>
      </c>
      <c r="R1831" t="s">
        <v>1359</v>
      </c>
    </row>
    <row r="1832" spans="1:18" x14ac:dyDescent="0.25">
      <c r="A1832" t="s">
        <v>341</v>
      </c>
      <c r="B1832" s="4">
        <v>45100</v>
      </c>
      <c r="C1832" s="9">
        <f t="shared" si="119"/>
        <v>6</v>
      </c>
      <c r="D1832">
        <f t="shared" si="120"/>
        <v>2023</v>
      </c>
      <c r="E1832">
        <f t="shared" si="121"/>
        <v>1</v>
      </c>
      <c r="F1832" t="s">
        <v>1034</v>
      </c>
      <c r="G1832" t="s">
        <v>1058</v>
      </c>
      <c r="H1832" t="s">
        <v>1059</v>
      </c>
      <c r="I1832">
        <v>3</v>
      </c>
      <c r="J1832">
        <v>30</v>
      </c>
      <c r="K1832">
        <f t="shared" si="122"/>
        <v>210</v>
      </c>
      <c r="L1832" t="s">
        <v>763</v>
      </c>
      <c r="Q1832">
        <v>100</v>
      </c>
      <c r="R1832" t="s">
        <v>1359</v>
      </c>
    </row>
    <row r="1833" spans="1:18" x14ac:dyDescent="0.25">
      <c r="A1833" t="s">
        <v>341</v>
      </c>
      <c r="B1833" s="4">
        <v>45105</v>
      </c>
      <c r="C1833" s="9">
        <f t="shared" si="119"/>
        <v>6</v>
      </c>
      <c r="D1833">
        <f t="shared" si="120"/>
        <v>2023</v>
      </c>
      <c r="E1833">
        <f t="shared" si="121"/>
        <v>1</v>
      </c>
      <c r="F1833" t="s">
        <v>1034</v>
      </c>
      <c r="G1833" t="s">
        <v>101</v>
      </c>
      <c r="H1833" t="s">
        <v>244</v>
      </c>
      <c r="J1833">
        <v>16</v>
      </c>
      <c r="K1833">
        <f t="shared" si="122"/>
        <v>16</v>
      </c>
      <c r="R1833" t="s">
        <v>1348</v>
      </c>
    </row>
    <row r="1834" spans="1:18" x14ac:dyDescent="0.25">
      <c r="A1834" t="s">
        <v>341</v>
      </c>
      <c r="B1834" s="4">
        <v>45105</v>
      </c>
      <c r="C1834" s="9">
        <f t="shared" si="119"/>
        <v>6</v>
      </c>
      <c r="D1834">
        <f t="shared" si="120"/>
        <v>2023</v>
      </c>
      <c r="E1834">
        <f t="shared" si="121"/>
        <v>0</v>
      </c>
      <c r="F1834" t="s">
        <v>1034</v>
      </c>
      <c r="G1834" t="s">
        <v>101</v>
      </c>
      <c r="H1834" t="s">
        <v>635</v>
      </c>
      <c r="J1834">
        <v>56</v>
      </c>
      <c r="K1834">
        <f t="shared" si="122"/>
        <v>56</v>
      </c>
      <c r="R1834" t="s">
        <v>1348</v>
      </c>
    </row>
    <row r="1835" spans="1:18" x14ac:dyDescent="0.25">
      <c r="A1835" t="s">
        <v>341</v>
      </c>
      <c r="B1835" s="4">
        <v>45106</v>
      </c>
      <c r="C1835" s="9">
        <f t="shared" si="119"/>
        <v>6</v>
      </c>
      <c r="D1835">
        <f t="shared" si="120"/>
        <v>2023</v>
      </c>
      <c r="E1835">
        <f t="shared" si="121"/>
        <v>1</v>
      </c>
      <c r="F1835" t="s">
        <v>1034</v>
      </c>
      <c r="G1835" t="s">
        <v>101</v>
      </c>
      <c r="H1835" t="s">
        <v>153</v>
      </c>
      <c r="J1835">
        <v>41</v>
      </c>
      <c r="K1835">
        <f t="shared" si="122"/>
        <v>41</v>
      </c>
      <c r="R1835" t="s">
        <v>1348</v>
      </c>
    </row>
    <row r="1836" spans="1:18" x14ac:dyDescent="0.25">
      <c r="A1836" t="s">
        <v>341</v>
      </c>
      <c r="B1836" s="4">
        <v>45111</v>
      </c>
      <c r="C1836" s="9">
        <f t="shared" si="119"/>
        <v>7</v>
      </c>
      <c r="D1836">
        <f t="shared" si="120"/>
        <v>2023</v>
      </c>
      <c r="E1836">
        <f t="shared" si="121"/>
        <v>1</v>
      </c>
      <c r="F1836" t="s">
        <v>1034</v>
      </c>
      <c r="G1836" t="s">
        <v>101</v>
      </c>
      <c r="H1836" t="s">
        <v>153</v>
      </c>
      <c r="I1836">
        <v>1</v>
      </c>
      <c r="J1836">
        <v>1</v>
      </c>
      <c r="K1836">
        <f t="shared" si="122"/>
        <v>61</v>
      </c>
      <c r="R1836" t="s">
        <v>1348</v>
      </c>
    </row>
    <row r="1837" spans="1:18" x14ac:dyDescent="0.25">
      <c r="A1837" t="s">
        <v>341</v>
      </c>
      <c r="B1837" s="4">
        <v>45114</v>
      </c>
      <c r="C1837" s="9">
        <f t="shared" si="119"/>
        <v>7</v>
      </c>
      <c r="D1837">
        <f t="shared" si="120"/>
        <v>2023</v>
      </c>
      <c r="E1837">
        <f t="shared" si="121"/>
        <v>1</v>
      </c>
      <c r="F1837" t="s">
        <v>1034</v>
      </c>
      <c r="G1837" t="s">
        <v>406</v>
      </c>
      <c r="H1837" t="s">
        <v>153</v>
      </c>
      <c r="I1837">
        <v>2</v>
      </c>
      <c r="J1837">
        <v>0</v>
      </c>
      <c r="K1837">
        <f t="shared" si="122"/>
        <v>120</v>
      </c>
      <c r="M1837" t="s">
        <v>1060</v>
      </c>
      <c r="R1837" t="s">
        <v>1348</v>
      </c>
    </row>
    <row r="1838" spans="1:18" x14ac:dyDescent="0.25">
      <c r="A1838" t="s">
        <v>341</v>
      </c>
      <c r="B1838" s="4">
        <v>45116</v>
      </c>
      <c r="C1838" s="9">
        <f t="shared" si="119"/>
        <v>7</v>
      </c>
      <c r="D1838">
        <f t="shared" si="120"/>
        <v>2023</v>
      </c>
      <c r="E1838">
        <f t="shared" si="121"/>
        <v>1</v>
      </c>
      <c r="F1838" t="s">
        <v>1034</v>
      </c>
      <c r="G1838" t="s">
        <v>406</v>
      </c>
      <c r="H1838" t="s">
        <v>1061</v>
      </c>
      <c r="I1838">
        <v>3</v>
      </c>
      <c r="J1838">
        <v>26</v>
      </c>
      <c r="K1838">
        <f t="shared" si="122"/>
        <v>206</v>
      </c>
      <c r="M1838" t="s">
        <v>587</v>
      </c>
      <c r="R1838" t="s">
        <v>1348</v>
      </c>
    </row>
    <row r="1839" spans="1:18" x14ac:dyDescent="0.25">
      <c r="A1839" t="s">
        <v>341</v>
      </c>
      <c r="B1839" s="4">
        <v>45117</v>
      </c>
      <c r="C1839" s="9">
        <f t="shared" si="119"/>
        <v>7</v>
      </c>
      <c r="D1839">
        <f t="shared" si="120"/>
        <v>2023</v>
      </c>
      <c r="E1839">
        <f t="shared" si="121"/>
        <v>1</v>
      </c>
      <c r="F1839" t="s">
        <v>1034</v>
      </c>
      <c r="G1839" t="s">
        <v>406</v>
      </c>
      <c r="H1839" t="s">
        <v>244</v>
      </c>
      <c r="I1839">
        <v>1</v>
      </c>
      <c r="J1839">
        <v>4</v>
      </c>
      <c r="K1839">
        <f t="shared" si="122"/>
        <v>64</v>
      </c>
      <c r="M1839" t="s">
        <v>587</v>
      </c>
      <c r="R1839" t="s">
        <v>1348</v>
      </c>
    </row>
    <row r="1840" spans="1:18" x14ac:dyDescent="0.25">
      <c r="A1840" t="s">
        <v>341</v>
      </c>
      <c r="B1840" s="4">
        <v>45118</v>
      </c>
      <c r="C1840" s="9">
        <f t="shared" si="119"/>
        <v>7</v>
      </c>
      <c r="D1840">
        <f t="shared" si="120"/>
        <v>2023</v>
      </c>
      <c r="E1840">
        <f t="shared" si="121"/>
        <v>1</v>
      </c>
      <c r="F1840" t="s">
        <v>1034</v>
      </c>
      <c r="G1840" t="s">
        <v>101</v>
      </c>
      <c r="H1840" t="s">
        <v>153</v>
      </c>
      <c r="I1840">
        <v>1</v>
      </c>
      <c r="J1840">
        <v>13</v>
      </c>
      <c r="K1840">
        <f t="shared" si="122"/>
        <v>73</v>
      </c>
      <c r="R1840" t="s">
        <v>1348</v>
      </c>
    </row>
    <row r="1841" spans="1:18" x14ac:dyDescent="0.25">
      <c r="A1841" t="s">
        <v>341</v>
      </c>
      <c r="B1841" s="4">
        <v>45127</v>
      </c>
      <c r="C1841" s="9">
        <f t="shared" si="119"/>
        <v>7</v>
      </c>
      <c r="D1841">
        <f t="shared" si="120"/>
        <v>2023</v>
      </c>
      <c r="E1841">
        <f t="shared" si="121"/>
        <v>1</v>
      </c>
      <c r="F1841" t="s">
        <v>1034</v>
      </c>
      <c r="G1841" t="s">
        <v>101</v>
      </c>
      <c r="H1841" t="s">
        <v>153</v>
      </c>
      <c r="I1841">
        <v>1</v>
      </c>
      <c r="J1841">
        <v>27</v>
      </c>
      <c r="K1841">
        <f t="shared" si="122"/>
        <v>87</v>
      </c>
      <c r="R1841" t="s">
        <v>1348</v>
      </c>
    </row>
    <row r="1842" spans="1:18" x14ac:dyDescent="0.25">
      <c r="A1842" t="s">
        <v>341</v>
      </c>
      <c r="B1842" s="4">
        <v>45129</v>
      </c>
      <c r="C1842" s="9">
        <f t="shared" si="119"/>
        <v>7</v>
      </c>
      <c r="D1842">
        <f t="shared" si="120"/>
        <v>2023</v>
      </c>
      <c r="E1842">
        <f>IF(OR(A1842 = "GS",A1842 = "BP"),IF( OR(A1841="GS",A1841="BP"),IF(B1841=B1842,0,1),1),0)</f>
        <v>1</v>
      </c>
      <c r="F1842" t="s">
        <v>1034</v>
      </c>
      <c r="G1842" t="s">
        <v>101</v>
      </c>
      <c r="H1842" t="s">
        <v>244</v>
      </c>
      <c r="J1842">
        <v>45</v>
      </c>
      <c r="K1842">
        <f t="shared" si="122"/>
        <v>45</v>
      </c>
      <c r="R1842" t="s">
        <v>1348</v>
      </c>
    </row>
    <row r="1843" spans="1:18" x14ac:dyDescent="0.25">
      <c r="A1843" t="s">
        <v>341</v>
      </c>
      <c r="B1843" s="4">
        <v>45134</v>
      </c>
      <c r="C1843" s="9">
        <f t="shared" si="119"/>
        <v>7</v>
      </c>
      <c r="D1843">
        <f t="shared" si="120"/>
        <v>2023</v>
      </c>
      <c r="E1843">
        <f>IF(OR(A1843 = "GS",A1843 = "BP"),IF( OR(A1842="GS",A1842="BP"),IF(B1842=B1843,0,1),1),0)</f>
        <v>1</v>
      </c>
      <c r="F1843" t="s">
        <v>1034</v>
      </c>
      <c r="G1843" t="s">
        <v>101</v>
      </c>
      <c r="H1843" t="s">
        <v>153</v>
      </c>
      <c r="I1843">
        <v>1</v>
      </c>
      <c r="J1843">
        <v>33</v>
      </c>
      <c r="K1843">
        <f t="shared" si="122"/>
        <v>93</v>
      </c>
      <c r="R1843" t="s">
        <v>1348</v>
      </c>
    </row>
    <row r="1844" spans="1:18" x14ac:dyDescent="0.25">
      <c r="A1844" t="s">
        <v>341</v>
      </c>
      <c r="B1844" s="4">
        <v>45135</v>
      </c>
      <c r="C1844" s="9">
        <f t="shared" si="119"/>
        <v>7</v>
      </c>
      <c r="D1844">
        <f t="shared" si="120"/>
        <v>2023</v>
      </c>
      <c r="E1844">
        <f t="shared" si="121"/>
        <v>1</v>
      </c>
      <c r="F1844" t="s">
        <v>1034</v>
      </c>
      <c r="G1844" t="s">
        <v>101</v>
      </c>
      <c r="H1844" t="s">
        <v>153</v>
      </c>
      <c r="I1844">
        <v>1</v>
      </c>
      <c r="J1844">
        <v>0</v>
      </c>
      <c r="K1844">
        <f t="shared" si="122"/>
        <v>60</v>
      </c>
      <c r="R1844" t="s">
        <v>1348</v>
      </c>
    </row>
    <row r="1845" spans="1:18" x14ac:dyDescent="0.25">
      <c r="A1845" t="s">
        <v>341</v>
      </c>
      <c r="B1845" s="4">
        <v>45138</v>
      </c>
      <c r="C1845" s="9">
        <f t="shared" si="119"/>
        <v>7</v>
      </c>
      <c r="D1845">
        <f t="shared" si="120"/>
        <v>2023</v>
      </c>
      <c r="E1845">
        <f>IF(OR(A1845 = "GS",A1845 = "BP"),IF( OR(A1844="GS",A1844="BP"),IF(B1844=B1845,0,1),1),0)</f>
        <v>1</v>
      </c>
      <c r="F1845" t="s">
        <v>1034</v>
      </c>
      <c r="G1845" t="s">
        <v>101</v>
      </c>
      <c r="H1845" t="s">
        <v>741</v>
      </c>
      <c r="I1845">
        <v>1</v>
      </c>
      <c r="J1845">
        <v>23</v>
      </c>
      <c r="K1845">
        <f t="shared" si="122"/>
        <v>83</v>
      </c>
      <c r="M1845" t="s">
        <v>1062</v>
      </c>
      <c r="R1845" t="s">
        <v>1348</v>
      </c>
    </row>
    <row r="1846" spans="1:18" x14ac:dyDescent="0.25">
      <c r="A1846" t="s">
        <v>341</v>
      </c>
      <c r="B1846" s="4">
        <v>45142</v>
      </c>
      <c r="C1846" s="9">
        <f t="shared" si="119"/>
        <v>8</v>
      </c>
      <c r="D1846">
        <f t="shared" si="120"/>
        <v>2023</v>
      </c>
      <c r="E1846">
        <f>IF(OR(A1846 = "GS",A1846 = "BP"),IF( OR(A1845="GS",A1845="BP"),IF(B1845=B1846,0,1),1),0)</f>
        <v>1</v>
      </c>
      <c r="F1846" t="s">
        <v>1034</v>
      </c>
      <c r="G1846" t="s">
        <v>101</v>
      </c>
      <c r="H1846" t="s">
        <v>153</v>
      </c>
      <c r="J1846">
        <v>53</v>
      </c>
      <c r="K1846">
        <f t="shared" si="122"/>
        <v>53</v>
      </c>
      <c r="R1846" t="s">
        <v>1348</v>
      </c>
    </row>
    <row r="1847" spans="1:18" x14ac:dyDescent="0.25">
      <c r="A1847" t="s">
        <v>341</v>
      </c>
      <c r="B1847" s="4">
        <v>45146</v>
      </c>
      <c r="C1847" s="9">
        <f t="shared" si="119"/>
        <v>8</v>
      </c>
      <c r="D1847">
        <f t="shared" si="120"/>
        <v>2023</v>
      </c>
      <c r="E1847">
        <f t="shared" si="121"/>
        <v>1</v>
      </c>
      <c r="F1847" t="s">
        <v>1034</v>
      </c>
      <c r="G1847" t="s">
        <v>101</v>
      </c>
      <c r="H1847" t="s">
        <v>244</v>
      </c>
      <c r="J1847">
        <v>46</v>
      </c>
      <c r="K1847">
        <f t="shared" si="122"/>
        <v>46</v>
      </c>
      <c r="R1847" t="s">
        <v>1348</v>
      </c>
    </row>
    <row r="1848" spans="1:18" x14ac:dyDescent="0.25">
      <c r="A1848" t="s">
        <v>341</v>
      </c>
      <c r="B1848" s="4">
        <v>45147</v>
      </c>
      <c r="C1848" s="9">
        <f t="shared" si="119"/>
        <v>8</v>
      </c>
      <c r="D1848">
        <f t="shared" si="120"/>
        <v>2023</v>
      </c>
      <c r="E1848">
        <f t="shared" si="121"/>
        <v>1</v>
      </c>
      <c r="F1848" t="s">
        <v>1034</v>
      </c>
      <c r="G1848" t="s">
        <v>101</v>
      </c>
      <c r="H1848" t="s">
        <v>244</v>
      </c>
      <c r="J1848">
        <v>36</v>
      </c>
      <c r="K1848">
        <f t="shared" si="122"/>
        <v>36</v>
      </c>
      <c r="R1848" t="s">
        <v>1348</v>
      </c>
    </row>
    <row r="1849" spans="1:18" x14ac:dyDescent="0.25">
      <c r="A1849" t="s">
        <v>341</v>
      </c>
      <c r="B1849" s="4">
        <v>45148</v>
      </c>
      <c r="C1849" s="9">
        <f t="shared" si="119"/>
        <v>8</v>
      </c>
      <c r="D1849">
        <f t="shared" si="120"/>
        <v>2023</v>
      </c>
      <c r="E1849">
        <f t="shared" si="121"/>
        <v>1</v>
      </c>
      <c r="F1849" t="s">
        <v>1034</v>
      </c>
      <c r="G1849" t="s">
        <v>406</v>
      </c>
      <c r="H1849" t="s">
        <v>153</v>
      </c>
      <c r="I1849">
        <v>1</v>
      </c>
      <c r="J1849">
        <v>10</v>
      </c>
      <c r="K1849">
        <f t="shared" si="122"/>
        <v>70</v>
      </c>
      <c r="M1849" t="s">
        <v>587</v>
      </c>
      <c r="R1849" t="s">
        <v>1348</v>
      </c>
    </row>
    <row r="1850" spans="1:18" x14ac:dyDescent="0.25">
      <c r="A1850" t="s">
        <v>341</v>
      </c>
      <c r="B1850" s="4">
        <v>45149</v>
      </c>
      <c r="C1850" s="9">
        <f t="shared" si="119"/>
        <v>8</v>
      </c>
      <c r="D1850">
        <f t="shared" si="120"/>
        <v>2023</v>
      </c>
      <c r="E1850">
        <f t="shared" si="121"/>
        <v>1</v>
      </c>
      <c r="F1850" t="s">
        <v>1034</v>
      </c>
      <c r="G1850" t="s">
        <v>406</v>
      </c>
      <c r="H1850" t="s">
        <v>1063</v>
      </c>
      <c r="I1850">
        <v>4</v>
      </c>
      <c r="J1850">
        <v>56</v>
      </c>
      <c r="K1850">
        <f t="shared" si="122"/>
        <v>296</v>
      </c>
      <c r="M1850" t="s">
        <v>587</v>
      </c>
      <c r="R1850" t="s">
        <v>1348</v>
      </c>
    </row>
    <row r="1851" spans="1:18" x14ac:dyDescent="0.25">
      <c r="A1851" t="s">
        <v>341</v>
      </c>
      <c r="B1851" s="4">
        <v>45150</v>
      </c>
      <c r="C1851" s="9">
        <f t="shared" si="119"/>
        <v>8</v>
      </c>
      <c r="D1851">
        <f t="shared" si="120"/>
        <v>2023</v>
      </c>
      <c r="E1851">
        <f t="shared" si="121"/>
        <v>1</v>
      </c>
      <c r="F1851" t="s">
        <v>1034</v>
      </c>
      <c r="G1851" t="s">
        <v>409</v>
      </c>
      <c r="H1851" t="s">
        <v>153</v>
      </c>
      <c r="I1851">
        <v>2</v>
      </c>
      <c r="J1851">
        <v>1</v>
      </c>
      <c r="K1851">
        <f t="shared" si="122"/>
        <v>121</v>
      </c>
      <c r="M1851" t="s">
        <v>1064</v>
      </c>
      <c r="R1851" t="s">
        <v>1348</v>
      </c>
    </row>
    <row r="1852" spans="1:18" x14ac:dyDescent="0.25">
      <c r="A1852" t="s">
        <v>341</v>
      </c>
      <c r="B1852" s="4">
        <v>45151</v>
      </c>
      <c r="C1852" s="9">
        <f t="shared" si="119"/>
        <v>8</v>
      </c>
      <c r="D1852">
        <f t="shared" si="120"/>
        <v>2023</v>
      </c>
      <c r="E1852">
        <f t="shared" si="121"/>
        <v>1</v>
      </c>
      <c r="F1852" t="s">
        <v>1034</v>
      </c>
      <c r="G1852" t="s">
        <v>409</v>
      </c>
      <c r="H1852" t="s">
        <v>741</v>
      </c>
      <c r="I1852">
        <v>2</v>
      </c>
      <c r="J1852">
        <v>20</v>
      </c>
      <c r="K1852">
        <f t="shared" si="122"/>
        <v>140</v>
      </c>
      <c r="M1852" t="s">
        <v>1064</v>
      </c>
      <c r="R1852" t="s">
        <v>1348</v>
      </c>
    </row>
    <row r="1853" spans="1:18" x14ac:dyDescent="0.25">
      <c r="A1853" t="s">
        <v>341</v>
      </c>
      <c r="B1853" s="4">
        <v>45152</v>
      </c>
      <c r="C1853" s="9">
        <f t="shared" si="119"/>
        <v>8</v>
      </c>
      <c r="D1853">
        <f t="shared" si="120"/>
        <v>2023</v>
      </c>
      <c r="E1853">
        <f t="shared" si="121"/>
        <v>1</v>
      </c>
      <c r="F1853" t="s">
        <v>1034</v>
      </c>
      <c r="G1853" t="s">
        <v>409</v>
      </c>
      <c r="H1853" t="s">
        <v>741</v>
      </c>
      <c r="J1853">
        <v>33</v>
      </c>
      <c r="K1853">
        <f t="shared" si="122"/>
        <v>33</v>
      </c>
      <c r="R1853" t="s">
        <v>1348</v>
      </c>
    </row>
    <row r="1854" spans="1:18" x14ac:dyDescent="0.25">
      <c r="A1854" t="s">
        <v>341</v>
      </c>
      <c r="B1854" s="4">
        <v>45153</v>
      </c>
      <c r="C1854" s="9">
        <f t="shared" si="119"/>
        <v>8</v>
      </c>
      <c r="D1854">
        <f t="shared" si="120"/>
        <v>2023</v>
      </c>
      <c r="E1854">
        <f t="shared" si="121"/>
        <v>1</v>
      </c>
      <c r="F1854" t="s">
        <v>1034</v>
      </c>
      <c r="G1854" t="s">
        <v>409</v>
      </c>
      <c r="H1854" t="s">
        <v>153</v>
      </c>
      <c r="I1854">
        <v>1</v>
      </c>
      <c r="J1854">
        <v>27</v>
      </c>
      <c r="K1854">
        <f t="shared" si="122"/>
        <v>87</v>
      </c>
      <c r="R1854" t="s">
        <v>1348</v>
      </c>
    </row>
    <row r="1855" spans="1:18" x14ac:dyDescent="0.25">
      <c r="A1855" t="s">
        <v>341</v>
      </c>
      <c r="B1855" s="4">
        <v>45156</v>
      </c>
      <c r="C1855" s="9">
        <f t="shared" si="119"/>
        <v>8</v>
      </c>
      <c r="D1855">
        <f t="shared" si="120"/>
        <v>2023</v>
      </c>
      <c r="E1855">
        <f t="shared" si="121"/>
        <v>1</v>
      </c>
      <c r="F1855" t="s">
        <v>1034</v>
      </c>
      <c r="G1855" t="s">
        <v>409</v>
      </c>
      <c r="H1855" t="s">
        <v>153</v>
      </c>
      <c r="I1855">
        <v>1</v>
      </c>
      <c r="J1855">
        <v>32</v>
      </c>
      <c r="K1855">
        <f t="shared" si="122"/>
        <v>92</v>
      </c>
      <c r="R1855" t="s">
        <v>1348</v>
      </c>
    </row>
    <row r="1856" spans="1:18" x14ac:dyDescent="0.25">
      <c r="A1856" t="s">
        <v>341</v>
      </c>
      <c r="B1856" s="4">
        <v>45157</v>
      </c>
      <c r="C1856" s="9">
        <f t="shared" si="119"/>
        <v>8</v>
      </c>
      <c r="D1856">
        <f t="shared" si="120"/>
        <v>2023</v>
      </c>
      <c r="E1856">
        <f t="shared" si="121"/>
        <v>1</v>
      </c>
      <c r="F1856" t="s">
        <v>1034</v>
      </c>
      <c r="G1856" t="s">
        <v>406</v>
      </c>
      <c r="H1856" t="s">
        <v>244</v>
      </c>
      <c r="I1856">
        <v>1</v>
      </c>
      <c r="J1856">
        <v>31</v>
      </c>
      <c r="K1856">
        <f t="shared" si="122"/>
        <v>91</v>
      </c>
      <c r="R1856" t="s">
        <v>1348</v>
      </c>
    </row>
    <row r="1857" spans="1:18" x14ac:dyDescent="0.25">
      <c r="A1857" t="s">
        <v>341</v>
      </c>
      <c r="B1857" s="4">
        <v>45159</v>
      </c>
      <c r="C1857" s="9">
        <f t="shared" si="119"/>
        <v>8</v>
      </c>
      <c r="D1857">
        <f t="shared" si="120"/>
        <v>2023</v>
      </c>
      <c r="E1857">
        <f t="shared" si="121"/>
        <v>1</v>
      </c>
      <c r="F1857" t="s">
        <v>1034</v>
      </c>
      <c r="G1857" t="s">
        <v>406</v>
      </c>
      <c r="H1857" t="s">
        <v>244</v>
      </c>
      <c r="J1857">
        <v>13</v>
      </c>
      <c r="K1857">
        <f t="shared" si="122"/>
        <v>13</v>
      </c>
      <c r="M1857" t="s">
        <v>1065</v>
      </c>
      <c r="R1857" t="s">
        <v>1348</v>
      </c>
    </row>
    <row r="1858" spans="1:18" x14ac:dyDescent="0.25">
      <c r="A1858" t="s">
        <v>341</v>
      </c>
      <c r="B1858" s="4">
        <v>45159</v>
      </c>
      <c r="C1858" s="9">
        <f t="shared" ref="C1858:C1921" si="123">MONTH(B1858)</f>
        <v>8</v>
      </c>
      <c r="D1858">
        <f t="shared" si="120"/>
        <v>2023</v>
      </c>
      <c r="E1858">
        <f t="shared" si="121"/>
        <v>0</v>
      </c>
      <c r="F1858" t="s">
        <v>1034</v>
      </c>
      <c r="G1858" t="s">
        <v>1066</v>
      </c>
      <c r="H1858" t="s">
        <v>1067</v>
      </c>
      <c r="J1858">
        <v>30</v>
      </c>
      <c r="K1858">
        <f t="shared" si="122"/>
        <v>30</v>
      </c>
      <c r="M1858" t="s">
        <v>1068</v>
      </c>
      <c r="R1858" t="s">
        <v>1348</v>
      </c>
    </row>
    <row r="1859" spans="1:18" x14ac:dyDescent="0.25">
      <c r="A1859" t="s">
        <v>341</v>
      </c>
      <c r="B1859" s="4">
        <v>45159</v>
      </c>
      <c r="C1859" s="9">
        <f t="shared" si="123"/>
        <v>8</v>
      </c>
      <c r="D1859">
        <f t="shared" si="120"/>
        <v>2023</v>
      </c>
      <c r="E1859">
        <f t="shared" si="121"/>
        <v>0</v>
      </c>
      <c r="F1859" t="s">
        <v>1034</v>
      </c>
      <c r="G1859" t="s">
        <v>1067</v>
      </c>
      <c r="H1859" t="s">
        <v>436</v>
      </c>
      <c r="J1859">
        <v>48</v>
      </c>
      <c r="K1859">
        <f t="shared" si="122"/>
        <v>48</v>
      </c>
      <c r="R1859" t="s">
        <v>1348</v>
      </c>
    </row>
    <row r="1860" spans="1:18" x14ac:dyDescent="0.25">
      <c r="A1860" t="s">
        <v>341</v>
      </c>
      <c r="B1860" s="4">
        <v>45160</v>
      </c>
      <c r="C1860" s="9">
        <f t="shared" si="123"/>
        <v>8</v>
      </c>
      <c r="D1860">
        <f t="shared" si="120"/>
        <v>2023</v>
      </c>
      <c r="E1860">
        <f t="shared" si="121"/>
        <v>1</v>
      </c>
      <c r="F1860" t="s">
        <v>1034</v>
      </c>
      <c r="G1860" t="s">
        <v>409</v>
      </c>
      <c r="H1860" t="s">
        <v>1069</v>
      </c>
      <c r="I1860">
        <v>2</v>
      </c>
      <c r="J1860">
        <v>14</v>
      </c>
      <c r="K1860">
        <f t="shared" si="122"/>
        <v>134</v>
      </c>
      <c r="R1860" t="s">
        <v>1348</v>
      </c>
    </row>
    <row r="1861" spans="1:18" x14ac:dyDescent="0.25">
      <c r="A1861" t="s">
        <v>341</v>
      </c>
      <c r="B1861" s="4">
        <v>45161</v>
      </c>
      <c r="C1861" s="9">
        <f t="shared" si="123"/>
        <v>8</v>
      </c>
      <c r="D1861">
        <f t="shared" si="120"/>
        <v>2023</v>
      </c>
      <c r="E1861">
        <f t="shared" si="121"/>
        <v>1</v>
      </c>
      <c r="F1861" t="s">
        <v>1034</v>
      </c>
      <c r="G1861" t="s">
        <v>409</v>
      </c>
      <c r="H1861" t="s">
        <v>153</v>
      </c>
      <c r="I1861">
        <v>1</v>
      </c>
      <c r="J1861">
        <v>11</v>
      </c>
      <c r="K1861">
        <f t="shared" si="122"/>
        <v>71</v>
      </c>
      <c r="R1861" t="s">
        <v>1348</v>
      </c>
    </row>
    <row r="1862" spans="1:18" x14ac:dyDescent="0.25">
      <c r="A1862" t="s">
        <v>341</v>
      </c>
      <c r="B1862" s="4">
        <v>45162</v>
      </c>
      <c r="C1862" s="9">
        <f t="shared" si="123"/>
        <v>8</v>
      </c>
      <c r="D1862">
        <f t="shared" si="120"/>
        <v>2023</v>
      </c>
      <c r="E1862">
        <f t="shared" si="121"/>
        <v>1</v>
      </c>
      <c r="F1862" t="s">
        <v>1034</v>
      </c>
      <c r="G1862" t="s">
        <v>101</v>
      </c>
      <c r="H1862" t="s">
        <v>244</v>
      </c>
      <c r="I1862">
        <v>1</v>
      </c>
      <c r="J1862">
        <v>53</v>
      </c>
      <c r="K1862">
        <f t="shared" si="122"/>
        <v>113</v>
      </c>
      <c r="R1862" t="s">
        <v>1348</v>
      </c>
    </row>
    <row r="1863" spans="1:18" x14ac:dyDescent="0.25">
      <c r="A1863" t="s">
        <v>341</v>
      </c>
      <c r="B1863" s="4">
        <v>45173</v>
      </c>
      <c r="C1863" s="9">
        <f t="shared" si="123"/>
        <v>9</v>
      </c>
      <c r="D1863">
        <f t="shared" si="120"/>
        <v>2023</v>
      </c>
      <c r="E1863">
        <f t="shared" si="121"/>
        <v>1</v>
      </c>
      <c r="F1863" t="s">
        <v>1034</v>
      </c>
      <c r="G1863" t="s">
        <v>1070</v>
      </c>
      <c r="H1863" t="s">
        <v>1071</v>
      </c>
      <c r="I1863">
        <v>1</v>
      </c>
      <c r="K1863">
        <f t="shared" si="122"/>
        <v>60</v>
      </c>
      <c r="L1863" t="s">
        <v>696</v>
      </c>
      <c r="R1863" t="s">
        <v>1354</v>
      </c>
    </row>
    <row r="1864" spans="1:18" x14ac:dyDescent="0.25">
      <c r="A1864" t="s">
        <v>341</v>
      </c>
      <c r="B1864" s="4">
        <v>45174</v>
      </c>
      <c r="C1864" s="9">
        <f t="shared" si="123"/>
        <v>9</v>
      </c>
      <c r="D1864">
        <f t="shared" si="120"/>
        <v>2023</v>
      </c>
      <c r="E1864">
        <f t="shared" si="121"/>
        <v>1</v>
      </c>
      <c r="F1864" t="s">
        <v>1034</v>
      </c>
      <c r="G1864" t="s">
        <v>1072</v>
      </c>
      <c r="H1864" t="s">
        <v>1073</v>
      </c>
      <c r="I1864">
        <v>2</v>
      </c>
      <c r="J1864">
        <v>13</v>
      </c>
      <c r="K1864">
        <f t="shared" si="122"/>
        <v>133</v>
      </c>
      <c r="L1864" t="s">
        <v>696</v>
      </c>
      <c r="R1864" t="s">
        <v>1354</v>
      </c>
    </row>
    <row r="1865" spans="1:18" x14ac:dyDescent="0.25">
      <c r="A1865" t="s">
        <v>341</v>
      </c>
      <c r="B1865" s="4">
        <v>45175</v>
      </c>
      <c r="C1865" s="9">
        <f t="shared" si="123"/>
        <v>9</v>
      </c>
      <c r="D1865">
        <f t="shared" si="120"/>
        <v>2023</v>
      </c>
      <c r="E1865">
        <f t="shared" si="121"/>
        <v>1</v>
      </c>
      <c r="F1865" t="s">
        <v>1034</v>
      </c>
      <c r="G1865" t="s">
        <v>1074</v>
      </c>
      <c r="H1865" t="s">
        <v>699</v>
      </c>
      <c r="I1865">
        <v>3</v>
      </c>
      <c r="J1865">
        <v>2</v>
      </c>
      <c r="K1865">
        <f t="shared" si="122"/>
        <v>182</v>
      </c>
      <c r="L1865" t="s">
        <v>696</v>
      </c>
      <c r="R1865" t="s">
        <v>1354</v>
      </c>
    </row>
    <row r="1866" spans="1:18" x14ac:dyDescent="0.25">
      <c r="A1866" t="s">
        <v>341</v>
      </c>
      <c r="B1866" s="4">
        <v>45176</v>
      </c>
      <c r="C1866" s="9">
        <f t="shared" si="123"/>
        <v>9</v>
      </c>
      <c r="D1866">
        <f t="shared" si="120"/>
        <v>2023</v>
      </c>
      <c r="E1866">
        <f t="shared" si="121"/>
        <v>1</v>
      </c>
      <c r="F1866" t="s">
        <v>1034</v>
      </c>
      <c r="G1866" t="s">
        <v>707</v>
      </c>
      <c r="H1866" t="s">
        <v>707</v>
      </c>
      <c r="I1866">
        <v>1</v>
      </c>
      <c r="J1866">
        <v>29</v>
      </c>
      <c r="K1866">
        <f t="shared" si="122"/>
        <v>89</v>
      </c>
      <c r="L1866" t="s">
        <v>696</v>
      </c>
      <c r="R1866" t="s">
        <v>1354</v>
      </c>
    </row>
    <row r="1867" spans="1:18" x14ac:dyDescent="0.25">
      <c r="A1867" t="s">
        <v>341</v>
      </c>
      <c r="B1867" s="4">
        <v>45176</v>
      </c>
      <c r="C1867" s="9">
        <f t="shared" si="123"/>
        <v>9</v>
      </c>
      <c r="D1867">
        <f t="shared" si="120"/>
        <v>2023</v>
      </c>
      <c r="E1867">
        <f t="shared" si="121"/>
        <v>0</v>
      </c>
      <c r="F1867" t="s">
        <v>1034</v>
      </c>
      <c r="G1867" t="s">
        <v>707</v>
      </c>
      <c r="H1867" t="s">
        <v>1075</v>
      </c>
      <c r="J1867">
        <v>52</v>
      </c>
      <c r="K1867">
        <f t="shared" si="122"/>
        <v>52</v>
      </c>
      <c r="L1867" t="s">
        <v>696</v>
      </c>
      <c r="R1867" t="s">
        <v>1354</v>
      </c>
    </row>
    <row r="1868" spans="1:18" x14ac:dyDescent="0.25">
      <c r="A1868" t="s">
        <v>341</v>
      </c>
      <c r="B1868" s="4">
        <v>45177</v>
      </c>
      <c r="C1868" s="9">
        <f t="shared" si="123"/>
        <v>9</v>
      </c>
      <c r="D1868">
        <f t="shared" si="120"/>
        <v>2023</v>
      </c>
      <c r="E1868">
        <f t="shared" si="121"/>
        <v>1</v>
      </c>
      <c r="F1868" t="s">
        <v>1034</v>
      </c>
      <c r="G1868" t="s">
        <v>701</v>
      </c>
      <c r="H1868" t="s">
        <v>701</v>
      </c>
      <c r="J1868">
        <v>21</v>
      </c>
      <c r="K1868">
        <f t="shared" si="122"/>
        <v>21</v>
      </c>
      <c r="L1868" t="s">
        <v>696</v>
      </c>
      <c r="R1868" t="s">
        <v>1354</v>
      </c>
    </row>
    <row r="1869" spans="1:18" x14ac:dyDescent="0.25">
      <c r="A1869" t="s">
        <v>341</v>
      </c>
      <c r="B1869" s="4">
        <v>45177</v>
      </c>
      <c r="C1869" s="9">
        <f t="shared" si="123"/>
        <v>9</v>
      </c>
      <c r="D1869">
        <f t="shared" si="120"/>
        <v>2023</v>
      </c>
      <c r="E1869">
        <f t="shared" si="121"/>
        <v>0</v>
      </c>
      <c r="F1869" t="s">
        <v>1034</v>
      </c>
      <c r="G1869" t="s">
        <v>701</v>
      </c>
      <c r="H1869" t="s">
        <v>1076</v>
      </c>
      <c r="J1869">
        <v>43</v>
      </c>
      <c r="K1869">
        <f t="shared" si="122"/>
        <v>43</v>
      </c>
      <c r="L1869" t="s">
        <v>696</v>
      </c>
      <c r="R1869" t="s">
        <v>1354</v>
      </c>
    </row>
    <row r="1870" spans="1:18" x14ac:dyDescent="0.25">
      <c r="A1870" t="s">
        <v>341</v>
      </c>
      <c r="B1870" s="4">
        <v>45179</v>
      </c>
      <c r="C1870" s="9">
        <f t="shared" si="123"/>
        <v>9</v>
      </c>
      <c r="D1870">
        <f t="shared" si="120"/>
        <v>2023</v>
      </c>
      <c r="E1870">
        <f t="shared" si="121"/>
        <v>1</v>
      </c>
      <c r="F1870" t="s">
        <v>1034</v>
      </c>
      <c r="G1870" t="s">
        <v>1077</v>
      </c>
      <c r="H1870" t="s">
        <v>1078</v>
      </c>
      <c r="J1870">
        <v>14</v>
      </c>
      <c r="K1870">
        <f t="shared" si="122"/>
        <v>14</v>
      </c>
      <c r="L1870" t="s">
        <v>696</v>
      </c>
      <c r="R1870" t="s">
        <v>1354</v>
      </c>
    </row>
    <row r="1871" spans="1:18" x14ac:dyDescent="0.25">
      <c r="A1871" t="s">
        <v>341</v>
      </c>
      <c r="B1871" s="4">
        <v>45179</v>
      </c>
      <c r="C1871" s="9">
        <f t="shared" si="123"/>
        <v>9</v>
      </c>
      <c r="D1871">
        <f t="shared" si="120"/>
        <v>2023</v>
      </c>
      <c r="E1871">
        <f t="shared" si="121"/>
        <v>0</v>
      </c>
      <c r="F1871" t="s">
        <v>1034</v>
      </c>
      <c r="G1871" t="s">
        <v>1077</v>
      </c>
      <c r="H1871" t="s">
        <v>1079</v>
      </c>
      <c r="J1871">
        <v>46</v>
      </c>
      <c r="K1871">
        <f t="shared" si="122"/>
        <v>46</v>
      </c>
      <c r="L1871" t="s">
        <v>696</v>
      </c>
      <c r="R1871" t="s">
        <v>1354</v>
      </c>
    </row>
    <row r="1872" spans="1:18" x14ac:dyDescent="0.25">
      <c r="A1872" t="s">
        <v>341</v>
      </c>
      <c r="B1872" s="4">
        <v>45181</v>
      </c>
      <c r="C1872" s="9">
        <f t="shared" si="123"/>
        <v>9</v>
      </c>
      <c r="D1872">
        <f t="shared" si="120"/>
        <v>2023</v>
      </c>
      <c r="E1872">
        <f t="shared" si="121"/>
        <v>1</v>
      </c>
      <c r="F1872" t="s">
        <v>1034</v>
      </c>
      <c r="G1872" t="s">
        <v>1080</v>
      </c>
      <c r="H1872" t="s">
        <v>1081</v>
      </c>
      <c r="I1872">
        <v>3</v>
      </c>
      <c r="J1872">
        <v>13</v>
      </c>
      <c r="K1872">
        <f t="shared" si="122"/>
        <v>193</v>
      </c>
      <c r="L1872" t="s">
        <v>787</v>
      </c>
      <c r="R1872" t="s">
        <v>1354</v>
      </c>
    </row>
    <row r="1873" spans="1:18" x14ac:dyDescent="0.25">
      <c r="A1873" t="s">
        <v>341</v>
      </c>
      <c r="B1873" s="4">
        <v>45182</v>
      </c>
      <c r="C1873" s="9">
        <f t="shared" si="123"/>
        <v>9</v>
      </c>
      <c r="D1873">
        <f t="shared" si="120"/>
        <v>2023</v>
      </c>
      <c r="E1873">
        <f t="shared" si="121"/>
        <v>1</v>
      </c>
      <c r="F1873" t="s">
        <v>1034</v>
      </c>
      <c r="G1873" t="s">
        <v>1082</v>
      </c>
      <c r="H1873" t="s">
        <v>1083</v>
      </c>
      <c r="I1873">
        <v>4</v>
      </c>
      <c r="J1873">
        <v>15</v>
      </c>
      <c r="K1873">
        <f t="shared" si="122"/>
        <v>255</v>
      </c>
      <c r="L1873" t="s">
        <v>787</v>
      </c>
      <c r="R1873" t="s">
        <v>1354</v>
      </c>
    </row>
    <row r="1874" spans="1:18" x14ac:dyDescent="0.25">
      <c r="A1874" t="s">
        <v>341</v>
      </c>
      <c r="B1874" s="4">
        <v>45183</v>
      </c>
      <c r="C1874" s="9">
        <f t="shared" si="123"/>
        <v>9</v>
      </c>
      <c r="D1874">
        <f t="shared" si="120"/>
        <v>2023</v>
      </c>
      <c r="E1874">
        <f t="shared" si="121"/>
        <v>1</v>
      </c>
      <c r="F1874" t="s">
        <v>1034</v>
      </c>
      <c r="G1874" t="s">
        <v>1082</v>
      </c>
      <c r="H1874" t="s">
        <v>790</v>
      </c>
      <c r="J1874">
        <v>26</v>
      </c>
      <c r="K1874">
        <f t="shared" si="122"/>
        <v>26</v>
      </c>
      <c r="L1874" t="s">
        <v>787</v>
      </c>
      <c r="R1874" t="s">
        <v>1354</v>
      </c>
    </row>
    <row r="1875" spans="1:18" x14ac:dyDescent="0.25">
      <c r="A1875" t="s">
        <v>341</v>
      </c>
      <c r="B1875" s="4">
        <v>45184</v>
      </c>
      <c r="C1875" s="9">
        <f t="shared" si="123"/>
        <v>9</v>
      </c>
      <c r="D1875">
        <f t="shared" si="120"/>
        <v>2023</v>
      </c>
      <c r="E1875">
        <f t="shared" si="121"/>
        <v>1</v>
      </c>
      <c r="F1875" t="s">
        <v>1034</v>
      </c>
      <c r="G1875" t="s">
        <v>1084</v>
      </c>
      <c r="H1875" t="s">
        <v>1085</v>
      </c>
      <c r="J1875">
        <v>23</v>
      </c>
      <c r="K1875">
        <f t="shared" si="122"/>
        <v>23</v>
      </c>
      <c r="L1875" t="s">
        <v>787</v>
      </c>
      <c r="R1875" t="s">
        <v>1354</v>
      </c>
    </row>
    <row r="1876" spans="1:18" x14ac:dyDescent="0.25">
      <c r="A1876" t="s">
        <v>341</v>
      </c>
      <c r="B1876" s="4">
        <v>45189</v>
      </c>
      <c r="C1876" s="9">
        <f t="shared" si="123"/>
        <v>9</v>
      </c>
      <c r="D1876">
        <f t="shared" si="120"/>
        <v>2023</v>
      </c>
      <c r="E1876">
        <f t="shared" si="121"/>
        <v>1</v>
      </c>
      <c r="F1876" t="s">
        <v>1034</v>
      </c>
      <c r="G1876" t="s">
        <v>101</v>
      </c>
      <c r="H1876" t="s">
        <v>153</v>
      </c>
      <c r="J1876">
        <v>42</v>
      </c>
      <c r="K1876">
        <f t="shared" si="122"/>
        <v>42</v>
      </c>
      <c r="R1876" t="s">
        <v>1348</v>
      </c>
    </row>
    <row r="1877" spans="1:18" x14ac:dyDescent="0.25">
      <c r="A1877" t="s">
        <v>341</v>
      </c>
      <c r="B1877" s="4">
        <v>45193</v>
      </c>
      <c r="C1877" s="9">
        <f t="shared" si="123"/>
        <v>9</v>
      </c>
      <c r="D1877">
        <f t="shared" si="120"/>
        <v>2023</v>
      </c>
      <c r="E1877">
        <f t="shared" si="121"/>
        <v>1</v>
      </c>
      <c r="F1877" t="s">
        <v>1034</v>
      </c>
      <c r="G1877" t="s">
        <v>101</v>
      </c>
      <c r="H1877" t="s">
        <v>244</v>
      </c>
      <c r="I1877">
        <v>1</v>
      </c>
      <c r="J1877">
        <v>4</v>
      </c>
      <c r="K1877">
        <f t="shared" si="122"/>
        <v>64</v>
      </c>
      <c r="R1877" t="s">
        <v>1348</v>
      </c>
    </row>
    <row r="1878" spans="1:18" x14ac:dyDescent="0.25">
      <c r="A1878" t="s">
        <v>341</v>
      </c>
      <c r="B1878" s="4">
        <v>45194</v>
      </c>
      <c r="C1878" s="9">
        <f t="shared" si="123"/>
        <v>9</v>
      </c>
      <c r="D1878">
        <f t="shared" si="120"/>
        <v>2023</v>
      </c>
      <c r="E1878">
        <f t="shared" si="121"/>
        <v>1</v>
      </c>
      <c r="F1878" t="s">
        <v>1034</v>
      </c>
      <c r="G1878" t="s">
        <v>101</v>
      </c>
      <c r="H1878" t="s">
        <v>244</v>
      </c>
      <c r="J1878">
        <v>43</v>
      </c>
      <c r="K1878">
        <f t="shared" si="122"/>
        <v>43</v>
      </c>
      <c r="R1878" t="s">
        <v>1348</v>
      </c>
    </row>
    <row r="1879" spans="1:18" x14ac:dyDescent="0.25">
      <c r="A1879" t="s">
        <v>341</v>
      </c>
      <c r="B1879" s="4">
        <v>45197</v>
      </c>
      <c r="C1879" s="9">
        <f t="shared" si="123"/>
        <v>9</v>
      </c>
      <c r="D1879">
        <f t="shared" si="120"/>
        <v>2023</v>
      </c>
      <c r="E1879">
        <f t="shared" si="121"/>
        <v>1</v>
      </c>
      <c r="F1879" t="s">
        <v>613</v>
      </c>
      <c r="G1879" t="s">
        <v>1086</v>
      </c>
      <c r="H1879" t="s">
        <v>1087</v>
      </c>
      <c r="J1879">
        <v>7</v>
      </c>
      <c r="K1879">
        <f t="shared" si="122"/>
        <v>7</v>
      </c>
      <c r="M1879" t="s">
        <v>1088</v>
      </c>
      <c r="R1879" t="s">
        <v>1348</v>
      </c>
    </row>
    <row r="1880" spans="1:18" x14ac:dyDescent="0.25">
      <c r="A1880" t="s">
        <v>341</v>
      </c>
      <c r="B1880" s="4">
        <v>45199</v>
      </c>
      <c r="C1880" s="9">
        <f t="shared" si="123"/>
        <v>9</v>
      </c>
      <c r="D1880">
        <f t="shared" si="120"/>
        <v>2023</v>
      </c>
      <c r="E1880">
        <f t="shared" si="121"/>
        <v>1</v>
      </c>
      <c r="F1880" t="s">
        <v>1034</v>
      </c>
      <c r="G1880" t="s">
        <v>1089</v>
      </c>
      <c r="H1880" t="s">
        <v>1089</v>
      </c>
      <c r="J1880">
        <v>59</v>
      </c>
      <c r="K1880">
        <f t="shared" si="122"/>
        <v>59</v>
      </c>
      <c r="L1880" t="s">
        <v>643</v>
      </c>
      <c r="R1880" t="s">
        <v>1351</v>
      </c>
    </row>
    <row r="1881" spans="1:18" x14ac:dyDescent="0.25">
      <c r="A1881" t="s">
        <v>341</v>
      </c>
      <c r="B1881" s="4">
        <v>45200</v>
      </c>
      <c r="C1881" s="9">
        <f t="shared" si="123"/>
        <v>10</v>
      </c>
      <c r="D1881">
        <f t="shared" si="120"/>
        <v>2023</v>
      </c>
      <c r="E1881">
        <f t="shared" si="121"/>
        <v>1</v>
      </c>
      <c r="F1881" t="s">
        <v>1034</v>
      </c>
      <c r="G1881" t="s">
        <v>1090</v>
      </c>
      <c r="H1881" t="s">
        <v>1090</v>
      </c>
      <c r="I1881">
        <v>1</v>
      </c>
      <c r="J1881">
        <v>52</v>
      </c>
      <c r="K1881">
        <f t="shared" si="122"/>
        <v>112</v>
      </c>
      <c r="L1881" t="s">
        <v>643</v>
      </c>
      <c r="R1881" t="s">
        <v>1351</v>
      </c>
    </row>
    <row r="1882" spans="1:18" x14ac:dyDescent="0.25">
      <c r="A1882" t="s">
        <v>341</v>
      </c>
      <c r="B1882" s="4">
        <v>45201</v>
      </c>
      <c r="C1882" s="9">
        <f t="shared" si="123"/>
        <v>10</v>
      </c>
      <c r="D1882">
        <f t="shared" si="120"/>
        <v>2023</v>
      </c>
      <c r="E1882">
        <f t="shared" si="121"/>
        <v>1</v>
      </c>
      <c r="F1882" t="s">
        <v>1034</v>
      </c>
      <c r="G1882" t="s">
        <v>1091</v>
      </c>
      <c r="H1882" t="s">
        <v>1092</v>
      </c>
      <c r="I1882">
        <v>2</v>
      </c>
      <c r="J1882">
        <v>35</v>
      </c>
      <c r="K1882">
        <f t="shared" si="122"/>
        <v>155</v>
      </c>
      <c r="L1882" t="s">
        <v>643</v>
      </c>
      <c r="R1882" t="s">
        <v>1351</v>
      </c>
    </row>
    <row r="1883" spans="1:18" x14ac:dyDescent="0.25">
      <c r="A1883" t="s">
        <v>341</v>
      </c>
      <c r="B1883" s="4">
        <v>45202</v>
      </c>
      <c r="C1883" s="9">
        <f t="shared" si="123"/>
        <v>10</v>
      </c>
      <c r="D1883">
        <f t="shared" si="120"/>
        <v>2023</v>
      </c>
      <c r="E1883">
        <f t="shared" si="121"/>
        <v>1</v>
      </c>
      <c r="F1883" t="s">
        <v>1034</v>
      </c>
      <c r="G1883" t="s">
        <v>564</v>
      </c>
      <c r="H1883" t="s">
        <v>564</v>
      </c>
      <c r="J1883">
        <v>26</v>
      </c>
      <c r="K1883">
        <f t="shared" si="122"/>
        <v>26</v>
      </c>
      <c r="L1883" t="s">
        <v>643</v>
      </c>
      <c r="R1883" t="s">
        <v>1351</v>
      </c>
    </row>
    <row r="1884" spans="1:18" x14ac:dyDescent="0.25">
      <c r="A1884" t="s">
        <v>341</v>
      </c>
      <c r="B1884" s="4">
        <v>45202</v>
      </c>
      <c r="C1884" s="9">
        <f t="shared" si="123"/>
        <v>10</v>
      </c>
      <c r="D1884">
        <f t="shared" si="120"/>
        <v>2023</v>
      </c>
      <c r="E1884">
        <f t="shared" si="121"/>
        <v>0</v>
      </c>
      <c r="F1884" t="s">
        <v>1034</v>
      </c>
      <c r="G1884" t="s">
        <v>564</v>
      </c>
      <c r="H1884" t="s">
        <v>564</v>
      </c>
      <c r="J1884">
        <v>27</v>
      </c>
      <c r="K1884">
        <f t="shared" si="122"/>
        <v>27</v>
      </c>
      <c r="L1884" t="s">
        <v>643</v>
      </c>
      <c r="R1884" t="s">
        <v>1351</v>
      </c>
    </row>
    <row r="1885" spans="1:18" x14ac:dyDescent="0.25">
      <c r="A1885" t="s">
        <v>341</v>
      </c>
      <c r="B1885" s="4">
        <v>45203</v>
      </c>
      <c r="C1885" s="9">
        <f t="shared" si="123"/>
        <v>10</v>
      </c>
      <c r="D1885">
        <f t="shared" si="120"/>
        <v>2023</v>
      </c>
      <c r="E1885">
        <f t="shared" si="121"/>
        <v>1</v>
      </c>
      <c r="F1885" t="s">
        <v>1034</v>
      </c>
      <c r="G1885" t="s">
        <v>563</v>
      </c>
      <c r="H1885" t="s">
        <v>276</v>
      </c>
      <c r="I1885">
        <v>4</v>
      </c>
      <c r="J1885">
        <v>18</v>
      </c>
      <c r="K1885">
        <f t="shared" si="122"/>
        <v>258</v>
      </c>
      <c r="L1885" t="s">
        <v>643</v>
      </c>
      <c r="R1885" t="s">
        <v>1351</v>
      </c>
    </row>
    <row r="1886" spans="1:18" x14ac:dyDescent="0.25">
      <c r="A1886" t="s">
        <v>341</v>
      </c>
      <c r="B1886" s="4">
        <v>45204</v>
      </c>
      <c r="C1886" s="9">
        <f t="shared" si="123"/>
        <v>10</v>
      </c>
      <c r="D1886">
        <f t="shared" si="120"/>
        <v>2023</v>
      </c>
      <c r="E1886">
        <f t="shared" si="121"/>
        <v>1</v>
      </c>
      <c r="F1886" t="s">
        <v>1034</v>
      </c>
      <c r="G1886" t="s">
        <v>563</v>
      </c>
      <c r="H1886" t="s">
        <v>276</v>
      </c>
      <c r="I1886">
        <v>2</v>
      </c>
      <c r="J1886">
        <v>30</v>
      </c>
      <c r="K1886">
        <f t="shared" si="122"/>
        <v>150</v>
      </c>
      <c r="L1886" t="s">
        <v>643</v>
      </c>
      <c r="R1886" t="s">
        <v>1351</v>
      </c>
    </row>
    <row r="1887" spans="1:18" x14ac:dyDescent="0.25">
      <c r="A1887" t="s">
        <v>341</v>
      </c>
      <c r="B1887" s="4">
        <v>45205</v>
      </c>
      <c r="C1887" s="9">
        <f t="shared" si="123"/>
        <v>10</v>
      </c>
      <c r="D1887">
        <f t="shared" si="120"/>
        <v>2023</v>
      </c>
      <c r="E1887">
        <f t="shared" si="121"/>
        <v>1</v>
      </c>
      <c r="F1887" t="s">
        <v>1034</v>
      </c>
      <c r="G1887" t="s">
        <v>566</v>
      </c>
      <c r="H1887" t="s">
        <v>710</v>
      </c>
      <c r="I1887">
        <v>2</v>
      </c>
      <c r="J1887">
        <v>38</v>
      </c>
      <c r="K1887">
        <f t="shared" si="122"/>
        <v>158</v>
      </c>
      <c r="L1887" t="s">
        <v>643</v>
      </c>
      <c r="R1887" t="s">
        <v>1351</v>
      </c>
    </row>
    <row r="1888" spans="1:18" x14ac:dyDescent="0.25">
      <c r="A1888" t="s">
        <v>341</v>
      </c>
      <c r="B1888" s="4">
        <v>45207</v>
      </c>
      <c r="C1888" s="9">
        <f t="shared" si="123"/>
        <v>10</v>
      </c>
      <c r="D1888">
        <f t="shared" si="120"/>
        <v>2023</v>
      </c>
      <c r="E1888">
        <f t="shared" si="121"/>
        <v>1</v>
      </c>
      <c r="F1888" t="s">
        <v>1034</v>
      </c>
      <c r="G1888" t="s">
        <v>101</v>
      </c>
      <c r="H1888" t="s">
        <v>741</v>
      </c>
      <c r="I1888">
        <v>1</v>
      </c>
      <c r="J1888">
        <v>37</v>
      </c>
      <c r="K1888">
        <f t="shared" si="122"/>
        <v>97</v>
      </c>
      <c r="R1888" t="s">
        <v>1348</v>
      </c>
    </row>
    <row r="1889" spans="1:18" x14ac:dyDescent="0.25">
      <c r="A1889" t="s">
        <v>341</v>
      </c>
      <c r="B1889" s="4">
        <v>45208</v>
      </c>
      <c r="C1889" s="9">
        <f t="shared" si="123"/>
        <v>10</v>
      </c>
      <c r="D1889">
        <f t="shared" si="120"/>
        <v>2023</v>
      </c>
      <c r="E1889">
        <f t="shared" si="121"/>
        <v>1</v>
      </c>
      <c r="F1889" t="s">
        <v>1034</v>
      </c>
      <c r="G1889" t="s">
        <v>101</v>
      </c>
      <c r="H1889" t="s">
        <v>244</v>
      </c>
      <c r="J1889">
        <v>53</v>
      </c>
      <c r="K1889">
        <f t="shared" si="122"/>
        <v>53</v>
      </c>
      <c r="R1889" t="s">
        <v>1348</v>
      </c>
    </row>
    <row r="1890" spans="1:18" x14ac:dyDescent="0.25">
      <c r="A1890" t="s">
        <v>341</v>
      </c>
      <c r="B1890" s="4">
        <v>45209</v>
      </c>
      <c r="C1890" s="9">
        <f t="shared" si="123"/>
        <v>10</v>
      </c>
      <c r="D1890">
        <f t="shared" si="120"/>
        <v>2023</v>
      </c>
      <c r="E1890">
        <f t="shared" si="121"/>
        <v>1</v>
      </c>
      <c r="F1890" t="s">
        <v>1034</v>
      </c>
      <c r="G1890" t="s">
        <v>101</v>
      </c>
      <c r="H1890" t="s">
        <v>153</v>
      </c>
      <c r="I1890">
        <v>1</v>
      </c>
      <c r="J1890">
        <v>17</v>
      </c>
      <c r="K1890">
        <f t="shared" si="122"/>
        <v>77</v>
      </c>
      <c r="R1890" t="s">
        <v>1348</v>
      </c>
    </row>
    <row r="1891" spans="1:18" x14ac:dyDescent="0.25">
      <c r="A1891" t="s">
        <v>341</v>
      </c>
      <c r="B1891" s="4">
        <v>45210</v>
      </c>
      <c r="C1891" s="9">
        <f t="shared" si="123"/>
        <v>10</v>
      </c>
      <c r="D1891">
        <f t="shared" si="120"/>
        <v>2023</v>
      </c>
      <c r="E1891">
        <f t="shared" si="121"/>
        <v>1</v>
      </c>
      <c r="F1891" t="s">
        <v>1034</v>
      </c>
      <c r="G1891" t="s">
        <v>101</v>
      </c>
      <c r="H1891" t="s">
        <v>153</v>
      </c>
      <c r="I1891">
        <v>1</v>
      </c>
      <c r="J1891">
        <v>40</v>
      </c>
      <c r="K1891">
        <f t="shared" si="122"/>
        <v>100</v>
      </c>
      <c r="R1891" t="s">
        <v>1348</v>
      </c>
    </row>
    <row r="1892" spans="1:18" x14ac:dyDescent="0.25">
      <c r="A1892" t="s">
        <v>341</v>
      </c>
      <c r="B1892" s="4">
        <v>45211</v>
      </c>
      <c r="C1892" s="9">
        <f t="shared" si="123"/>
        <v>10</v>
      </c>
      <c r="D1892">
        <f t="shared" si="120"/>
        <v>2023</v>
      </c>
      <c r="E1892">
        <f t="shared" si="121"/>
        <v>1</v>
      </c>
      <c r="F1892" t="s">
        <v>1034</v>
      </c>
      <c r="G1892" t="s">
        <v>101</v>
      </c>
      <c r="H1892" t="s">
        <v>741</v>
      </c>
      <c r="J1892">
        <v>33</v>
      </c>
      <c r="K1892">
        <f t="shared" si="122"/>
        <v>33</v>
      </c>
      <c r="R1892" t="s">
        <v>1348</v>
      </c>
    </row>
    <row r="1893" spans="1:18" x14ac:dyDescent="0.25">
      <c r="A1893" t="s">
        <v>341</v>
      </c>
      <c r="B1893" s="4">
        <v>45220</v>
      </c>
      <c r="C1893" s="9">
        <f t="shared" si="123"/>
        <v>10</v>
      </c>
      <c r="D1893">
        <f t="shared" si="120"/>
        <v>2023</v>
      </c>
      <c r="E1893">
        <f t="shared" si="121"/>
        <v>1</v>
      </c>
      <c r="F1893" t="s">
        <v>613</v>
      </c>
      <c r="G1893" t="s">
        <v>101</v>
      </c>
      <c r="H1893" t="s">
        <v>244</v>
      </c>
      <c r="J1893">
        <v>10</v>
      </c>
      <c r="K1893">
        <f t="shared" si="122"/>
        <v>10</v>
      </c>
      <c r="M1893" t="s">
        <v>1093</v>
      </c>
      <c r="R1893" t="s">
        <v>1348</v>
      </c>
    </row>
    <row r="1894" spans="1:18" x14ac:dyDescent="0.25">
      <c r="A1894" t="s">
        <v>341</v>
      </c>
      <c r="B1894" s="4">
        <v>45221</v>
      </c>
      <c r="C1894" s="9">
        <f t="shared" si="123"/>
        <v>10</v>
      </c>
      <c r="D1894">
        <f t="shared" ref="D1894:D1957" si="124">YEAR(B1894)</f>
        <v>2023</v>
      </c>
      <c r="E1894">
        <f t="shared" ref="E1894:E1957" si="125">IF(OR(A1894 = "GS",A1894 = "BP"),IF( OR(A1893="GS",A1893="BP"),IF(B1893=B1894,0,1),1),0)</f>
        <v>1</v>
      </c>
      <c r="F1894" t="s">
        <v>1034</v>
      </c>
      <c r="G1894" t="s">
        <v>101</v>
      </c>
      <c r="H1894" t="s">
        <v>741</v>
      </c>
      <c r="I1894">
        <v>1</v>
      </c>
      <c r="J1894">
        <v>39</v>
      </c>
      <c r="K1894">
        <f t="shared" ref="K1894:K1957" si="126">I1894*60+J1894</f>
        <v>99</v>
      </c>
      <c r="M1894" t="s">
        <v>1095</v>
      </c>
      <c r="R1894" t="s">
        <v>1348</v>
      </c>
    </row>
    <row r="1895" spans="1:18" x14ac:dyDescent="0.25">
      <c r="A1895" t="s">
        <v>341</v>
      </c>
      <c r="B1895" s="4">
        <v>45227</v>
      </c>
      <c r="C1895" s="9">
        <f t="shared" si="123"/>
        <v>10</v>
      </c>
      <c r="D1895">
        <f t="shared" si="124"/>
        <v>2023</v>
      </c>
      <c r="E1895">
        <f t="shared" si="125"/>
        <v>1</v>
      </c>
      <c r="F1895" t="s">
        <v>1034</v>
      </c>
      <c r="G1895" t="s">
        <v>101</v>
      </c>
      <c r="H1895" t="s">
        <v>741</v>
      </c>
      <c r="J1895">
        <v>35</v>
      </c>
      <c r="K1895">
        <f t="shared" si="126"/>
        <v>35</v>
      </c>
      <c r="M1895" t="s">
        <v>1098</v>
      </c>
      <c r="R1895" t="s">
        <v>1348</v>
      </c>
    </row>
    <row r="1896" spans="1:18" x14ac:dyDescent="0.25">
      <c r="A1896" t="s">
        <v>341</v>
      </c>
      <c r="B1896" s="4">
        <v>45235</v>
      </c>
      <c r="C1896" s="9">
        <f t="shared" si="123"/>
        <v>11</v>
      </c>
      <c r="D1896">
        <f t="shared" si="124"/>
        <v>2023</v>
      </c>
      <c r="E1896">
        <f t="shared" si="125"/>
        <v>1</v>
      </c>
      <c r="F1896" t="s">
        <v>1034</v>
      </c>
      <c r="G1896" t="s">
        <v>1107</v>
      </c>
      <c r="H1896" t="s">
        <v>1107</v>
      </c>
      <c r="I1896">
        <v>1</v>
      </c>
      <c r="J1896">
        <v>7</v>
      </c>
      <c r="K1896">
        <f t="shared" si="126"/>
        <v>67</v>
      </c>
      <c r="L1896" t="s">
        <v>1099</v>
      </c>
      <c r="R1896" t="s">
        <v>1354</v>
      </c>
    </row>
    <row r="1897" spans="1:18" x14ac:dyDescent="0.25">
      <c r="A1897" t="s">
        <v>341</v>
      </c>
      <c r="B1897" s="4">
        <v>45236</v>
      </c>
      <c r="C1897" s="9">
        <f t="shared" si="123"/>
        <v>11</v>
      </c>
      <c r="D1897">
        <f t="shared" si="124"/>
        <v>2023</v>
      </c>
      <c r="E1897">
        <f t="shared" si="125"/>
        <v>1</v>
      </c>
      <c r="F1897" t="s">
        <v>1034</v>
      </c>
      <c r="G1897" t="s">
        <v>1100</v>
      </c>
      <c r="H1897" t="s">
        <v>1101</v>
      </c>
      <c r="I1897">
        <v>1</v>
      </c>
      <c r="J1897">
        <v>16</v>
      </c>
      <c r="K1897">
        <f t="shared" si="126"/>
        <v>76</v>
      </c>
      <c r="L1897" t="s">
        <v>1099</v>
      </c>
      <c r="R1897" t="s">
        <v>1354</v>
      </c>
    </row>
    <row r="1898" spans="1:18" x14ac:dyDescent="0.25">
      <c r="A1898" t="s">
        <v>341</v>
      </c>
      <c r="B1898" s="4">
        <v>45237</v>
      </c>
      <c r="C1898" s="9">
        <f t="shared" si="123"/>
        <v>11</v>
      </c>
      <c r="D1898">
        <f t="shared" si="124"/>
        <v>2023</v>
      </c>
      <c r="E1898">
        <f t="shared" si="125"/>
        <v>1</v>
      </c>
      <c r="F1898" t="s">
        <v>1034</v>
      </c>
      <c r="G1898" t="s">
        <v>1102</v>
      </c>
      <c r="H1898" t="s">
        <v>1103</v>
      </c>
      <c r="I1898">
        <v>1</v>
      </c>
      <c r="J1898">
        <v>30</v>
      </c>
      <c r="K1898">
        <f t="shared" si="126"/>
        <v>90</v>
      </c>
      <c r="L1898" t="s">
        <v>1099</v>
      </c>
      <c r="R1898" t="s">
        <v>1354</v>
      </c>
    </row>
    <row r="1899" spans="1:18" x14ac:dyDescent="0.25">
      <c r="A1899" t="s">
        <v>341</v>
      </c>
      <c r="B1899" s="4">
        <v>45238</v>
      </c>
      <c r="C1899" s="9">
        <f t="shared" si="123"/>
        <v>11</v>
      </c>
      <c r="D1899">
        <f t="shared" si="124"/>
        <v>2023</v>
      </c>
      <c r="E1899">
        <f t="shared" si="125"/>
        <v>1</v>
      </c>
      <c r="F1899" t="s">
        <v>1034</v>
      </c>
      <c r="G1899" t="s">
        <v>1104</v>
      </c>
      <c r="H1899" t="s">
        <v>1104</v>
      </c>
      <c r="J1899">
        <v>35</v>
      </c>
      <c r="K1899">
        <f t="shared" si="126"/>
        <v>35</v>
      </c>
      <c r="L1899" t="s">
        <v>1099</v>
      </c>
      <c r="R1899" t="s">
        <v>1354</v>
      </c>
    </row>
    <row r="1900" spans="1:18" x14ac:dyDescent="0.25">
      <c r="A1900" t="s">
        <v>341</v>
      </c>
      <c r="B1900" s="4">
        <v>45238</v>
      </c>
      <c r="C1900" s="9">
        <f t="shared" si="123"/>
        <v>11</v>
      </c>
      <c r="D1900">
        <f t="shared" si="124"/>
        <v>2023</v>
      </c>
      <c r="E1900">
        <f t="shared" si="125"/>
        <v>0</v>
      </c>
      <c r="F1900" t="s">
        <v>1034</v>
      </c>
      <c r="G1900" t="s">
        <v>1105</v>
      </c>
      <c r="H1900" t="s">
        <v>1103</v>
      </c>
      <c r="J1900">
        <v>9</v>
      </c>
      <c r="K1900">
        <f t="shared" si="126"/>
        <v>9</v>
      </c>
      <c r="L1900" t="s">
        <v>1099</v>
      </c>
      <c r="R1900" t="s">
        <v>1354</v>
      </c>
    </row>
    <row r="1901" spans="1:18" x14ac:dyDescent="0.25">
      <c r="A1901" t="s">
        <v>341</v>
      </c>
      <c r="B1901" s="4">
        <v>45239</v>
      </c>
      <c r="C1901" s="9">
        <f t="shared" si="123"/>
        <v>11</v>
      </c>
      <c r="D1901">
        <f t="shared" si="124"/>
        <v>2023</v>
      </c>
      <c r="E1901">
        <f t="shared" si="125"/>
        <v>1</v>
      </c>
      <c r="F1901" t="s">
        <v>1034</v>
      </c>
      <c r="G1901" t="s">
        <v>1106</v>
      </c>
      <c r="H1901" t="s">
        <v>1106</v>
      </c>
      <c r="J1901">
        <v>36</v>
      </c>
      <c r="K1901">
        <f t="shared" si="126"/>
        <v>36</v>
      </c>
      <c r="L1901" t="s">
        <v>1099</v>
      </c>
      <c r="R1901" t="s">
        <v>1354</v>
      </c>
    </row>
    <row r="1902" spans="1:18" x14ac:dyDescent="0.25">
      <c r="A1902" t="s">
        <v>341</v>
      </c>
      <c r="B1902" s="4">
        <v>45240</v>
      </c>
      <c r="C1902" s="9">
        <f t="shared" si="123"/>
        <v>11</v>
      </c>
      <c r="D1902">
        <f t="shared" si="124"/>
        <v>2023</v>
      </c>
      <c r="E1902">
        <f t="shared" si="125"/>
        <v>1</v>
      </c>
      <c r="F1902" t="s">
        <v>1034</v>
      </c>
      <c r="G1902" t="s">
        <v>1107</v>
      </c>
      <c r="H1902" t="s">
        <v>1107</v>
      </c>
      <c r="J1902">
        <v>21</v>
      </c>
      <c r="K1902">
        <f t="shared" si="126"/>
        <v>21</v>
      </c>
      <c r="L1902" t="s">
        <v>1099</v>
      </c>
      <c r="R1902" t="s">
        <v>1354</v>
      </c>
    </row>
    <row r="1903" spans="1:18" x14ac:dyDescent="0.25">
      <c r="A1903" t="s">
        <v>341</v>
      </c>
      <c r="B1903" s="4">
        <v>45267</v>
      </c>
      <c r="C1903" s="9">
        <f t="shared" si="123"/>
        <v>12</v>
      </c>
      <c r="D1903">
        <f t="shared" si="124"/>
        <v>2023</v>
      </c>
      <c r="E1903">
        <f t="shared" si="125"/>
        <v>1</v>
      </c>
      <c r="F1903" t="s">
        <v>1034</v>
      </c>
      <c r="G1903" t="s">
        <v>101</v>
      </c>
      <c r="H1903" t="s">
        <v>244</v>
      </c>
      <c r="J1903">
        <v>18</v>
      </c>
      <c r="K1903">
        <f t="shared" si="126"/>
        <v>18</v>
      </c>
      <c r="R1903" t="s">
        <v>1348</v>
      </c>
    </row>
    <row r="1904" spans="1:18" x14ac:dyDescent="0.25">
      <c r="A1904" t="s">
        <v>341</v>
      </c>
      <c r="B1904" s="4">
        <v>45277</v>
      </c>
      <c r="C1904" s="9">
        <f t="shared" si="123"/>
        <v>12</v>
      </c>
      <c r="D1904">
        <f t="shared" si="124"/>
        <v>2023</v>
      </c>
      <c r="E1904">
        <f t="shared" si="125"/>
        <v>1</v>
      </c>
      <c r="F1904" t="s">
        <v>1034</v>
      </c>
      <c r="G1904" t="s">
        <v>409</v>
      </c>
      <c r="H1904" t="s">
        <v>244</v>
      </c>
      <c r="J1904">
        <v>20</v>
      </c>
      <c r="K1904">
        <f t="shared" si="126"/>
        <v>20</v>
      </c>
      <c r="R1904" t="s">
        <v>1348</v>
      </c>
    </row>
    <row r="1905" spans="1:18" x14ac:dyDescent="0.25">
      <c r="A1905" t="s">
        <v>341</v>
      </c>
      <c r="B1905" s="4">
        <v>45278</v>
      </c>
      <c r="C1905" s="9">
        <f t="shared" si="123"/>
        <v>12</v>
      </c>
      <c r="D1905">
        <f t="shared" si="124"/>
        <v>2023</v>
      </c>
      <c r="E1905">
        <f t="shared" si="125"/>
        <v>1</v>
      </c>
      <c r="F1905" t="s">
        <v>1034</v>
      </c>
      <c r="G1905" t="s">
        <v>409</v>
      </c>
      <c r="H1905" t="s">
        <v>244</v>
      </c>
      <c r="J1905">
        <v>39</v>
      </c>
      <c r="K1905">
        <f t="shared" si="126"/>
        <v>39</v>
      </c>
      <c r="R1905" t="s">
        <v>1348</v>
      </c>
    </row>
    <row r="1906" spans="1:18" x14ac:dyDescent="0.25">
      <c r="A1906" t="s">
        <v>341</v>
      </c>
      <c r="B1906" s="4">
        <v>45279</v>
      </c>
      <c r="C1906" s="9">
        <f t="shared" si="123"/>
        <v>12</v>
      </c>
      <c r="D1906">
        <f t="shared" si="124"/>
        <v>2023</v>
      </c>
      <c r="E1906">
        <f t="shared" si="125"/>
        <v>1</v>
      </c>
      <c r="F1906" t="s">
        <v>1034</v>
      </c>
      <c r="G1906" t="s">
        <v>409</v>
      </c>
      <c r="H1906" t="s">
        <v>153</v>
      </c>
      <c r="J1906">
        <v>40</v>
      </c>
      <c r="K1906">
        <f t="shared" si="126"/>
        <v>40</v>
      </c>
      <c r="R1906" t="s">
        <v>1348</v>
      </c>
    </row>
    <row r="1907" spans="1:18" x14ac:dyDescent="0.25">
      <c r="A1907" t="s">
        <v>341</v>
      </c>
      <c r="B1907" s="4">
        <v>45287</v>
      </c>
      <c r="C1907" s="9">
        <f t="shared" si="123"/>
        <v>12</v>
      </c>
      <c r="D1907">
        <f t="shared" si="124"/>
        <v>2023</v>
      </c>
      <c r="E1907">
        <f t="shared" si="125"/>
        <v>1</v>
      </c>
      <c r="F1907" t="s">
        <v>1034</v>
      </c>
      <c r="G1907" t="s">
        <v>409</v>
      </c>
      <c r="H1907" t="s">
        <v>153</v>
      </c>
      <c r="J1907">
        <v>25</v>
      </c>
      <c r="K1907">
        <f t="shared" si="126"/>
        <v>25</v>
      </c>
      <c r="M1907" t="s">
        <v>1115</v>
      </c>
      <c r="R1907" t="s">
        <v>1348</v>
      </c>
    </row>
    <row r="1908" spans="1:18" x14ac:dyDescent="0.25">
      <c r="A1908" t="s">
        <v>341</v>
      </c>
      <c r="B1908" s="4">
        <v>45303</v>
      </c>
      <c r="C1908" s="9">
        <f t="shared" si="123"/>
        <v>1</v>
      </c>
      <c r="D1908">
        <f t="shared" si="124"/>
        <v>2024</v>
      </c>
      <c r="E1908">
        <f t="shared" si="125"/>
        <v>1</v>
      </c>
      <c r="F1908" t="s">
        <v>1034</v>
      </c>
      <c r="G1908" t="s">
        <v>101</v>
      </c>
      <c r="H1908" t="s">
        <v>244</v>
      </c>
      <c r="J1908">
        <v>32</v>
      </c>
      <c r="K1908">
        <f t="shared" si="126"/>
        <v>32</v>
      </c>
      <c r="R1908" t="s">
        <v>1348</v>
      </c>
    </row>
    <row r="1909" spans="1:18" x14ac:dyDescent="0.25">
      <c r="A1909" t="s">
        <v>341</v>
      </c>
      <c r="B1909" s="4">
        <v>45304</v>
      </c>
      <c r="C1909" s="9">
        <f t="shared" si="123"/>
        <v>1</v>
      </c>
      <c r="D1909">
        <f t="shared" si="124"/>
        <v>2024</v>
      </c>
      <c r="E1909">
        <f t="shared" si="125"/>
        <v>1</v>
      </c>
      <c r="F1909" t="s">
        <v>1034</v>
      </c>
      <c r="G1909" t="s">
        <v>409</v>
      </c>
      <c r="H1909" t="s">
        <v>153</v>
      </c>
      <c r="J1909">
        <v>26</v>
      </c>
      <c r="K1909">
        <f t="shared" si="126"/>
        <v>26</v>
      </c>
      <c r="R1909" t="s">
        <v>1348</v>
      </c>
    </row>
    <row r="1910" spans="1:18" x14ac:dyDescent="0.25">
      <c r="A1910" t="s">
        <v>341</v>
      </c>
      <c r="B1910" s="4">
        <v>45311</v>
      </c>
      <c r="C1910" s="9">
        <f t="shared" si="123"/>
        <v>1</v>
      </c>
      <c r="D1910">
        <f t="shared" si="124"/>
        <v>2024</v>
      </c>
      <c r="E1910">
        <f t="shared" si="125"/>
        <v>1</v>
      </c>
      <c r="F1910" t="s">
        <v>1034</v>
      </c>
      <c r="G1910" t="s">
        <v>101</v>
      </c>
      <c r="H1910" t="s">
        <v>244</v>
      </c>
      <c r="J1910">
        <v>16</v>
      </c>
      <c r="K1910">
        <f t="shared" si="126"/>
        <v>16</v>
      </c>
      <c r="R1910" t="s">
        <v>1348</v>
      </c>
    </row>
    <row r="1911" spans="1:18" x14ac:dyDescent="0.25">
      <c r="A1911" t="s">
        <v>341</v>
      </c>
      <c r="B1911" s="4">
        <v>45319</v>
      </c>
      <c r="C1911" s="9">
        <f t="shared" si="123"/>
        <v>1</v>
      </c>
      <c r="D1911">
        <f t="shared" si="124"/>
        <v>2024</v>
      </c>
      <c r="E1911">
        <f t="shared" si="125"/>
        <v>1</v>
      </c>
      <c r="F1911" t="s">
        <v>1034</v>
      </c>
      <c r="G1911" t="s">
        <v>409</v>
      </c>
      <c r="H1911" t="s">
        <v>153</v>
      </c>
      <c r="J1911">
        <v>58</v>
      </c>
      <c r="K1911">
        <f t="shared" si="126"/>
        <v>58</v>
      </c>
      <c r="R1911" t="s">
        <v>1348</v>
      </c>
    </row>
    <row r="1912" spans="1:18" x14ac:dyDescent="0.25">
      <c r="A1912" t="s">
        <v>341</v>
      </c>
      <c r="B1912" s="4">
        <v>45320</v>
      </c>
      <c r="C1912" s="9">
        <f t="shared" si="123"/>
        <v>1</v>
      </c>
      <c r="D1912">
        <f t="shared" si="124"/>
        <v>2024</v>
      </c>
      <c r="E1912">
        <f t="shared" si="125"/>
        <v>1</v>
      </c>
      <c r="F1912" t="s">
        <v>1034</v>
      </c>
      <c r="G1912" t="s">
        <v>409</v>
      </c>
      <c r="H1912" t="s">
        <v>244</v>
      </c>
      <c r="I1912">
        <v>1</v>
      </c>
      <c r="J1912">
        <v>25</v>
      </c>
      <c r="K1912">
        <f t="shared" si="126"/>
        <v>85</v>
      </c>
      <c r="R1912" t="s">
        <v>1348</v>
      </c>
    </row>
    <row r="1913" spans="1:18" x14ac:dyDescent="0.25">
      <c r="A1913" t="s">
        <v>341</v>
      </c>
      <c r="B1913" s="4">
        <v>45326</v>
      </c>
      <c r="C1913" s="9">
        <f t="shared" si="123"/>
        <v>2</v>
      </c>
      <c r="D1913">
        <f t="shared" si="124"/>
        <v>2024</v>
      </c>
      <c r="E1913">
        <f t="shared" si="125"/>
        <v>1</v>
      </c>
      <c r="F1913" t="s">
        <v>1034</v>
      </c>
      <c r="G1913" t="s">
        <v>101</v>
      </c>
      <c r="H1913" t="s">
        <v>153</v>
      </c>
      <c r="I1913">
        <v>1</v>
      </c>
      <c r="J1913">
        <v>7</v>
      </c>
      <c r="K1913">
        <f t="shared" si="126"/>
        <v>67</v>
      </c>
      <c r="R1913" t="s">
        <v>1348</v>
      </c>
    </row>
    <row r="1914" spans="1:18" x14ac:dyDescent="0.25">
      <c r="A1914" t="s">
        <v>341</v>
      </c>
      <c r="B1914" s="4">
        <v>45327</v>
      </c>
      <c r="C1914" s="9">
        <f t="shared" si="123"/>
        <v>2</v>
      </c>
      <c r="D1914">
        <f t="shared" si="124"/>
        <v>2024</v>
      </c>
      <c r="E1914">
        <f t="shared" si="125"/>
        <v>1</v>
      </c>
      <c r="F1914" t="s">
        <v>1034</v>
      </c>
      <c r="G1914" t="s">
        <v>101</v>
      </c>
      <c r="H1914" t="s">
        <v>689</v>
      </c>
      <c r="I1914">
        <v>1</v>
      </c>
      <c r="J1914">
        <v>8</v>
      </c>
      <c r="K1914">
        <f t="shared" si="126"/>
        <v>68</v>
      </c>
      <c r="R1914" t="s">
        <v>1348</v>
      </c>
    </row>
    <row r="1915" spans="1:18" x14ac:dyDescent="0.25">
      <c r="A1915" t="s">
        <v>341</v>
      </c>
      <c r="B1915" s="4">
        <v>45335</v>
      </c>
      <c r="C1915" s="9">
        <f t="shared" si="123"/>
        <v>2</v>
      </c>
      <c r="D1915">
        <f t="shared" si="124"/>
        <v>2024</v>
      </c>
      <c r="E1915">
        <f t="shared" si="125"/>
        <v>1</v>
      </c>
      <c r="F1915" t="s">
        <v>1034</v>
      </c>
      <c r="G1915" t="s">
        <v>101</v>
      </c>
      <c r="H1915" t="s">
        <v>153</v>
      </c>
      <c r="I1915">
        <v>1</v>
      </c>
      <c r="J1915">
        <v>12</v>
      </c>
      <c r="K1915">
        <f t="shared" si="126"/>
        <v>72</v>
      </c>
      <c r="R1915" t="s">
        <v>1348</v>
      </c>
    </row>
    <row r="1916" spans="1:18" x14ac:dyDescent="0.25">
      <c r="A1916" t="s">
        <v>341</v>
      </c>
      <c r="B1916" s="4">
        <v>45336</v>
      </c>
      <c r="C1916" s="9">
        <f t="shared" si="123"/>
        <v>2</v>
      </c>
      <c r="D1916">
        <f t="shared" si="124"/>
        <v>2024</v>
      </c>
      <c r="E1916">
        <f t="shared" si="125"/>
        <v>1</v>
      </c>
      <c r="F1916" t="s">
        <v>1034</v>
      </c>
      <c r="G1916" t="s">
        <v>101</v>
      </c>
      <c r="H1916" t="s">
        <v>153</v>
      </c>
      <c r="I1916">
        <v>1</v>
      </c>
      <c r="J1916">
        <v>14</v>
      </c>
      <c r="K1916">
        <f t="shared" si="126"/>
        <v>74</v>
      </c>
      <c r="R1916" t="s">
        <v>1348</v>
      </c>
    </row>
    <row r="1917" spans="1:18" x14ac:dyDescent="0.25">
      <c r="A1917" t="s">
        <v>341</v>
      </c>
      <c r="B1917" s="4">
        <v>45343</v>
      </c>
      <c r="C1917" s="9">
        <f t="shared" si="123"/>
        <v>2</v>
      </c>
      <c r="D1917">
        <f t="shared" si="124"/>
        <v>2024</v>
      </c>
      <c r="E1917">
        <f t="shared" si="125"/>
        <v>1</v>
      </c>
      <c r="F1917" t="s">
        <v>1034</v>
      </c>
      <c r="G1917" t="s">
        <v>101</v>
      </c>
      <c r="H1917" t="s">
        <v>741</v>
      </c>
      <c r="I1917">
        <v>1</v>
      </c>
      <c r="J1917">
        <v>16</v>
      </c>
      <c r="K1917">
        <f t="shared" si="126"/>
        <v>76</v>
      </c>
      <c r="R1917" t="s">
        <v>1348</v>
      </c>
    </row>
    <row r="1918" spans="1:18" x14ac:dyDescent="0.25">
      <c r="A1918" t="s">
        <v>341</v>
      </c>
      <c r="B1918" s="4">
        <v>45346</v>
      </c>
      <c r="C1918" s="9">
        <f t="shared" si="123"/>
        <v>2</v>
      </c>
      <c r="D1918">
        <f t="shared" si="124"/>
        <v>2024</v>
      </c>
      <c r="E1918">
        <f t="shared" si="125"/>
        <v>1</v>
      </c>
      <c r="F1918" t="s">
        <v>1034</v>
      </c>
      <c r="G1918" t="s">
        <v>409</v>
      </c>
      <c r="H1918" t="s">
        <v>153</v>
      </c>
      <c r="J1918">
        <v>24</v>
      </c>
      <c r="K1918">
        <f t="shared" si="126"/>
        <v>24</v>
      </c>
      <c r="R1918" t="s">
        <v>1348</v>
      </c>
    </row>
    <row r="1919" spans="1:18" x14ac:dyDescent="0.25">
      <c r="A1919" t="s">
        <v>341</v>
      </c>
      <c r="B1919" s="4">
        <v>45358</v>
      </c>
      <c r="C1919" s="9">
        <f t="shared" si="123"/>
        <v>3</v>
      </c>
      <c r="D1919">
        <f t="shared" si="124"/>
        <v>2024</v>
      </c>
      <c r="E1919">
        <f t="shared" si="125"/>
        <v>1</v>
      </c>
      <c r="F1919" t="s">
        <v>1034</v>
      </c>
      <c r="G1919" t="s">
        <v>101</v>
      </c>
      <c r="H1919" t="s">
        <v>244</v>
      </c>
      <c r="J1919">
        <v>25</v>
      </c>
      <c r="K1919">
        <f t="shared" si="126"/>
        <v>25</v>
      </c>
      <c r="R1919" t="s">
        <v>1348</v>
      </c>
    </row>
    <row r="1920" spans="1:18" x14ac:dyDescent="0.25">
      <c r="A1920" t="s">
        <v>341</v>
      </c>
      <c r="B1920" s="4">
        <v>45362</v>
      </c>
      <c r="C1920" s="9">
        <f t="shared" si="123"/>
        <v>3</v>
      </c>
      <c r="D1920">
        <f t="shared" si="124"/>
        <v>2024</v>
      </c>
      <c r="E1920">
        <f t="shared" si="125"/>
        <v>1</v>
      </c>
      <c r="F1920" t="s">
        <v>1034</v>
      </c>
      <c r="G1920" t="s">
        <v>101</v>
      </c>
      <c r="H1920" t="s">
        <v>244</v>
      </c>
      <c r="J1920">
        <v>26</v>
      </c>
      <c r="K1920">
        <f t="shared" si="126"/>
        <v>26</v>
      </c>
      <c r="R1920" t="s">
        <v>1348</v>
      </c>
    </row>
    <row r="1921" spans="1:18" x14ac:dyDescent="0.25">
      <c r="A1921" t="s">
        <v>341</v>
      </c>
      <c r="B1921" s="4">
        <v>45365</v>
      </c>
      <c r="C1921" s="9">
        <f t="shared" si="123"/>
        <v>3</v>
      </c>
      <c r="D1921">
        <f t="shared" si="124"/>
        <v>2024</v>
      </c>
      <c r="E1921">
        <f t="shared" si="125"/>
        <v>1</v>
      </c>
      <c r="F1921" t="s">
        <v>1034</v>
      </c>
      <c r="G1921" t="s">
        <v>101</v>
      </c>
      <c r="H1921" t="s">
        <v>471</v>
      </c>
      <c r="J1921">
        <v>56</v>
      </c>
      <c r="K1921">
        <f t="shared" si="126"/>
        <v>56</v>
      </c>
      <c r="R1921" t="s">
        <v>1348</v>
      </c>
    </row>
    <row r="1922" spans="1:18" x14ac:dyDescent="0.25">
      <c r="A1922" t="s">
        <v>341</v>
      </c>
      <c r="B1922" s="4">
        <v>45366</v>
      </c>
      <c r="C1922" s="9">
        <f t="shared" ref="C1922:C1985" si="127">MONTH(B1922)</f>
        <v>3</v>
      </c>
      <c r="D1922">
        <f t="shared" si="124"/>
        <v>2024</v>
      </c>
      <c r="E1922">
        <f t="shared" si="125"/>
        <v>1</v>
      </c>
      <c r="F1922" t="s">
        <v>1034</v>
      </c>
      <c r="G1922" t="s">
        <v>101</v>
      </c>
      <c r="H1922" t="s">
        <v>153</v>
      </c>
      <c r="J1922">
        <v>22</v>
      </c>
      <c r="K1922">
        <f t="shared" si="126"/>
        <v>22</v>
      </c>
      <c r="R1922" t="s">
        <v>1348</v>
      </c>
    </row>
    <row r="1923" spans="1:18" x14ac:dyDescent="0.25">
      <c r="A1923" t="s">
        <v>341</v>
      </c>
      <c r="B1923" s="4">
        <v>45370</v>
      </c>
      <c r="C1923" s="9">
        <f t="shared" si="127"/>
        <v>3</v>
      </c>
      <c r="D1923">
        <f t="shared" si="124"/>
        <v>2024</v>
      </c>
      <c r="E1923">
        <f t="shared" si="125"/>
        <v>1</v>
      </c>
      <c r="F1923" t="s">
        <v>1034</v>
      </c>
      <c r="G1923" t="s">
        <v>101</v>
      </c>
      <c r="H1923" t="s">
        <v>153</v>
      </c>
      <c r="I1923">
        <v>1</v>
      </c>
      <c r="J1923">
        <v>14</v>
      </c>
      <c r="K1923">
        <f t="shared" si="126"/>
        <v>74</v>
      </c>
      <c r="R1923" t="s">
        <v>1348</v>
      </c>
    </row>
    <row r="1924" spans="1:18" x14ac:dyDescent="0.25">
      <c r="A1924" t="s">
        <v>341</v>
      </c>
      <c r="B1924" s="4">
        <v>45371</v>
      </c>
      <c r="C1924" s="9">
        <f t="shared" si="127"/>
        <v>3</v>
      </c>
      <c r="D1924">
        <f t="shared" si="124"/>
        <v>2024</v>
      </c>
      <c r="E1924">
        <f t="shared" si="125"/>
        <v>1</v>
      </c>
      <c r="F1924" t="s">
        <v>1034</v>
      </c>
      <c r="G1924" t="s">
        <v>101</v>
      </c>
      <c r="H1924" t="s">
        <v>153</v>
      </c>
      <c r="I1924">
        <v>1</v>
      </c>
      <c r="J1924">
        <v>24</v>
      </c>
      <c r="K1924">
        <f t="shared" si="126"/>
        <v>84</v>
      </c>
      <c r="R1924" t="s">
        <v>1348</v>
      </c>
    </row>
    <row r="1925" spans="1:18" x14ac:dyDescent="0.25">
      <c r="A1925" t="s">
        <v>341</v>
      </c>
      <c r="B1925" s="4">
        <v>45373</v>
      </c>
      <c r="C1925" s="9">
        <f t="shared" si="127"/>
        <v>3</v>
      </c>
      <c r="D1925">
        <f t="shared" si="124"/>
        <v>2024</v>
      </c>
      <c r="E1925">
        <f t="shared" si="125"/>
        <v>1</v>
      </c>
      <c r="F1925" t="s">
        <v>1034</v>
      </c>
      <c r="G1925" t="s">
        <v>101</v>
      </c>
      <c r="H1925" t="s">
        <v>153</v>
      </c>
      <c r="I1925">
        <v>1</v>
      </c>
      <c r="J1925">
        <v>7</v>
      </c>
      <c r="K1925">
        <f t="shared" si="126"/>
        <v>67</v>
      </c>
      <c r="R1925" t="s">
        <v>1348</v>
      </c>
    </row>
    <row r="1926" spans="1:18" x14ac:dyDescent="0.25">
      <c r="A1926" t="s">
        <v>341</v>
      </c>
      <c r="B1926" s="4">
        <v>45388</v>
      </c>
      <c r="C1926" s="9">
        <f t="shared" si="127"/>
        <v>4</v>
      </c>
      <c r="D1926">
        <f t="shared" si="124"/>
        <v>2024</v>
      </c>
      <c r="E1926">
        <f t="shared" si="125"/>
        <v>1</v>
      </c>
      <c r="F1926" t="s">
        <v>1034</v>
      </c>
      <c r="G1926" t="s">
        <v>999</v>
      </c>
      <c r="H1926" t="s">
        <v>1000</v>
      </c>
      <c r="I1926">
        <v>1</v>
      </c>
      <c r="J1926">
        <v>10</v>
      </c>
      <c r="K1926">
        <f t="shared" si="126"/>
        <v>70</v>
      </c>
      <c r="L1926" t="s">
        <v>1134</v>
      </c>
      <c r="R1926" t="s">
        <v>1349</v>
      </c>
    </row>
    <row r="1927" spans="1:18" x14ac:dyDescent="0.25">
      <c r="A1927" t="s">
        <v>341</v>
      </c>
      <c r="B1927" s="4">
        <v>45389</v>
      </c>
      <c r="C1927" s="9">
        <f t="shared" si="127"/>
        <v>4</v>
      </c>
      <c r="D1927">
        <f t="shared" si="124"/>
        <v>2024</v>
      </c>
      <c r="E1927">
        <f t="shared" si="125"/>
        <v>1</v>
      </c>
      <c r="F1927" t="s">
        <v>1034</v>
      </c>
      <c r="G1927" t="s">
        <v>1311</v>
      </c>
      <c r="H1927" t="s">
        <v>1311</v>
      </c>
      <c r="I1927">
        <v>1</v>
      </c>
      <c r="J1927">
        <v>34</v>
      </c>
      <c r="K1927">
        <f t="shared" si="126"/>
        <v>94</v>
      </c>
      <c r="L1927" t="s">
        <v>1134</v>
      </c>
      <c r="R1927" t="s">
        <v>1349</v>
      </c>
    </row>
    <row r="1928" spans="1:18" x14ac:dyDescent="0.25">
      <c r="A1928" t="s">
        <v>341</v>
      </c>
      <c r="B1928" s="4">
        <v>45389</v>
      </c>
      <c r="C1928" s="9">
        <f t="shared" si="127"/>
        <v>4</v>
      </c>
      <c r="D1928">
        <f t="shared" si="124"/>
        <v>2024</v>
      </c>
      <c r="E1928">
        <f t="shared" si="125"/>
        <v>0</v>
      </c>
      <c r="F1928" t="s">
        <v>1034</v>
      </c>
      <c r="G1928" t="s">
        <v>1311</v>
      </c>
      <c r="H1928" t="s">
        <v>1310</v>
      </c>
      <c r="I1928">
        <v>1</v>
      </c>
      <c r="J1928">
        <v>3</v>
      </c>
      <c r="K1928">
        <f t="shared" si="126"/>
        <v>63</v>
      </c>
      <c r="L1928" t="s">
        <v>1134</v>
      </c>
      <c r="R1928" t="s">
        <v>1349</v>
      </c>
    </row>
    <row r="1929" spans="1:18" x14ac:dyDescent="0.25">
      <c r="A1929" t="s">
        <v>341</v>
      </c>
      <c r="B1929" s="4">
        <v>45390</v>
      </c>
      <c r="C1929" s="9">
        <f t="shared" si="127"/>
        <v>4</v>
      </c>
      <c r="D1929">
        <f t="shared" si="124"/>
        <v>2024</v>
      </c>
      <c r="E1929">
        <f t="shared" si="125"/>
        <v>1</v>
      </c>
      <c r="F1929" t="s">
        <v>1034</v>
      </c>
      <c r="G1929" t="s">
        <v>1116</v>
      </c>
      <c r="H1929" t="s">
        <v>1117</v>
      </c>
      <c r="I1929">
        <v>1</v>
      </c>
      <c r="J1929">
        <v>22</v>
      </c>
      <c r="K1929">
        <f t="shared" si="126"/>
        <v>82</v>
      </c>
      <c r="L1929" t="s">
        <v>1134</v>
      </c>
      <c r="R1929" t="s">
        <v>1349</v>
      </c>
    </row>
    <row r="1930" spans="1:18" x14ac:dyDescent="0.25">
      <c r="A1930" t="s">
        <v>341</v>
      </c>
      <c r="B1930" s="4">
        <v>45390</v>
      </c>
      <c r="C1930" s="9">
        <f t="shared" si="127"/>
        <v>4</v>
      </c>
      <c r="D1930">
        <f t="shared" si="124"/>
        <v>2024</v>
      </c>
      <c r="E1930">
        <f t="shared" si="125"/>
        <v>0</v>
      </c>
      <c r="F1930" t="s">
        <v>1034</v>
      </c>
      <c r="G1930" t="s">
        <v>1118</v>
      </c>
      <c r="H1930" t="s">
        <v>1119</v>
      </c>
      <c r="J1930">
        <v>27</v>
      </c>
      <c r="K1930">
        <f t="shared" si="126"/>
        <v>27</v>
      </c>
      <c r="L1930" t="s">
        <v>1134</v>
      </c>
      <c r="R1930" t="s">
        <v>1349</v>
      </c>
    </row>
    <row r="1931" spans="1:18" x14ac:dyDescent="0.25">
      <c r="A1931" t="s">
        <v>341</v>
      </c>
      <c r="B1931" s="4">
        <v>45391</v>
      </c>
      <c r="C1931" s="9">
        <f t="shared" si="127"/>
        <v>4</v>
      </c>
      <c r="D1931">
        <f t="shared" si="124"/>
        <v>2024</v>
      </c>
      <c r="E1931">
        <f t="shared" si="125"/>
        <v>1</v>
      </c>
      <c r="F1931" t="s">
        <v>1034</v>
      </c>
      <c r="G1931" t="s">
        <v>1118</v>
      </c>
      <c r="H1931" t="s">
        <v>1120</v>
      </c>
      <c r="I1931">
        <v>1</v>
      </c>
      <c r="J1931">
        <v>7</v>
      </c>
      <c r="K1931">
        <f t="shared" si="126"/>
        <v>67</v>
      </c>
      <c r="L1931" t="s">
        <v>1134</v>
      </c>
      <c r="R1931" t="s">
        <v>1349</v>
      </c>
    </row>
    <row r="1932" spans="1:18" x14ac:dyDescent="0.25">
      <c r="A1932" t="s">
        <v>341</v>
      </c>
      <c r="B1932" s="4">
        <v>45392</v>
      </c>
      <c r="C1932" s="9">
        <f t="shared" si="127"/>
        <v>4</v>
      </c>
      <c r="D1932">
        <f t="shared" si="124"/>
        <v>2024</v>
      </c>
      <c r="E1932">
        <f t="shared" si="125"/>
        <v>1</v>
      </c>
      <c r="F1932" t="s">
        <v>1034</v>
      </c>
      <c r="G1932" t="s">
        <v>1121</v>
      </c>
      <c r="H1932" t="s">
        <v>1121</v>
      </c>
      <c r="I1932">
        <v>1</v>
      </c>
      <c r="J1932">
        <v>11</v>
      </c>
      <c r="K1932">
        <f t="shared" si="126"/>
        <v>71</v>
      </c>
      <c r="L1932" t="s">
        <v>1134</v>
      </c>
      <c r="R1932" t="s">
        <v>1349</v>
      </c>
    </row>
    <row r="1933" spans="1:18" x14ac:dyDescent="0.25">
      <c r="A1933" t="s">
        <v>341</v>
      </c>
      <c r="B1933" s="4">
        <v>45393</v>
      </c>
      <c r="C1933" s="9">
        <f t="shared" si="127"/>
        <v>4</v>
      </c>
      <c r="D1933">
        <f t="shared" si="124"/>
        <v>2024</v>
      </c>
      <c r="E1933">
        <f t="shared" si="125"/>
        <v>1</v>
      </c>
      <c r="F1933" t="s">
        <v>1034</v>
      </c>
      <c r="G1933" t="s">
        <v>1122</v>
      </c>
      <c r="H1933" t="s">
        <v>1123</v>
      </c>
      <c r="J1933">
        <v>17</v>
      </c>
      <c r="K1933">
        <f t="shared" si="126"/>
        <v>17</v>
      </c>
      <c r="L1933" t="s">
        <v>1134</v>
      </c>
      <c r="R1933" t="s">
        <v>1349</v>
      </c>
    </row>
    <row r="1934" spans="1:18" x14ac:dyDescent="0.25">
      <c r="A1934" t="s">
        <v>341</v>
      </c>
      <c r="B1934" s="4">
        <v>45394</v>
      </c>
      <c r="C1934" s="9">
        <f t="shared" si="127"/>
        <v>4</v>
      </c>
      <c r="D1934">
        <f t="shared" si="124"/>
        <v>2024</v>
      </c>
      <c r="E1934">
        <f t="shared" si="125"/>
        <v>1</v>
      </c>
      <c r="F1934" t="s">
        <v>1034</v>
      </c>
      <c r="G1934" t="s">
        <v>735</v>
      </c>
      <c r="H1934" t="s">
        <v>1124</v>
      </c>
      <c r="I1934">
        <v>1</v>
      </c>
      <c r="J1934">
        <v>41</v>
      </c>
      <c r="K1934">
        <f t="shared" si="126"/>
        <v>101</v>
      </c>
      <c r="L1934" t="s">
        <v>1134</v>
      </c>
      <c r="R1934" t="s">
        <v>1349</v>
      </c>
    </row>
    <row r="1935" spans="1:18" x14ac:dyDescent="0.25">
      <c r="A1935" t="s">
        <v>341</v>
      </c>
      <c r="B1935" s="4">
        <v>45395</v>
      </c>
      <c r="C1935" s="9">
        <f t="shared" si="127"/>
        <v>4</v>
      </c>
      <c r="D1935">
        <f t="shared" si="124"/>
        <v>2024</v>
      </c>
      <c r="E1935">
        <f t="shared" si="125"/>
        <v>1</v>
      </c>
      <c r="F1935" t="s">
        <v>1034</v>
      </c>
      <c r="G1935" t="s">
        <v>1125</v>
      </c>
      <c r="H1935" t="s">
        <v>1126</v>
      </c>
      <c r="I1935">
        <v>1</v>
      </c>
      <c r="J1935">
        <v>17</v>
      </c>
      <c r="K1935">
        <f t="shared" si="126"/>
        <v>77</v>
      </c>
      <c r="L1935" t="s">
        <v>1135</v>
      </c>
      <c r="R1935" t="s">
        <v>1349</v>
      </c>
    </row>
    <row r="1936" spans="1:18" x14ac:dyDescent="0.25">
      <c r="A1936" t="s">
        <v>341</v>
      </c>
      <c r="B1936" s="4">
        <v>45396</v>
      </c>
      <c r="C1936" s="9">
        <f t="shared" si="127"/>
        <v>4</v>
      </c>
      <c r="D1936">
        <f t="shared" si="124"/>
        <v>2024</v>
      </c>
      <c r="E1936">
        <f t="shared" si="125"/>
        <v>1</v>
      </c>
      <c r="F1936" t="s">
        <v>1034</v>
      </c>
      <c r="G1936" t="s">
        <v>1127</v>
      </c>
      <c r="H1936" t="s">
        <v>1128</v>
      </c>
      <c r="I1936">
        <v>2</v>
      </c>
      <c r="J1936">
        <v>36</v>
      </c>
      <c r="K1936">
        <f t="shared" si="126"/>
        <v>156</v>
      </c>
      <c r="L1936" t="s">
        <v>1135</v>
      </c>
      <c r="R1936" t="s">
        <v>1349</v>
      </c>
    </row>
    <row r="1937" spans="1:19" x14ac:dyDescent="0.25">
      <c r="A1937" t="s">
        <v>341</v>
      </c>
      <c r="B1937" s="4">
        <v>45397</v>
      </c>
      <c r="C1937" s="9">
        <f t="shared" si="127"/>
        <v>4</v>
      </c>
      <c r="D1937">
        <f t="shared" si="124"/>
        <v>2024</v>
      </c>
      <c r="E1937">
        <f t="shared" si="125"/>
        <v>1</v>
      </c>
      <c r="F1937" t="s">
        <v>1034</v>
      </c>
      <c r="G1937" t="s">
        <v>1129</v>
      </c>
      <c r="H1937" t="s">
        <v>1129</v>
      </c>
      <c r="J1937">
        <v>19</v>
      </c>
      <c r="K1937">
        <f t="shared" si="126"/>
        <v>19</v>
      </c>
      <c r="L1937" t="s">
        <v>1135</v>
      </c>
      <c r="R1937" t="s">
        <v>1349</v>
      </c>
    </row>
    <row r="1938" spans="1:19" x14ac:dyDescent="0.25">
      <c r="A1938" t="s">
        <v>341</v>
      </c>
      <c r="B1938" s="4">
        <v>45398</v>
      </c>
      <c r="C1938" s="9">
        <f t="shared" si="127"/>
        <v>4</v>
      </c>
      <c r="D1938">
        <f t="shared" si="124"/>
        <v>2024</v>
      </c>
      <c r="E1938">
        <f t="shared" si="125"/>
        <v>1</v>
      </c>
      <c r="F1938" t="s">
        <v>1034</v>
      </c>
      <c r="G1938" t="s">
        <v>1130</v>
      </c>
      <c r="H1938" t="s">
        <v>1131</v>
      </c>
      <c r="J1938">
        <v>23</v>
      </c>
      <c r="K1938">
        <f t="shared" si="126"/>
        <v>23</v>
      </c>
      <c r="L1938" t="s">
        <v>1135</v>
      </c>
      <c r="R1938" t="s">
        <v>1349</v>
      </c>
    </row>
    <row r="1939" spans="1:19" x14ac:dyDescent="0.25">
      <c r="A1939" t="s">
        <v>341</v>
      </c>
      <c r="B1939" s="4">
        <v>45399</v>
      </c>
      <c r="C1939" s="9">
        <f t="shared" si="127"/>
        <v>4</v>
      </c>
      <c r="D1939">
        <f t="shared" si="124"/>
        <v>2024</v>
      </c>
      <c r="E1939">
        <f t="shared" si="125"/>
        <v>1</v>
      </c>
      <c r="F1939" t="s">
        <v>1034</v>
      </c>
      <c r="G1939" t="s">
        <v>1132</v>
      </c>
      <c r="H1939" t="s">
        <v>1131</v>
      </c>
      <c r="J1939">
        <v>11</v>
      </c>
      <c r="K1939">
        <f t="shared" si="126"/>
        <v>11</v>
      </c>
      <c r="L1939" t="s">
        <v>1135</v>
      </c>
      <c r="R1939" t="s">
        <v>1349</v>
      </c>
    </row>
    <row r="1940" spans="1:19" x14ac:dyDescent="0.25">
      <c r="A1940" t="s">
        <v>341</v>
      </c>
      <c r="B1940" s="4">
        <v>45401</v>
      </c>
      <c r="C1940" s="9">
        <f t="shared" si="127"/>
        <v>4</v>
      </c>
      <c r="D1940">
        <f t="shared" si="124"/>
        <v>2024</v>
      </c>
      <c r="E1940">
        <f t="shared" si="125"/>
        <v>1</v>
      </c>
      <c r="F1940" t="s">
        <v>1034</v>
      </c>
      <c r="G1940" t="s">
        <v>1320</v>
      </c>
      <c r="H1940" t="s">
        <v>1133</v>
      </c>
      <c r="I1940">
        <v>1</v>
      </c>
      <c r="J1940">
        <v>21</v>
      </c>
      <c r="K1940">
        <f t="shared" si="126"/>
        <v>81</v>
      </c>
      <c r="L1940" t="s">
        <v>1135</v>
      </c>
      <c r="R1940" t="s">
        <v>1349</v>
      </c>
    </row>
    <row r="1941" spans="1:19" x14ac:dyDescent="0.25">
      <c r="A1941" t="s">
        <v>341</v>
      </c>
      <c r="B1941" s="4">
        <v>45411</v>
      </c>
      <c r="C1941" s="9">
        <f t="shared" si="127"/>
        <v>4</v>
      </c>
      <c r="D1941">
        <f t="shared" si="124"/>
        <v>2024</v>
      </c>
      <c r="E1941">
        <v>1</v>
      </c>
      <c r="F1941" t="s">
        <v>1034</v>
      </c>
      <c r="G1941" t="s">
        <v>1136</v>
      </c>
      <c r="H1941" t="s">
        <v>361</v>
      </c>
      <c r="J1941">
        <v>8</v>
      </c>
      <c r="K1941">
        <f t="shared" si="126"/>
        <v>8</v>
      </c>
      <c r="L1941" t="s">
        <v>1138</v>
      </c>
      <c r="M1941" t="s">
        <v>1137</v>
      </c>
      <c r="R1941" t="s">
        <v>1351</v>
      </c>
      <c r="S1941" t="s">
        <v>1367</v>
      </c>
    </row>
    <row r="1942" spans="1:19" x14ac:dyDescent="0.25">
      <c r="A1942" t="s">
        <v>341</v>
      </c>
      <c r="B1942" s="4">
        <v>45411</v>
      </c>
      <c r="C1942" s="9">
        <f t="shared" si="127"/>
        <v>4</v>
      </c>
      <c r="D1942">
        <f t="shared" si="124"/>
        <v>2024</v>
      </c>
      <c r="E1942">
        <f t="shared" si="125"/>
        <v>0</v>
      </c>
      <c r="F1942" t="s">
        <v>948</v>
      </c>
      <c r="G1942" t="s">
        <v>1136</v>
      </c>
      <c r="H1942" t="s">
        <v>361</v>
      </c>
      <c r="J1942">
        <v>8</v>
      </c>
      <c r="K1942">
        <f t="shared" si="126"/>
        <v>8</v>
      </c>
      <c r="L1942" t="s">
        <v>1138</v>
      </c>
      <c r="M1942" t="s">
        <v>1139</v>
      </c>
      <c r="R1942" t="s">
        <v>1351</v>
      </c>
      <c r="S1942" t="s">
        <v>1367</v>
      </c>
    </row>
    <row r="1943" spans="1:19" x14ac:dyDescent="0.25">
      <c r="A1943" t="s">
        <v>341</v>
      </c>
      <c r="B1943" s="4">
        <v>45411</v>
      </c>
      <c r="C1943" s="9">
        <f t="shared" si="127"/>
        <v>4</v>
      </c>
      <c r="D1943">
        <f t="shared" si="124"/>
        <v>2024</v>
      </c>
      <c r="E1943">
        <f t="shared" si="125"/>
        <v>0</v>
      </c>
      <c r="F1943" t="s">
        <v>948</v>
      </c>
      <c r="G1943" t="s">
        <v>1136</v>
      </c>
      <c r="H1943" t="s">
        <v>361</v>
      </c>
      <c r="J1943">
        <v>8</v>
      </c>
      <c r="K1943">
        <f t="shared" si="126"/>
        <v>8</v>
      </c>
      <c r="L1943" t="s">
        <v>1138</v>
      </c>
      <c r="M1943" t="s">
        <v>1140</v>
      </c>
      <c r="R1943" t="s">
        <v>1351</v>
      </c>
      <c r="S1943" t="s">
        <v>1367</v>
      </c>
    </row>
    <row r="1944" spans="1:19" x14ac:dyDescent="0.25">
      <c r="A1944" t="s">
        <v>341</v>
      </c>
      <c r="B1944" s="4">
        <v>45413</v>
      </c>
      <c r="C1944" s="9">
        <f t="shared" si="127"/>
        <v>5</v>
      </c>
      <c r="D1944">
        <f t="shared" si="124"/>
        <v>2024</v>
      </c>
      <c r="E1944">
        <v>1</v>
      </c>
      <c r="F1944" t="s">
        <v>1034</v>
      </c>
      <c r="G1944" t="s">
        <v>1136</v>
      </c>
      <c r="H1944" t="s">
        <v>361</v>
      </c>
      <c r="J1944">
        <v>8</v>
      </c>
      <c r="K1944">
        <f t="shared" si="126"/>
        <v>8</v>
      </c>
      <c r="L1944" t="s">
        <v>1138</v>
      </c>
      <c r="M1944" t="s">
        <v>1141</v>
      </c>
      <c r="R1944" t="s">
        <v>1351</v>
      </c>
      <c r="S1944" t="s">
        <v>1367</v>
      </c>
    </row>
    <row r="1945" spans="1:19" x14ac:dyDescent="0.25">
      <c r="A1945" t="s">
        <v>341</v>
      </c>
      <c r="B1945" s="4">
        <v>45413</v>
      </c>
      <c r="C1945" s="9">
        <f t="shared" si="127"/>
        <v>5</v>
      </c>
      <c r="D1945">
        <f t="shared" si="124"/>
        <v>2024</v>
      </c>
      <c r="E1945">
        <f t="shared" si="125"/>
        <v>0</v>
      </c>
      <c r="F1945" t="s">
        <v>1034</v>
      </c>
      <c r="G1945" t="s">
        <v>1136</v>
      </c>
      <c r="H1945" t="s">
        <v>361</v>
      </c>
      <c r="J1945">
        <v>8</v>
      </c>
      <c r="K1945">
        <f t="shared" si="126"/>
        <v>8</v>
      </c>
      <c r="L1945" t="s">
        <v>1138</v>
      </c>
      <c r="M1945" t="s">
        <v>1142</v>
      </c>
      <c r="R1945" t="s">
        <v>1351</v>
      </c>
      <c r="S1945" t="s">
        <v>1367</v>
      </c>
    </row>
    <row r="1946" spans="1:19" x14ac:dyDescent="0.25">
      <c r="A1946" t="s">
        <v>341</v>
      </c>
      <c r="B1946" s="4">
        <v>45413</v>
      </c>
      <c r="C1946" s="9">
        <f t="shared" si="127"/>
        <v>5</v>
      </c>
      <c r="D1946">
        <f t="shared" si="124"/>
        <v>2024</v>
      </c>
      <c r="E1946">
        <f t="shared" si="125"/>
        <v>0</v>
      </c>
      <c r="F1946" t="s">
        <v>1034</v>
      </c>
      <c r="G1946" t="s">
        <v>1136</v>
      </c>
      <c r="H1946" t="s">
        <v>361</v>
      </c>
      <c r="J1946">
        <v>8</v>
      </c>
      <c r="K1946">
        <f t="shared" si="126"/>
        <v>8</v>
      </c>
      <c r="L1946" t="s">
        <v>1138</v>
      </c>
      <c r="M1946" t="s">
        <v>1143</v>
      </c>
      <c r="R1946" t="s">
        <v>1351</v>
      </c>
      <c r="S1946" t="s">
        <v>1367</v>
      </c>
    </row>
    <row r="1947" spans="1:19" x14ac:dyDescent="0.25">
      <c r="A1947" t="s">
        <v>341</v>
      </c>
      <c r="B1947" s="4">
        <v>45421</v>
      </c>
      <c r="C1947" s="9">
        <f t="shared" si="127"/>
        <v>5</v>
      </c>
      <c r="D1947">
        <f t="shared" si="124"/>
        <v>2024</v>
      </c>
      <c r="E1947">
        <f t="shared" si="125"/>
        <v>1</v>
      </c>
      <c r="F1947" t="s">
        <v>1034</v>
      </c>
      <c r="G1947" t="s">
        <v>1144</v>
      </c>
      <c r="H1947" t="s">
        <v>741</v>
      </c>
      <c r="I1947">
        <v>1</v>
      </c>
      <c r="J1947">
        <v>43</v>
      </c>
      <c r="K1947">
        <f t="shared" si="126"/>
        <v>103</v>
      </c>
      <c r="R1947" t="s">
        <v>1348</v>
      </c>
    </row>
    <row r="1948" spans="1:19" x14ac:dyDescent="0.25">
      <c r="A1948" t="s">
        <v>341</v>
      </c>
      <c r="B1948" s="4">
        <v>45422</v>
      </c>
      <c r="C1948" s="9">
        <f t="shared" si="127"/>
        <v>5</v>
      </c>
      <c r="D1948">
        <f t="shared" si="124"/>
        <v>2024</v>
      </c>
      <c r="E1948">
        <f t="shared" si="125"/>
        <v>1</v>
      </c>
      <c r="F1948" t="s">
        <v>1034</v>
      </c>
      <c r="G1948" t="s">
        <v>1144</v>
      </c>
      <c r="H1948" t="s">
        <v>244</v>
      </c>
      <c r="I1948">
        <v>1</v>
      </c>
      <c r="J1948">
        <v>38</v>
      </c>
      <c r="K1948">
        <f t="shared" si="126"/>
        <v>98</v>
      </c>
      <c r="R1948" t="s">
        <v>1348</v>
      </c>
    </row>
    <row r="1949" spans="1:19" x14ac:dyDescent="0.25">
      <c r="A1949" t="s">
        <v>341</v>
      </c>
      <c r="B1949" s="4">
        <v>45423</v>
      </c>
      <c r="C1949" s="9">
        <f t="shared" si="127"/>
        <v>5</v>
      </c>
      <c r="D1949">
        <f t="shared" si="124"/>
        <v>2024</v>
      </c>
      <c r="E1949">
        <f t="shared" si="125"/>
        <v>1</v>
      </c>
      <c r="F1949" t="s">
        <v>1034</v>
      </c>
      <c r="G1949" t="s">
        <v>1144</v>
      </c>
      <c r="H1949" t="s">
        <v>244</v>
      </c>
      <c r="I1949">
        <v>1</v>
      </c>
      <c r="J1949">
        <v>40</v>
      </c>
      <c r="K1949">
        <f t="shared" si="126"/>
        <v>100</v>
      </c>
      <c r="R1949" t="s">
        <v>1348</v>
      </c>
    </row>
    <row r="1950" spans="1:19" x14ac:dyDescent="0.25">
      <c r="A1950" t="s">
        <v>341</v>
      </c>
      <c r="B1950" s="4">
        <v>45424</v>
      </c>
      <c r="C1950" s="9">
        <f t="shared" si="127"/>
        <v>5</v>
      </c>
      <c r="D1950">
        <f t="shared" si="124"/>
        <v>2024</v>
      </c>
      <c r="E1950">
        <f t="shared" si="125"/>
        <v>1</v>
      </c>
      <c r="F1950" t="s">
        <v>1034</v>
      </c>
      <c r="G1950" t="s">
        <v>101</v>
      </c>
      <c r="H1950" t="s">
        <v>244</v>
      </c>
      <c r="I1950">
        <v>1</v>
      </c>
      <c r="J1950">
        <v>21</v>
      </c>
      <c r="K1950">
        <f t="shared" si="126"/>
        <v>81</v>
      </c>
      <c r="R1950" t="s">
        <v>1348</v>
      </c>
    </row>
    <row r="1951" spans="1:19" x14ac:dyDescent="0.25">
      <c r="A1951" t="s">
        <v>341</v>
      </c>
      <c r="B1951" s="4">
        <v>45429</v>
      </c>
      <c r="C1951" s="9">
        <f t="shared" si="127"/>
        <v>5</v>
      </c>
      <c r="D1951">
        <f t="shared" si="124"/>
        <v>2024</v>
      </c>
      <c r="E1951">
        <f t="shared" si="125"/>
        <v>1</v>
      </c>
      <c r="F1951" t="s">
        <v>1034</v>
      </c>
      <c r="G1951" t="s">
        <v>1144</v>
      </c>
      <c r="H1951" t="s">
        <v>244</v>
      </c>
      <c r="J1951">
        <v>35</v>
      </c>
      <c r="K1951">
        <f t="shared" si="126"/>
        <v>35</v>
      </c>
      <c r="R1951" t="s">
        <v>1348</v>
      </c>
    </row>
    <row r="1952" spans="1:19" x14ac:dyDescent="0.25">
      <c r="A1952" t="s">
        <v>341</v>
      </c>
      <c r="B1952" s="4">
        <v>45431</v>
      </c>
      <c r="C1952" s="9">
        <f t="shared" si="127"/>
        <v>5</v>
      </c>
      <c r="D1952">
        <f t="shared" si="124"/>
        <v>2024</v>
      </c>
      <c r="E1952">
        <f t="shared" si="125"/>
        <v>1</v>
      </c>
      <c r="F1952" t="s">
        <v>1034</v>
      </c>
      <c r="G1952" t="s">
        <v>1144</v>
      </c>
      <c r="H1952" t="s">
        <v>153</v>
      </c>
      <c r="I1952">
        <v>1</v>
      </c>
      <c r="J1952">
        <v>5</v>
      </c>
      <c r="K1952">
        <f t="shared" si="126"/>
        <v>65</v>
      </c>
      <c r="R1952" t="s">
        <v>1348</v>
      </c>
    </row>
    <row r="1953" spans="1:18" x14ac:dyDescent="0.25">
      <c r="A1953" t="s">
        <v>341</v>
      </c>
      <c r="B1953" s="4">
        <v>45434</v>
      </c>
      <c r="C1953" s="9">
        <f t="shared" si="127"/>
        <v>5</v>
      </c>
      <c r="D1953">
        <f t="shared" si="124"/>
        <v>2024</v>
      </c>
      <c r="E1953">
        <f t="shared" si="125"/>
        <v>1</v>
      </c>
      <c r="F1953" t="s">
        <v>1034</v>
      </c>
      <c r="G1953" t="s">
        <v>101</v>
      </c>
      <c r="H1953" t="s">
        <v>153</v>
      </c>
      <c r="J1953">
        <v>42</v>
      </c>
      <c r="K1953">
        <f t="shared" si="126"/>
        <v>42</v>
      </c>
      <c r="R1953" t="s">
        <v>1348</v>
      </c>
    </row>
    <row r="1954" spans="1:18" x14ac:dyDescent="0.25">
      <c r="A1954" t="s">
        <v>341</v>
      </c>
      <c r="B1954" s="4">
        <v>45438</v>
      </c>
      <c r="C1954" s="9">
        <f t="shared" si="127"/>
        <v>5</v>
      </c>
      <c r="D1954">
        <f t="shared" si="124"/>
        <v>2024</v>
      </c>
      <c r="E1954">
        <f t="shared" si="125"/>
        <v>1</v>
      </c>
      <c r="F1954" t="s">
        <v>1034</v>
      </c>
      <c r="G1954" t="s">
        <v>7</v>
      </c>
      <c r="H1954" t="s">
        <v>1063</v>
      </c>
      <c r="J1954">
        <v>54</v>
      </c>
      <c r="K1954">
        <f t="shared" si="126"/>
        <v>54</v>
      </c>
      <c r="R1954" t="s">
        <v>1348</v>
      </c>
    </row>
    <row r="1955" spans="1:18" x14ac:dyDescent="0.25">
      <c r="A1955" t="s">
        <v>341</v>
      </c>
      <c r="B1955" s="4">
        <v>45441</v>
      </c>
      <c r="C1955" s="9">
        <f t="shared" si="127"/>
        <v>5</v>
      </c>
      <c r="D1955">
        <f t="shared" si="124"/>
        <v>2024</v>
      </c>
      <c r="E1955">
        <f t="shared" si="125"/>
        <v>1</v>
      </c>
      <c r="F1955" t="s">
        <v>1034</v>
      </c>
      <c r="G1955" t="s">
        <v>1145</v>
      </c>
      <c r="H1955" t="s">
        <v>1147</v>
      </c>
      <c r="J1955">
        <v>10</v>
      </c>
      <c r="K1955">
        <f t="shared" si="126"/>
        <v>10</v>
      </c>
      <c r="L1955" t="s">
        <v>1146</v>
      </c>
      <c r="R1955" t="s">
        <v>1354</v>
      </c>
    </row>
    <row r="1956" spans="1:18" x14ac:dyDescent="0.25">
      <c r="A1956" t="s">
        <v>341</v>
      </c>
      <c r="B1956" s="4">
        <v>45442</v>
      </c>
      <c r="C1956" s="9">
        <f t="shared" si="127"/>
        <v>5</v>
      </c>
      <c r="D1956">
        <f t="shared" si="124"/>
        <v>2024</v>
      </c>
      <c r="E1956">
        <f t="shared" si="125"/>
        <v>1</v>
      </c>
      <c r="F1956" t="s">
        <v>1034</v>
      </c>
      <c r="G1956" t="s">
        <v>1151</v>
      </c>
      <c r="H1956" t="s">
        <v>1148</v>
      </c>
      <c r="I1956">
        <v>1</v>
      </c>
      <c r="J1956">
        <v>20</v>
      </c>
      <c r="K1956">
        <f t="shared" si="126"/>
        <v>80</v>
      </c>
      <c r="L1956" t="s">
        <v>1146</v>
      </c>
      <c r="R1956" t="s">
        <v>1354</v>
      </c>
    </row>
    <row r="1957" spans="1:18" x14ac:dyDescent="0.25">
      <c r="A1957" t="s">
        <v>341</v>
      </c>
      <c r="B1957" s="4">
        <v>45442</v>
      </c>
      <c r="C1957" s="9">
        <f t="shared" si="127"/>
        <v>5</v>
      </c>
      <c r="D1957">
        <f t="shared" si="124"/>
        <v>2024</v>
      </c>
      <c r="E1957">
        <f t="shared" si="125"/>
        <v>0</v>
      </c>
      <c r="F1957" t="s">
        <v>1034</v>
      </c>
      <c r="G1957" t="s">
        <v>1145</v>
      </c>
      <c r="H1957" t="s">
        <v>1149</v>
      </c>
      <c r="I1957">
        <v>1</v>
      </c>
      <c r="J1957">
        <v>15</v>
      </c>
      <c r="K1957">
        <f t="shared" si="126"/>
        <v>75</v>
      </c>
      <c r="L1957" t="s">
        <v>1146</v>
      </c>
      <c r="R1957" t="s">
        <v>1354</v>
      </c>
    </row>
    <row r="1958" spans="1:18" x14ac:dyDescent="0.25">
      <c r="A1958" t="s">
        <v>341</v>
      </c>
      <c r="B1958" s="4">
        <v>45443</v>
      </c>
      <c r="C1958" s="9">
        <f t="shared" si="127"/>
        <v>5</v>
      </c>
      <c r="D1958">
        <f t="shared" ref="D1958:D1998" si="128">YEAR(B1958)</f>
        <v>2024</v>
      </c>
      <c r="E1958">
        <f t="shared" ref="E1958:E1998" si="129">IF(OR(A1958 = "GS",A1958 = "BP"),IF( OR(A1957="GS",A1957="BP"),IF(B1957=B1958,0,1),1),0)</f>
        <v>1</v>
      </c>
      <c r="F1958" t="s">
        <v>1034</v>
      </c>
      <c r="G1958" t="s">
        <v>1151</v>
      </c>
      <c r="H1958" t="s">
        <v>1150</v>
      </c>
      <c r="I1958">
        <v>1</v>
      </c>
      <c r="J1958">
        <v>1</v>
      </c>
      <c r="K1958">
        <f t="shared" ref="K1958:K1998" si="130">I1958*60+J1958</f>
        <v>61</v>
      </c>
      <c r="L1958" t="s">
        <v>1146</v>
      </c>
      <c r="R1958" t="s">
        <v>1354</v>
      </c>
    </row>
    <row r="1959" spans="1:18" x14ac:dyDescent="0.25">
      <c r="A1959" t="s">
        <v>341</v>
      </c>
      <c r="B1959" s="4">
        <v>45443</v>
      </c>
      <c r="C1959" s="9">
        <f t="shared" si="127"/>
        <v>5</v>
      </c>
      <c r="D1959">
        <f t="shared" si="128"/>
        <v>2024</v>
      </c>
      <c r="E1959">
        <f t="shared" si="129"/>
        <v>0</v>
      </c>
      <c r="F1959" t="s">
        <v>1034</v>
      </c>
      <c r="G1959" t="s">
        <v>1145</v>
      </c>
      <c r="H1959" t="s">
        <v>1147</v>
      </c>
      <c r="I1959">
        <v>1</v>
      </c>
      <c r="J1959">
        <v>18</v>
      </c>
      <c r="K1959">
        <f t="shared" si="130"/>
        <v>78</v>
      </c>
      <c r="L1959" t="s">
        <v>1146</v>
      </c>
      <c r="R1959" t="s">
        <v>1354</v>
      </c>
    </row>
    <row r="1960" spans="1:18" x14ac:dyDescent="0.25">
      <c r="A1960" t="s">
        <v>341</v>
      </c>
      <c r="B1960" s="4">
        <v>45445</v>
      </c>
      <c r="C1960" s="9">
        <f t="shared" si="127"/>
        <v>6</v>
      </c>
      <c r="D1960">
        <f t="shared" si="128"/>
        <v>2024</v>
      </c>
      <c r="E1960">
        <f t="shared" si="129"/>
        <v>1</v>
      </c>
      <c r="F1960" t="s">
        <v>1034</v>
      </c>
      <c r="G1960" t="s">
        <v>1152</v>
      </c>
      <c r="H1960" t="s">
        <v>1152</v>
      </c>
      <c r="I1960">
        <v>2</v>
      </c>
      <c r="J1960">
        <v>20</v>
      </c>
      <c r="K1960">
        <f t="shared" si="130"/>
        <v>140</v>
      </c>
      <c r="L1960" t="s">
        <v>1146</v>
      </c>
      <c r="R1960" t="s">
        <v>1354</v>
      </c>
    </row>
    <row r="1961" spans="1:18" x14ac:dyDescent="0.25">
      <c r="A1961" t="s">
        <v>341</v>
      </c>
      <c r="B1961" s="4">
        <v>45446</v>
      </c>
      <c r="C1961" s="9">
        <f t="shared" si="127"/>
        <v>6</v>
      </c>
      <c r="D1961">
        <f t="shared" si="128"/>
        <v>2024</v>
      </c>
      <c r="E1961">
        <f t="shared" si="129"/>
        <v>1</v>
      </c>
      <c r="F1961" t="s">
        <v>1034</v>
      </c>
      <c r="G1961" t="s">
        <v>1152</v>
      </c>
      <c r="H1961" t="s">
        <v>1153</v>
      </c>
      <c r="J1961">
        <v>28</v>
      </c>
      <c r="K1961">
        <f t="shared" si="130"/>
        <v>28</v>
      </c>
      <c r="L1961" t="s">
        <v>1146</v>
      </c>
      <c r="M1961" t="s">
        <v>1154</v>
      </c>
      <c r="R1961" t="s">
        <v>1354</v>
      </c>
    </row>
    <row r="1962" spans="1:18" x14ac:dyDescent="0.25">
      <c r="A1962" t="s">
        <v>341</v>
      </c>
      <c r="B1962" s="4">
        <v>45447</v>
      </c>
      <c r="C1962" s="9">
        <f t="shared" si="127"/>
        <v>6</v>
      </c>
      <c r="D1962">
        <f t="shared" si="128"/>
        <v>2024</v>
      </c>
      <c r="E1962">
        <f t="shared" si="129"/>
        <v>1</v>
      </c>
      <c r="F1962" t="s">
        <v>1034</v>
      </c>
      <c r="G1962" t="s">
        <v>1155</v>
      </c>
      <c r="H1962" t="s">
        <v>1155</v>
      </c>
      <c r="J1962">
        <v>2</v>
      </c>
      <c r="K1962">
        <f t="shared" si="130"/>
        <v>2</v>
      </c>
      <c r="L1962" t="s">
        <v>1146</v>
      </c>
      <c r="R1962" t="s">
        <v>1355</v>
      </c>
    </row>
    <row r="1963" spans="1:18" x14ac:dyDescent="0.25">
      <c r="A1963" t="s">
        <v>341</v>
      </c>
      <c r="B1963" s="4">
        <v>45447</v>
      </c>
      <c r="C1963" s="9">
        <f t="shared" si="127"/>
        <v>6</v>
      </c>
      <c r="D1963">
        <f t="shared" si="128"/>
        <v>2024</v>
      </c>
      <c r="E1963">
        <f t="shared" si="129"/>
        <v>0</v>
      </c>
      <c r="F1963" t="s">
        <v>1034</v>
      </c>
      <c r="G1963" t="s">
        <v>1155</v>
      </c>
      <c r="H1963" t="s">
        <v>1155</v>
      </c>
      <c r="J1963">
        <v>13</v>
      </c>
      <c r="K1963">
        <f t="shared" si="130"/>
        <v>13</v>
      </c>
      <c r="L1963" t="s">
        <v>1146</v>
      </c>
      <c r="R1963" t="s">
        <v>1355</v>
      </c>
    </row>
    <row r="1964" spans="1:18" x14ac:dyDescent="0.25">
      <c r="A1964" t="s">
        <v>341</v>
      </c>
      <c r="B1964" s="4">
        <v>45447</v>
      </c>
      <c r="C1964" s="9">
        <f t="shared" si="127"/>
        <v>6</v>
      </c>
      <c r="D1964">
        <f t="shared" si="128"/>
        <v>2024</v>
      </c>
      <c r="E1964">
        <f t="shared" si="129"/>
        <v>0</v>
      </c>
      <c r="F1964" t="s">
        <v>1034</v>
      </c>
      <c r="G1964" t="s">
        <v>1155</v>
      </c>
      <c r="H1964" t="s">
        <v>629</v>
      </c>
      <c r="J1964">
        <v>40</v>
      </c>
      <c r="K1964">
        <f t="shared" si="130"/>
        <v>40</v>
      </c>
      <c r="L1964" t="s">
        <v>1146</v>
      </c>
      <c r="R1964" t="s">
        <v>1355</v>
      </c>
    </row>
    <row r="1965" spans="1:18" x14ac:dyDescent="0.25">
      <c r="A1965" t="s">
        <v>341</v>
      </c>
      <c r="B1965" s="4">
        <v>45448</v>
      </c>
      <c r="C1965" s="9">
        <f t="shared" si="127"/>
        <v>6</v>
      </c>
      <c r="D1965">
        <f t="shared" si="128"/>
        <v>2024</v>
      </c>
      <c r="E1965">
        <f t="shared" si="129"/>
        <v>1</v>
      </c>
      <c r="F1965" t="s">
        <v>1034</v>
      </c>
      <c r="G1965" t="s">
        <v>1155</v>
      </c>
      <c r="H1965" t="s">
        <v>629</v>
      </c>
      <c r="I1965">
        <v>1</v>
      </c>
      <c r="J1965">
        <v>48</v>
      </c>
      <c r="K1965">
        <f t="shared" si="130"/>
        <v>108</v>
      </c>
      <c r="L1965" t="s">
        <v>1146</v>
      </c>
      <c r="R1965" t="s">
        <v>1355</v>
      </c>
    </row>
    <row r="1966" spans="1:18" x14ac:dyDescent="0.25">
      <c r="A1966" t="s">
        <v>341</v>
      </c>
      <c r="B1966" s="4">
        <v>45449</v>
      </c>
      <c r="C1966" s="9">
        <f t="shared" si="127"/>
        <v>6</v>
      </c>
      <c r="D1966">
        <f t="shared" si="128"/>
        <v>2024</v>
      </c>
      <c r="E1966">
        <f t="shared" si="129"/>
        <v>1</v>
      </c>
      <c r="F1966" t="s">
        <v>1034</v>
      </c>
      <c r="G1966" t="s">
        <v>1048</v>
      </c>
      <c r="H1966" t="s">
        <v>1048</v>
      </c>
      <c r="J1966">
        <v>6</v>
      </c>
      <c r="K1966">
        <f t="shared" si="130"/>
        <v>6</v>
      </c>
      <c r="L1966" t="s">
        <v>1146</v>
      </c>
      <c r="R1966" t="s">
        <v>1355</v>
      </c>
    </row>
    <row r="1967" spans="1:18" x14ac:dyDescent="0.25">
      <c r="A1967" t="s">
        <v>341</v>
      </c>
      <c r="B1967" s="4">
        <v>45456</v>
      </c>
      <c r="C1967" s="9">
        <f t="shared" si="127"/>
        <v>6</v>
      </c>
      <c r="D1967">
        <f t="shared" si="128"/>
        <v>2024</v>
      </c>
      <c r="E1967">
        <f t="shared" si="129"/>
        <v>1</v>
      </c>
      <c r="F1967" t="s">
        <v>1034</v>
      </c>
      <c r="G1967" t="s">
        <v>761</v>
      </c>
      <c r="H1967" t="s">
        <v>761</v>
      </c>
      <c r="J1967">
        <v>15</v>
      </c>
      <c r="K1967">
        <f t="shared" si="130"/>
        <v>15</v>
      </c>
      <c r="L1967" t="s">
        <v>763</v>
      </c>
      <c r="R1967" t="s">
        <v>1359</v>
      </c>
    </row>
    <row r="1968" spans="1:18" x14ac:dyDescent="0.25">
      <c r="A1968" t="s">
        <v>341</v>
      </c>
      <c r="B1968" s="4">
        <v>45456</v>
      </c>
      <c r="C1968" s="9">
        <f t="shared" si="127"/>
        <v>6</v>
      </c>
      <c r="D1968">
        <f t="shared" si="128"/>
        <v>2024</v>
      </c>
      <c r="E1968">
        <f t="shared" si="129"/>
        <v>0</v>
      </c>
      <c r="F1968" t="s">
        <v>1034</v>
      </c>
      <c r="G1968" t="s">
        <v>761</v>
      </c>
      <c r="H1968" t="s">
        <v>1157</v>
      </c>
      <c r="J1968">
        <v>57</v>
      </c>
      <c r="K1968">
        <f t="shared" si="130"/>
        <v>57</v>
      </c>
      <c r="L1968" t="s">
        <v>763</v>
      </c>
      <c r="R1968" t="s">
        <v>1359</v>
      </c>
    </row>
    <row r="1969" spans="1:18" x14ac:dyDescent="0.25">
      <c r="A1969" t="s">
        <v>341</v>
      </c>
      <c r="B1969" s="4">
        <v>45457</v>
      </c>
      <c r="C1969" s="9">
        <f t="shared" si="127"/>
        <v>6</v>
      </c>
      <c r="D1969">
        <f t="shared" si="128"/>
        <v>2024</v>
      </c>
      <c r="E1969">
        <f t="shared" si="129"/>
        <v>1</v>
      </c>
      <c r="F1969" t="s">
        <v>1034</v>
      </c>
      <c r="G1969" t="s">
        <v>854</v>
      </c>
      <c r="H1969" t="s">
        <v>854</v>
      </c>
      <c r="J1969">
        <v>14</v>
      </c>
      <c r="K1969">
        <f t="shared" si="130"/>
        <v>14</v>
      </c>
      <c r="L1969" t="s">
        <v>763</v>
      </c>
      <c r="R1969" t="s">
        <v>1359</v>
      </c>
    </row>
    <row r="1970" spans="1:18" x14ac:dyDescent="0.25">
      <c r="A1970" t="s">
        <v>341</v>
      </c>
      <c r="B1970" s="4">
        <v>45457</v>
      </c>
      <c r="C1970" s="9">
        <f t="shared" si="127"/>
        <v>6</v>
      </c>
      <c r="D1970">
        <f t="shared" si="128"/>
        <v>2024</v>
      </c>
      <c r="E1970">
        <f t="shared" si="129"/>
        <v>0</v>
      </c>
      <c r="F1970" t="s">
        <v>1034</v>
      </c>
      <c r="G1970" t="s">
        <v>854</v>
      </c>
      <c r="H1970" t="s">
        <v>1158</v>
      </c>
      <c r="J1970">
        <v>41</v>
      </c>
      <c r="K1970">
        <f t="shared" si="130"/>
        <v>41</v>
      </c>
      <c r="L1970" t="s">
        <v>763</v>
      </c>
      <c r="R1970" t="s">
        <v>1359</v>
      </c>
    </row>
    <row r="1971" spans="1:18" x14ac:dyDescent="0.25">
      <c r="A1971" t="s">
        <v>341</v>
      </c>
      <c r="B1971" s="4">
        <v>45458</v>
      </c>
      <c r="C1971" s="9">
        <f t="shared" si="127"/>
        <v>6</v>
      </c>
      <c r="D1971">
        <f t="shared" si="128"/>
        <v>2024</v>
      </c>
      <c r="E1971">
        <f t="shared" si="129"/>
        <v>1</v>
      </c>
      <c r="F1971" t="s">
        <v>1034</v>
      </c>
      <c r="G1971" t="s">
        <v>854</v>
      </c>
      <c r="H1971" t="s">
        <v>1159</v>
      </c>
      <c r="J1971">
        <v>34</v>
      </c>
      <c r="K1971">
        <f t="shared" si="130"/>
        <v>34</v>
      </c>
      <c r="L1971" t="s">
        <v>763</v>
      </c>
      <c r="R1971" t="s">
        <v>1359</v>
      </c>
    </row>
    <row r="1972" spans="1:18" x14ac:dyDescent="0.25">
      <c r="A1972" t="s">
        <v>341</v>
      </c>
      <c r="B1972" s="4">
        <v>45458</v>
      </c>
      <c r="C1972" s="9">
        <f t="shared" si="127"/>
        <v>6</v>
      </c>
      <c r="D1972">
        <f t="shared" si="128"/>
        <v>2024</v>
      </c>
      <c r="E1972">
        <f t="shared" si="129"/>
        <v>0</v>
      </c>
      <c r="F1972" t="s">
        <v>1034</v>
      </c>
      <c r="G1972" t="s">
        <v>854</v>
      </c>
      <c r="H1972" t="s">
        <v>1160</v>
      </c>
      <c r="J1972">
        <v>49</v>
      </c>
      <c r="K1972">
        <f t="shared" si="130"/>
        <v>49</v>
      </c>
      <c r="L1972" t="s">
        <v>763</v>
      </c>
      <c r="R1972" t="s">
        <v>1359</v>
      </c>
    </row>
    <row r="1973" spans="1:18" x14ac:dyDescent="0.25">
      <c r="A1973" t="s">
        <v>341</v>
      </c>
      <c r="B1973" s="4">
        <v>45459</v>
      </c>
      <c r="C1973" s="9">
        <f t="shared" si="127"/>
        <v>6</v>
      </c>
      <c r="D1973">
        <f t="shared" si="128"/>
        <v>2024</v>
      </c>
      <c r="E1973">
        <f t="shared" si="129"/>
        <v>1</v>
      </c>
      <c r="F1973" t="s">
        <v>1034</v>
      </c>
      <c r="G1973" t="s">
        <v>1049</v>
      </c>
      <c r="H1973" t="s">
        <v>1161</v>
      </c>
      <c r="J1973">
        <v>57</v>
      </c>
      <c r="K1973">
        <f t="shared" si="130"/>
        <v>57</v>
      </c>
      <c r="L1973" t="s">
        <v>763</v>
      </c>
      <c r="R1973" t="s">
        <v>1359</v>
      </c>
    </row>
    <row r="1974" spans="1:18" x14ac:dyDescent="0.25">
      <c r="A1974" t="s">
        <v>341</v>
      </c>
      <c r="B1974" s="4">
        <v>45459</v>
      </c>
      <c r="C1974" s="9">
        <f t="shared" si="127"/>
        <v>6</v>
      </c>
      <c r="D1974">
        <f t="shared" si="128"/>
        <v>2024</v>
      </c>
      <c r="E1974">
        <f t="shared" si="129"/>
        <v>0</v>
      </c>
      <c r="F1974" t="s">
        <v>1034</v>
      </c>
      <c r="G1974" t="s">
        <v>1049</v>
      </c>
      <c r="H1974" t="s">
        <v>1162</v>
      </c>
      <c r="J1974">
        <v>40</v>
      </c>
      <c r="K1974">
        <f t="shared" si="130"/>
        <v>40</v>
      </c>
      <c r="L1974" t="s">
        <v>763</v>
      </c>
      <c r="R1974" t="s">
        <v>1359</v>
      </c>
    </row>
    <row r="1975" spans="1:18" x14ac:dyDescent="0.25">
      <c r="A1975" t="s">
        <v>341</v>
      </c>
      <c r="B1975" s="4">
        <v>45460</v>
      </c>
      <c r="C1975" s="9">
        <f t="shared" si="127"/>
        <v>6</v>
      </c>
      <c r="D1975">
        <f t="shared" si="128"/>
        <v>2024</v>
      </c>
      <c r="E1975">
        <f t="shared" si="129"/>
        <v>1</v>
      </c>
      <c r="F1975" t="s">
        <v>1034</v>
      </c>
      <c r="G1975" t="s">
        <v>1163</v>
      </c>
      <c r="H1975" t="s">
        <v>1164</v>
      </c>
      <c r="J1975">
        <v>21</v>
      </c>
      <c r="K1975">
        <f t="shared" si="130"/>
        <v>21</v>
      </c>
      <c r="L1975" t="s">
        <v>763</v>
      </c>
      <c r="R1975" t="s">
        <v>1364</v>
      </c>
    </row>
    <row r="1976" spans="1:18" x14ac:dyDescent="0.25">
      <c r="A1976" t="s">
        <v>341</v>
      </c>
      <c r="B1976" s="4">
        <v>45460</v>
      </c>
      <c r="C1976" s="9">
        <f t="shared" si="127"/>
        <v>6</v>
      </c>
      <c r="D1976">
        <f t="shared" si="128"/>
        <v>2024</v>
      </c>
      <c r="E1976">
        <f t="shared" si="129"/>
        <v>0</v>
      </c>
      <c r="F1976" t="s">
        <v>1169</v>
      </c>
      <c r="G1976" t="s">
        <v>1165</v>
      </c>
      <c r="H1976" t="s">
        <v>1056</v>
      </c>
      <c r="J1976">
        <v>19</v>
      </c>
      <c r="K1976">
        <f t="shared" si="130"/>
        <v>19</v>
      </c>
      <c r="L1976" t="s">
        <v>763</v>
      </c>
      <c r="M1976" t="s">
        <v>1166</v>
      </c>
      <c r="R1976" t="s">
        <v>1364</v>
      </c>
    </row>
    <row r="1977" spans="1:18" x14ac:dyDescent="0.25">
      <c r="A1977" t="s">
        <v>341</v>
      </c>
      <c r="B1977" s="4">
        <v>45461</v>
      </c>
      <c r="C1977" s="9">
        <f t="shared" si="127"/>
        <v>6</v>
      </c>
      <c r="D1977">
        <f t="shared" si="128"/>
        <v>2024</v>
      </c>
      <c r="E1977">
        <f t="shared" si="129"/>
        <v>1</v>
      </c>
      <c r="F1977" t="s">
        <v>1034</v>
      </c>
      <c r="G1977" t="s">
        <v>1163</v>
      </c>
      <c r="H1977" t="s">
        <v>1167</v>
      </c>
      <c r="J1977">
        <v>16</v>
      </c>
      <c r="K1977">
        <f t="shared" si="130"/>
        <v>16</v>
      </c>
      <c r="L1977" t="s">
        <v>763</v>
      </c>
      <c r="R1977" t="s">
        <v>1364</v>
      </c>
    </row>
    <row r="1978" spans="1:18" x14ac:dyDescent="0.25">
      <c r="A1978" t="s">
        <v>341</v>
      </c>
      <c r="B1978" s="4">
        <v>45461</v>
      </c>
      <c r="C1978" s="9">
        <f t="shared" si="127"/>
        <v>6</v>
      </c>
      <c r="D1978">
        <f t="shared" si="128"/>
        <v>2024</v>
      </c>
      <c r="E1978">
        <f t="shared" si="129"/>
        <v>0</v>
      </c>
      <c r="F1978" t="s">
        <v>1034</v>
      </c>
      <c r="G1978" t="s">
        <v>1163</v>
      </c>
      <c r="H1978" t="s">
        <v>1168</v>
      </c>
      <c r="J1978">
        <v>30</v>
      </c>
      <c r="K1978">
        <f t="shared" si="130"/>
        <v>30</v>
      </c>
      <c r="L1978" t="s">
        <v>763</v>
      </c>
      <c r="R1978" t="s">
        <v>1364</v>
      </c>
    </row>
    <row r="1979" spans="1:18" x14ac:dyDescent="0.25">
      <c r="A1979" t="s">
        <v>341</v>
      </c>
      <c r="B1979" s="4">
        <v>45461</v>
      </c>
      <c r="C1979" s="9">
        <f t="shared" si="127"/>
        <v>6</v>
      </c>
      <c r="D1979">
        <f t="shared" si="128"/>
        <v>2024</v>
      </c>
      <c r="E1979">
        <f t="shared" si="129"/>
        <v>0</v>
      </c>
      <c r="F1979" t="s">
        <v>1034</v>
      </c>
      <c r="G1979" t="s">
        <v>1165</v>
      </c>
      <c r="H1979" t="s">
        <v>1165</v>
      </c>
      <c r="J1979">
        <v>19</v>
      </c>
      <c r="K1979">
        <f t="shared" si="130"/>
        <v>19</v>
      </c>
      <c r="L1979" t="s">
        <v>763</v>
      </c>
      <c r="M1979" t="s">
        <v>1166</v>
      </c>
      <c r="R1979" t="s">
        <v>1359</v>
      </c>
    </row>
    <row r="1980" spans="1:18" x14ac:dyDescent="0.25">
      <c r="A1980" t="s">
        <v>341</v>
      </c>
      <c r="B1980" s="4">
        <v>45463</v>
      </c>
      <c r="C1980" s="9">
        <f t="shared" si="127"/>
        <v>6</v>
      </c>
      <c r="D1980">
        <f t="shared" si="128"/>
        <v>2024</v>
      </c>
      <c r="E1980">
        <f t="shared" si="129"/>
        <v>1</v>
      </c>
      <c r="F1980" t="s">
        <v>1034</v>
      </c>
      <c r="G1980" t="s">
        <v>1170</v>
      </c>
      <c r="H1980" t="s">
        <v>1170</v>
      </c>
      <c r="J1980">
        <v>43</v>
      </c>
      <c r="K1980">
        <f t="shared" si="130"/>
        <v>43</v>
      </c>
      <c r="L1980" t="s">
        <v>763</v>
      </c>
      <c r="M1980" t="s">
        <v>1171</v>
      </c>
      <c r="R1980" t="s">
        <v>1359</v>
      </c>
    </row>
    <row r="1981" spans="1:18" x14ac:dyDescent="0.25">
      <c r="A1981" t="s">
        <v>341</v>
      </c>
      <c r="B1981" s="4">
        <v>45464</v>
      </c>
      <c r="C1981" s="9">
        <f t="shared" si="127"/>
        <v>6</v>
      </c>
      <c r="D1981">
        <f t="shared" si="128"/>
        <v>2024</v>
      </c>
      <c r="E1981">
        <f t="shared" si="129"/>
        <v>1</v>
      </c>
      <c r="F1981" t="s">
        <v>1034</v>
      </c>
      <c r="G1981" t="s">
        <v>1163</v>
      </c>
      <c r="H1981" t="s">
        <v>1172</v>
      </c>
      <c r="I1981">
        <v>3</v>
      </c>
      <c r="J1981">
        <v>0</v>
      </c>
      <c r="K1981">
        <f t="shared" si="130"/>
        <v>180</v>
      </c>
      <c r="L1981" t="s">
        <v>763</v>
      </c>
      <c r="R1981" t="s">
        <v>1359</v>
      </c>
    </row>
    <row r="1982" spans="1:18" x14ac:dyDescent="0.25">
      <c r="A1982" t="s">
        <v>341</v>
      </c>
      <c r="B1982" s="4">
        <v>45467</v>
      </c>
      <c r="C1982" s="9">
        <f t="shared" si="127"/>
        <v>6</v>
      </c>
      <c r="D1982">
        <f t="shared" si="128"/>
        <v>2024</v>
      </c>
      <c r="E1982">
        <f t="shared" si="129"/>
        <v>1</v>
      </c>
      <c r="F1982" t="s">
        <v>1034</v>
      </c>
      <c r="G1982" t="s">
        <v>101</v>
      </c>
      <c r="H1982" t="s">
        <v>741</v>
      </c>
      <c r="I1982">
        <v>1</v>
      </c>
      <c r="J1982">
        <v>2</v>
      </c>
      <c r="K1982">
        <f t="shared" si="130"/>
        <v>62</v>
      </c>
      <c r="R1982" t="s">
        <v>1348</v>
      </c>
    </row>
    <row r="1983" spans="1:18" x14ac:dyDescent="0.25">
      <c r="A1983" t="s">
        <v>341</v>
      </c>
      <c r="B1983" s="4">
        <v>45468</v>
      </c>
      <c r="C1983" s="9">
        <f t="shared" si="127"/>
        <v>6</v>
      </c>
      <c r="D1983">
        <f t="shared" si="128"/>
        <v>2024</v>
      </c>
      <c r="E1983">
        <f t="shared" si="129"/>
        <v>1</v>
      </c>
      <c r="F1983" t="s">
        <v>1034</v>
      </c>
      <c r="G1983" t="s">
        <v>101</v>
      </c>
      <c r="H1983" t="s">
        <v>741</v>
      </c>
      <c r="I1983">
        <v>1</v>
      </c>
      <c r="J1983">
        <v>25</v>
      </c>
      <c r="K1983">
        <f t="shared" si="130"/>
        <v>85</v>
      </c>
      <c r="R1983" t="s">
        <v>1348</v>
      </c>
    </row>
    <row r="1984" spans="1:18" x14ac:dyDescent="0.25">
      <c r="A1984" t="s">
        <v>341</v>
      </c>
      <c r="B1984" s="4">
        <v>45470</v>
      </c>
      <c r="C1984" s="9">
        <f t="shared" si="127"/>
        <v>6</v>
      </c>
      <c r="D1984">
        <f t="shared" si="128"/>
        <v>2024</v>
      </c>
      <c r="E1984">
        <f t="shared" si="129"/>
        <v>1</v>
      </c>
      <c r="F1984" t="s">
        <v>1034</v>
      </c>
      <c r="G1984" t="s">
        <v>101</v>
      </c>
      <c r="H1984" t="s">
        <v>153</v>
      </c>
      <c r="I1984">
        <v>1</v>
      </c>
      <c r="J1984">
        <v>4</v>
      </c>
      <c r="K1984">
        <f t="shared" si="130"/>
        <v>64</v>
      </c>
      <c r="R1984" t="s">
        <v>1348</v>
      </c>
    </row>
    <row r="1985" spans="1:18" x14ac:dyDescent="0.25">
      <c r="A1985" t="s">
        <v>341</v>
      </c>
      <c r="B1985" s="4">
        <v>45471</v>
      </c>
      <c r="C1985" s="9">
        <f t="shared" si="127"/>
        <v>6</v>
      </c>
      <c r="D1985">
        <f t="shared" si="128"/>
        <v>2024</v>
      </c>
      <c r="E1985">
        <f t="shared" si="129"/>
        <v>1</v>
      </c>
      <c r="F1985" t="s">
        <v>1034</v>
      </c>
      <c r="G1985" t="s">
        <v>101</v>
      </c>
      <c r="H1985" t="s">
        <v>153</v>
      </c>
      <c r="I1985">
        <v>1</v>
      </c>
      <c r="J1985">
        <v>29</v>
      </c>
      <c r="K1985">
        <f t="shared" si="130"/>
        <v>89</v>
      </c>
      <c r="R1985" t="s">
        <v>1348</v>
      </c>
    </row>
    <row r="1986" spans="1:18" x14ac:dyDescent="0.25">
      <c r="A1986" t="s">
        <v>341</v>
      </c>
      <c r="B1986" s="4">
        <v>45477</v>
      </c>
      <c r="C1986" s="9">
        <f t="shared" ref="C1986:C1998" si="131">MONTH(B1986)</f>
        <v>7</v>
      </c>
      <c r="D1986">
        <f t="shared" si="128"/>
        <v>2024</v>
      </c>
      <c r="E1986">
        <f t="shared" si="129"/>
        <v>1</v>
      </c>
      <c r="F1986" t="s">
        <v>1034</v>
      </c>
      <c r="G1986" t="s">
        <v>101</v>
      </c>
      <c r="H1986" t="s">
        <v>153</v>
      </c>
      <c r="J1986">
        <v>46</v>
      </c>
      <c r="K1986">
        <f t="shared" si="130"/>
        <v>46</v>
      </c>
      <c r="R1986" t="s">
        <v>1348</v>
      </c>
    </row>
    <row r="1987" spans="1:18" x14ac:dyDescent="0.25">
      <c r="A1987" t="s">
        <v>341</v>
      </c>
      <c r="B1987" s="4">
        <v>45478</v>
      </c>
      <c r="C1987" s="9">
        <f t="shared" si="131"/>
        <v>7</v>
      </c>
      <c r="D1987">
        <f t="shared" si="128"/>
        <v>2024</v>
      </c>
      <c r="E1987">
        <f t="shared" si="129"/>
        <v>1</v>
      </c>
      <c r="F1987" t="s">
        <v>1034</v>
      </c>
      <c r="G1987" t="s">
        <v>101</v>
      </c>
      <c r="H1987" t="s">
        <v>153</v>
      </c>
      <c r="I1987">
        <v>1</v>
      </c>
      <c r="J1987">
        <v>17</v>
      </c>
      <c r="K1987">
        <f t="shared" si="130"/>
        <v>77</v>
      </c>
      <c r="R1987" t="s">
        <v>1348</v>
      </c>
    </row>
    <row r="1988" spans="1:18" x14ac:dyDescent="0.25">
      <c r="A1988" t="s">
        <v>341</v>
      </c>
      <c r="B1988" s="4">
        <v>45482</v>
      </c>
      <c r="C1988" s="9">
        <f t="shared" si="131"/>
        <v>7</v>
      </c>
      <c r="D1988">
        <f t="shared" si="128"/>
        <v>2024</v>
      </c>
      <c r="E1988">
        <f t="shared" si="129"/>
        <v>1</v>
      </c>
      <c r="F1988" t="s">
        <v>1034</v>
      </c>
      <c r="G1988" t="s">
        <v>101</v>
      </c>
      <c r="H1988" t="s">
        <v>153</v>
      </c>
      <c r="J1988">
        <v>58</v>
      </c>
      <c r="K1988">
        <f t="shared" si="130"/>
        <v>58</v>
      </c>
      <c r="R1988" t="s">
        <v>1348</v>
      </c>
    </row>
    <row r="1989" spans="1:18" x14ac:dyDescent="0.25">
      <c r="A1989" t="s">
        <v>341</v>
      </c>
      <c r="B1989" s="4">
        <v>45484</v>
      </c>
      <c r="C1989" s="9">
        <f t="shared" si="131"/>
        <v>7</v>
      </c>
      <c r="D1989">
        <f t="shared" si="128"/>
        <v>2024</v>
      </c>
      <c r="E1989">
        <f t="shared" si="129"/>
        <v>1</v>
      </c>
      <c r="F1989" t="s">
        <v>1034</v>
      </c>
      <c r="G1989" t="s">
        <v>101</v>
      </c>
      <c r="H1989" t="s">
        <v>153</v>
      </c>
      <c r="I1989">
        <v>1</v>
      </c>
      <c r="J1989">
        <v>3</v>
      </c>
      <c r="K1989">
        <f t="shared" si="130"/>
        <v>63</v>
      </c>
      <c r="R1989" t="s">
        <v>1348</v>
      </c>
    </row>
    <row r="1990" spans="1:18" x14ac:dyDescent="0.25">
      <c r="A1990" t="s">
        <v>341</v>
      </c>
      <c r="B1990" s="4">
        <v>45486</v>
      </c>
      <c r="C1990" s="9">
        <f t="shared" si="131"/>
        <v>7</v>
      </c>
      <c r="D1990">
        <f t="shared" si="128"/>
        <v>2024</v>
      </c>
      <c r="E1990">
        <f t="shared" si="129"/>
        <v>1</v>
      </c>
      <c r="F1990" t="s">
        <v>1034</v>
      </c>
      <c r="G1990" t="s">
        <v>101</v>
      </c>
      <c r="H1990" t="s">
        <v>153</v>
      </c>
      <c r="I1990">
        <v>1</v>
      </c>
      <c r="J1990">
        <v>36</v>
      </c>
      <c r="K1990">
        <f t="shared" si="130"/>
        <v>96</v>
      </c>
      <c r="R1990" t="s">
        <v>1348</v>
      </c>
    </row>
    <row r="1991" spans="1:18" x14ac:dyDescent="0.25">
      <c r="A1991" t="s">
        <v>341</v>
      </c>
      <c r="B1991" s="4">
        <v>45487</v>
      </c>
      <c r="C1991" s="9">
        <f t="shared" si="131"/>
        <v>7</v>
      </c>
      <c r="D1991">
        <f t="shared" si="128"/>
        <v>2024</v>
      </c>
      <c r="E1991">
        <f t="shared" si="129"/>
        <v>1</v>
      </c>
      <c r="F1991" t="s">
        <v>1034</v>
      </c>
      <c r="G1991" t="s">
        <v>101</v>
      </c>
      <c r="H1991" t="s">
        <v>741</v>
      </c>
      <c r="I1991">
        <v>1</v>
      </c>
      <c r="J1991">
        <v>15</v>
      </c>
      <c r="K1991">
        <f t="shared" si="130"/>
        <v>75</v>
      </c>
      <c r="R1991" t="s">
        <v>1348</v>
      </c>
    </row>
    <row r="1992" spans="1:18" x14ac:dyDescent="0.25">
      <c r="A1992" t="s">
        <v>341</v>
      </c>
      <c r="B1992" s="4">
        <v>45488</v>
      </c>
      <c r="C1992" s="9">
        <f t="shared" si="131"/>
        <v>7</v>
      </c>
      <c r="D1992">
        <f t="shared" si="128"/>
        <v>2024</v>
      </c>
      <c r="E1992">
        <f t="shared" si="129"/>
        <v>1</v>
      </c>
      <c r="F1992" t="s">
        <v>1034</v>
      </c>
      <c r="G1992" t="s">
        <v>101</v>
      </c>
      <c r="H1992" t="s">
        <v>912</v>
      </c>
      <c r="I1992">
        <v>1</v>
      </c>
      <c r="J1992">
        <v>22</v>
      </c>
      <c r="K1992">
        <f t="shared" si="130"/>
        <v>82</v>
      </c>
      <c r="R1992" t="s">
        <v>1348</v>
      </c>
    </row>
    <row r="1993" spans="1:18" x14ac:dyDescent="0.25">
      <c r="A1993" t="s">
        <v>341</v>
      </c>
      <c r="B1993" s="4">
        <v>45490</v>
      </c>
      <c r="C1993" s="9">
        <f t="shared" si="131"/>
        <v>7</v>
      </c>
      <c r="D1993">
        <f t="shared" si="128"/>
        <v>2024</v>
      </c>
      <c r="E1993">
        <f t="shared" si="129"/>
        <v>1</v>
      </c>
      <c r="F1993" t="s">
        <v>1034</v>
      </c>
      <c r="G1993" t="s">
        <v>101</v>
      </c>
      <c r="H1993" t="s">
        <v>153</v>
      </c>
      <c r="I1993">
        <v>1</v>
      </c>
      <c r="J1993">
        <v>31</v>
      </c>
      <c r="K1993">
        <f t="shared" si="130"/>
        <v>91</v>
      </c>
      <c r="R1993" t="s">
        <v>1348</v>
      </c>
    </row>
    <row r="1994" spans="1:18" x14ac:dyDescent="0.25">
      <c r="A1994" t="s">
        <v>341</v>
      </c>
      <c r="B1994" s="4">
        <v>45491</v>
      </c>
      <c r="C1994" s="9">
        <f t="shared" si="131"/>
        <v>7</v>
      </c>
      <c r="D1994">
        <f t="shared" si="128"/>
        <v>2024</v>
      </c>
      <c r="E1994">
        <f t="shared" si="129"/>
        <v>1</v>
      </c>
      <c r="F1994" t="s">
        <v>1034</v>
      </c>
      <c r="G1994" t="s">
        <v>406</v>
      </c>
      <c r="H1994" t="s">
        <v>153</v>
      </c>
      <c r="I1994">
        <v>1</v>
      </c>
      <c r="J1994">
        <v>1</v>
      </c>
      <c r="K1994">
        <f t="shared" si="130"/>
        <v>61</v>
      </c>
      <c r="R1994" t="s">
        <v>1348</v>
      </c>
    </row>
    <row r="1995" spans="1:18" x14ac:dyDescent="0.25">
      <c r="A1995" t="s">
        <v>341</v>
      </c>
      <c r="B1995" s="4">
        <v>45492</v>
      </c>
      <c r="C1995" s="9">
        <f t="shared" si="131"/>
        <v>7</v>
      </c>
      <c r="D1995">
        <f t="shared" si="128"/>
        <v>2024</v>
      </c>
      <c r="E1995">
        <f t="shared" si="129"/>
        <v>1</v>
      </c>
      <c r="F1995" t="s">
        <v>1034</v>
      </c>
      <c r="G1995" t="s">
        <v>101</v>
      </c>
      <c r="H1995" t="s">
        <v>741</v>
      </c>
      <c r="J1995">
        <v>50</v>
      </c>
      <c r="K1995">
        <f t="shared" si="130"/>
        <v>50</v>
      </c>
      <c r="R1995" t="s">
        <v>1348</v>
      </c>
    </row>
    <row r="1996" spans="1:18" x14ac:dyDescent="0.25">
      <c r="A1996" t="s">
        <v>341</v>
      </c>
      <c r="B1996" s="4">
        <v>45493</v>
      </c>
      <c r="C1996" s="9">
        <f t="shared" si="131"/>
        <v>7</v>
      </c>
      <c r="D1996">
        <f t="shared" si="128"/>
        <v>2024</v>
      </c>
      <c r="E1996">
        <f t="shared" si="129"/>
        <v>1</v>
      </c>
      <c r="F1996" t="s">
        <v>1034</v>
      </c>
      <c r="G1996" t="s">
        <v>406</v>
      </c>
      <c r="H1996" t="s">
        <v>153</v>
      </c>
      <c r="I1996">
        <v>1</v>
      </c>
      <c r="J1996">
        <v>7</v>
      </c>
      <c r="K1996">
        <f t="shared" si="130"/>
        <v>67</v>
      </c>
      <c r="R1996" t="s">
        <v>1348</v>
      </c>
    </row>
    <row r="1997" spans="1:18" x14ac:dyDescent="0.25">
      <c r="A1997" t="s">
        <v>341</v>
      </c>
      <c r="B1997" s="4">
        <v>45496</v>
      </c>
      <c r="C1997" s="9">
        <f t="shared" si="131"/>
        <v>7</v>
      </c>
      <c r="D1997">
        <f t="shared" si="128"/>
        <v>2024</v>
      </c>
      <c r="E1997">
        <f t="shared" si="129"/>
        <v>1</v>
      </c>
      <c r="F1997" t="s">
        <v>1034</v>
      </c>
      <c r="G1997" t="s">
        <v>409</v>
      </c>
      <c r="H1997" t="s">
        <v>153</v>
      </c>
      <c r="J1997">
        <v>28</v>
      </c>
      <c r="K1997">
        <f t="shared" si="130"/>
        <v>28</v>
      </c>
      <c r="R1997" t="s">
        <v>1348</v>
      </c>
    </row>
    <row r="1998" spans="1:18" x14ac:dyDescent="0.25">
      <c r="A1998" t="s">
        <v>341</v>
      </c>
      <c r="B1998" s="4">
        <v>45497</v>
      </c>
      <c r="C1998" s="9">
        <f t="shared" si="131"/>
        <v>7</v>
      </c>
      <c r="D1998">
        <f t="shared" si="128"/>
        <v>2024</v>
      </c>
      <c r="E1998">
        <f t="shared" si="129"/>
        <v>1</v>
      </c>
      <c r="F1998" t="s">
        <v>1034</v>
      </c>
      <c r="G1998" t="s">
        <v>406</v>
      </c>
      <c r="H1998" t="s">
        <v>153</v>
      </c>
      <c r="I1998">
        <v>1</v>
      </c>
      <c r="J1998">
        <v>0</v>
      </c>
      <c r="K1998">
        <f t="shared" si="130"/>
        <v>60</v>
      </c>
      <c r="R1998" t="s">
        <v>1348</v>
      </c>
    </row>
    <row r="1999" spans="1:18" x14ac:dyDescent="0.25">
      <c r="A1999" t="s">
        <v>341</v>
      </c>
      <c r="B1999" s="4">
        <v>45498</v>
      </c>
      <c r="C1999" s="9">
        <f t="shared" ref="C1999:C2062" si="132">MONTH(B1999)</f>
        <v>7</v>
      </c>
      <c r="D1999">
        <f t="shared" ref="D1999:D2062" si="133">YEAR(B1999)</f>
        <v>2024</v>
      </c>
      <c r="E1999">
        <f t="shared" ref="E1999:E2062" si="134">IF(OR(A1999 = "GS",A1999 = "BP"),IF( OR(A1998="GS",A1998="BP"),IF(B1998=B1999,0,1),1),0)</f>
        <v>1</v>
      </c>
      <c r="F1999" t="s">
        <v>1034</v>
      </c>
      <c r="G1999" t="s">
        <v>101</v>
      </c>
      <c r="H1999" t="s">
        <v>153</v>
      </c>
      <c r="I1999">
        <v>1</v>
      </c>
      <c r="J1999">
        <v>36</v>
      </c>
      <c r="K1999">
        <f t="shared" ref="K1999:K2062" si="135">I1999*60+J1999</f>
        <v>96</v>
      </c>
      <c r="R1999" t="s">
        <v>1348</v>
      </c>
    </row>
    <row r="2000" spans="1:18" x14ac:dyDescent="0.25">
      <c r="A2000" t="s">
        <v>341</v>
      </c>
      <c r="B2000" s="4">
        <v>45499</v>
      </c>
      <c r="C2000" s="9">
        <f t="shared" si="132"/>
        <v>7</v>
      </c>
      <c r="D2000">
        <f t="shared" si="133"/>
        <v>2024</v>
      </c>
      <c r="E2000">
        <f t="shared" si="134"/>
        <v>1</v>
      </c>
      <c r="F2000" t="s">
        <v>1034</v>
      </c>
      <c r="G2000" t="s">
        <v>101</v>
      </c>
      <c r="H2000" t="s">
        <v>912</v>
      </c>
      <c r="I2000">
        <v>1</v>
      </c>
      <c r="J2000">
        <v>13</v>
      </c>
      <c r="K2000">
        <f t="shared" si="135"/>
        <v>73</v>
      </c>
      <c r="R2000" t="s">
        <v>1348</v>
      </c>
    </row>
    <row r="2001" spans="1:18" x14ac:dyDescent="0.25">
      <c r="A2001" t="s">
        <v>341</v>
      </c>
      <c r="B2001" s="4">
        <v>45500</v>
      </c>
      <c r="C2001" s="9">
        <f t="shared" si="132"/>
        <v>7</v>
      </c>
      <c r="D2001">
        <f t="shared" si="133"/>
        <v>2024</v>
      </c>
      <c r="E2001">
        <f t="shared" si="134"/>
        <v>1</v>
      </c>
      <c r="F2001" t="s">
        <v>1034</v>
      </c>
      <c r="G2001" t="s">
        <v>101</v>
      </c>
      <c r="H2001" t="s">
        <v>153</v>
      </c>
      <c r="J2001">
        <v>45</v>
      </c>
      <c r="K2001">
        <f t="shared" si="135"/>
        <v>45</v>
      </c>
      <c r="R2001" t="s">
        <v>1348</v>
      </c>
    </row>
    <row r="2002" spans="1:18" x14ac:dyDescent="0.25">
      <c r="A2002" t="s">
        <v>344</v>
      </c>
      <c r="B2002" s="4">
        <v>45502</v>
      </c>
      <c r="C2002" s="9">
        <f t="shared" si="132"/>
        <v>7</v>
      </c>
      <c r="D2002">
        <f t="shared" si="133"/>
        <v>2024</v>
      </c>
      <c r="E2002">
        <f t="shared" si="134"/>
        <v>1</v>
      </c>
      <c r="F2002" t="s">
        <v>299</v>
      </c>
      <c r="G2002" t="s">
        <v>406</v>
      </c>
      <c r="H2002" t="s">
        <v>741</v>
      </c>
      <c r="I2002">
        <v>1</v>
      </c>
      <c r="J2002">
        <v>7</v>
      </c>
      <c r="K2002">
        <f t="shared" si="135"/>
        <v>67</v>
      </c>
      <c r="M2002" t="s">
        <v>1176</v>
      </c>
      <c r="R2002" t="s">
        <v>1348</v>
      </c>
    </row>
    <row r="2003" spans="1:18" x14ac:dyDescent="0.25">
      <c r="A2003" t="s">
        <v>341</v>
      </c>
      <c r="B2003" s="4">
        <v>45503</v>
      </c>
      <c r="C2003" s="9">
        <f t="shared" si="132"/>
        <v>7</v>
      </c>
      <c r="D2003">
        <f t="shared" si="133"/>
        <v>2024</v>
      </c>
      <c r="E2003">
        <f t="shared" si="134"/>
        <v>1</v>
      </c>
      <c r="F2003" t="s">
        <v>1034</v>
      </c>
      <c r="G2003" t="s">
        <v>101</v>
      </c>
      <c r="H2003" t="s">
        <v>153</v>
      </c>
      <c r="I2003">
        <v>2</v>
      </c>
      <c r="J2003">
        <v>1</v>
      </c>
      <c r="K2003">
        <f t="shared" si="135"/>
        <v>121</v>
      </c>
      <c r="R2003" t="s">
        <v>1348</v>
      </c>
    </row>
    <row r="2004" spans="1:18" x14ac:dyDescent="0.25">
      <c r="A2004" t="s">
        <v>341</v>
      </c>
      <c r="B2004" s="4">
        <v>45504</v>
      </c>
      <c r="C2004" s="9">
        <f t="shared" si="132"/>
        <v>7</v>
      </c>
      <c r="D2004">
        <f t="shared" si="133"/>
        <v>2024</v>
      </c>
      <c r="E2004">
        <f t="shared" si="134"/>
        <v>1</v>
      </c>
      <c r="F2004" t="s">
        <v>1034</v>
      </c>
      <c r="G2004" t="s">
        <v>101</v>
      </c>
      <c r="H2004" t="s">
        <v>912</v>
      </c>
      <c r="J2004">
        <v>53</v>
      </c>
      <c r="K2004">
        <f t="shared" si="135"/>
        <v>53</v>
      </c>
      <c r="R2004" t="s">
        <v>1348</v>
      </c>
    </row>
    <row r="2005" spans="1:18" x14ac:dyDescent="0.25">
      <c r="A2005" t="s">
        <v>341</v>
      </c>
      <c r="B2005" s="4">
        <v>45508</v>
      </c>
      <c r="C2005" s="9">
        <f t="shared" si="132"/>
        <v>8</v>
      </c>
      <c r="D2005">
        <f t="shared" si="133"/>
        <v>2024</v>
      </c>
      <c r="E2005">
        <f t="shared" si="134"/>
        <v>1</v>
      </c>
      <c r="F2005" t="s">
        <v>1034</v>
      </c>
      <c r="G2005" t="s">
        <v>406</v>
      </c>
      <c r="H2005" t="s">
        <v>244</v>
      </c>
      <c r="I2005">
        <v>1</v>
      </c>
      <c r="J2005">
        <v>5</v>
      </c>
      <c r="K2005">
        <f t="shared" si="135"/>
        <v>65</v>
      </c>
      <c r="M2005" t="s">
        <v>1177</v>
      </c>
      <c r="R2005" t="s">
        <v>1348</v>
      </c>
    </row>
    <row r="2006" spans="1:18" x14ac:dyDescent="0.25">
      <c r="A2006" t="s">
        <v>341</v>
      </c>
      <c r="B2006" s="4">
        <v>45509</v>
      </c>
      <c r="C2006" s="9">
        <f t="shared" si="132"/>
        <v>8</v>
      </c>
      <c r="D2006">
        <f t="shared" si="133"/>
        <v>2024</v>
      </c>
      <c r="E2006">
        <f t="shared" si="134"/>
        <v>1</v>
      </c>
      <c r="F2006" t="s">
        <v>1034</v>
      </c>
      <c r="G2006" t="s">
        <v>101</v>
      </c>
      <c r="H2006" t="s">
        <v>741</v>
      </c>
      <c r="I2006">
        <v>2</v>
      </c>
      <c r="J2006">
        <v>32</v>
      </c>
      <c r="K2006">
        <f t="shared" si="135"/>
        <v>152</v>
      </c>
      <c r="R2006" t="s">
        <v>1348</v>
      </c>
    </row>
    <row r="2007" spans="1:18" x14ac:dyDescent="0.25">
      <c r="A2007" t="s">
        <v>341</v>
      </c>
      <c r="B2007" s="4">
        <v>45510</v>
      </c>
      <c r="C2007" s="9">
        <f t="shared" si="132"/>
        <v>8</v>
      </c>
      <c r="D2007">
        <f t="shared" si="133"/>
        <v>2024</v>
      </c>
      <c r="E2007">
        <f t="shared" si="134"/>
        <v>1</v>
      </c>
      <c r="F2007" t="s">
        <v>1034</v>
      </c>
      <c r="G2007" t="s">
        <v>101</v>
      </c>
      <c r="H2007" t="s">
        <v>153</v>
      </c>
      <c r="I2007">
        <v>1</v>
      </c>
      <c r="J2007">
        <v>54</v>
      </c>
      <c r="K2007">
        <f t="shared" si="135"/>
        <v>114</v>
      </c>
      <c r="R2007" t="s">
        <v>1348</v>
      </c>
    </row>
    <row r="2008" spans="1:18" x14ac:dyDescent="0.25">
      <c r="A2008" t="s">
        <v>341</v>
      </c>
      <c r="B2008" s="4">
        <v>45512</v>
      </c>
      <c r="C2008" s="9">
        <f t="shared" si="132"/>
        <v>8</v>
      </c>
      <c r="D2008">
        <f t="shared" si="133"/>
        <v>2024</v>
      </c>
      <c r="E2008">
        <f t="shared" si="134"/>
        <v>1</v>
      </c>
      <c r="F2008" t="s">
        <v>948</v>
      </c>
      <c r="G2008" t="s">
        <v>101</v>
      </c>
      <c r="H2008" t="s">
        <v>741</v>
      </c>
      <c r="I2008">
        <v>1</v>
      </c>
      <c r="J2008">
        <v>46</v>
      </c>
      <c r="K2008">
        <f t="shared" si="135"/>
        <v>106</v>
      </c>
      <c r="R2008" t="s">
        <v>1348</v>
      </c>
    </row>
    <row r="2009" spans="1:18" x14ac:dyDescent="0.25">
      <c r="A2009" t="s">
        <v>341</v>
      </c>
      <c r="B2009" s="4">
        <v>45513</v>
      </c>
      <c r="C2009" s="9">
        <f t="shared" si="132"/>
        <v>8</v>
      </c>
      <c r="D2009">
        <f t="shared" si="133"/>
        <v>2024</v>
      </c>
      <c r="E2009">
        <f t="shared" si="134"/>
        <v>1</v>
      </c>
      <c r="F2009" t="s">
        <v>948</v>
      </c>
      <c r="G2009" t="s">
        <v>101</v>
      </c>
      <c r="H2009" t="s">
        <v>153</v>
      </c>
      <c r="I2009">
        <v>2</v>
      </c>
      <c r="J2009">
        <v>5</v>
      </c>
      <c r="K2009">
        <f t="shared" si="135"/>
        <v>125</v>
      </c>
      <c r="M2009" t="s">
        <v>1179</v>
      </c>
      <c r="R2009" t="s">
        <v>1348</v>
      </c>
    </row>
    <row r="2010" spans="1:18" x14ac:dyDescent="0.25">
      <c r="A2010" t="s">
        <v>341</v>
      </c>
      <c r="B2010" s="4">
        <v>45514</v>
      </c>
      <c r="C2010" s="9">
        <f t="shared" si="132"/>
        <v>8</v>
      </c>
      <c r="D2010">
        <f t="shared" si="133"/>
        <v>2024</v>
      </c>
      <c r="E2010">
        <f t="shared" si="134"/>
        <v>1</v>
      </c>
      <c r="F2010" t="s">
        <v>948</v>
      </c>
      <c r="G2010" t="s">
        <v>101</v>
      </c>
      <c r="H2010" t="s">
        <v>1063</v>
      </c>
      <c r="I2010">
        <v>4</v>
      </c>
      <c r="J2010">
        <v>52</v>
      </c>
      <c r="K2010">
        <f t="shared" si="135"/>
        <v>292</v>
      </c>
      <c r="M2010" t="s">
        <v>1181</v>
      </c>
      <c r="R2010" t="s">
        <v>1348</v>
      </c>
    </row>
    <row r="2011" spans="1:18" x14ac:dyDescent="0.25">
      <c r="A2011" t="s">
        <v>341</v>
      </c>
      <c r="B2011" s="4">
        <v>45515</v>
      </c>
      <c r="C2011" s="9">
        <f t="shared" si="132"/>
        <v>8</v>
      </c>
      <c r="D2011">
        <f t="shared" si="133"/>
        <v>2024</v>
      </c>
      <c r="E2011">
        <f t="shared" si="134"/>
        <v>1</v>
      </c>
      <c r="F2011" t="s">
        <v>948</v>
      </c>
      <c r="G2011" t="s">
        <v>101</v>
      </c>
      <c r="H2011" t="s">
        <v>741</v>
      </c>
      <c r="I2011">
        <v>2</v>
      </c>
      <c r="J2011">
        <v>13</v>
      </c>
      <c r="K2011">
        <f t="shared" si="135"/>
        <v>133</v>
      </c>
      <c r="R2011" t="s">
        <v>1348</v>
      </c>
    </row>
    <row r="2012" spans="1:18" x14ac:dyDescent="0.25">
      <c r="A2012" t="s">
        <v>341</v>
      </c>
      <c r="B2012" s="4">
        <v>45516</v>
      </c>
      <c r="C2012" s="9">
        <f t="shared" si="132"/>
        <v>8</v>
      </c>
      <c r="D2012">
        <f t="shared" si="133"/>
        <v>2024</v>
      </c>
      <c r="E2012">
        <f t="shared" si="134"/>
        <v>1</v>
      </c>
      <c r="F2012" t="s">
        <v>948</v>
      </c>
      <c r="G2012" t="s">
        <v>101</v>
      </c>
      <c r="H2012" t="s">
        <v>244</v>
      </c>
      <c r="I2012">
        <v>2</v>
      </c>
      <c r="J2012">
        <v>18</v>
      </c>
      <c r="K2012">
        <f t="shared" si="135"/>
        <v>138</v>
      </c>
      <c r="R2012" t="s">
        <v>1348</v>
      </c>
    </row>
    <row r="2013" spans="1:18" x14ac:dyDescent="0.25">
      <c r="A2013" t="s">
        <v>341</v>
      </c>
      <c r="B2013" s="4">
        <v>45517</v>
      </c>
      <c r="C2013" s="9">
        <f t="shared" si="132"/>
        <v>8</v>
      </c>
      <c r="D2013">
        <f t="shared" si="133"/>
        <v>2024</v>
      </c>
      <c r="E2013">
        <f t="shared" si="134"/>
        <v>1</v>
      </c>
      <c r="F2013" t="s">
        <v>948</v>
      </c>
      <c r="G2013" t="s">
        <v>406</v>
      </c>
      <c r="H2013" t="s">
        <v>153</v>
      </c>
      <c r="I2013">
        <v>1</v>
      </c>
      <c r="J2013">
        <v>6</v>
      </c>
      <c r="K2013">
        <f t="shared" si="135"/>
        <v>66</v>
      </c>
      <c r="R2013" t="s">
        <v>1348</v>
      </c>
    </row>
    <row r="2014" spans="1:18" x14ac:dyDescent="0.25">
      <c r="A2014" t="s">
        <v>341</v>
      </c>
      <c r="B2014" s="4">
        <v>45518</v>
      </c>
      <c r="C2014" s="9">
        <f t="shared" si="132"/>
        <v>8</v>
      </c>
      <c r="D2014">
        <f t="shared" si="133"/>
        <v>2024</v>
      </c>
      <c r="E2014">
        <f t="shared" si="134"/>
        <v>1</v>
      </c>
      <c r="F2014" t="s">
        <v>948</v>
      </c>
      <c r="G2014" t="s">
        <v>101</v>
      </c>
      <c r="H2014" t="s">
        <v>244</v>
      </c>
      <c r="J2014">
        <v>13</v>
      </c>
      <c r="K2014">
        <f t="shared" si="135"/>
        <v>13</v>
      </c>
      <c r="R2014" t="s">
        <v>1348</v>
      </c>
    </row>
    <row r="2015" spans="1:18" x14ac:dyDescent="0.25">
      <c r="A2015" t="s">
        <v>341</v>
      </c>
      <c r="B2015" s="4">
        <v>45519</v>
      </c>
      <c r="C2015" s="9">
        <f t="shared" si="132"/>
        <v>8</v>
      </c>
      <c r="D2015">
        <f t="shared" si="133"/>
        <v>2024</v>
      </c>
      <c r="E2015">
        <f t="shared" si="134"/>
        <v>1</v>
      </c>
      <c r="F2015" t="s">
        <v>948</v>
      </c>
      <c r="G2015" t="s">
        <v>101</v>
      </c>
      <c r="H2015" t="s">
        <v>153</v>
      </c>
      <c r="I2015">
        <v>1</v>
      </c>
      <c r="J2015">
        <v>55</v>
      </c>
      <c r="K2015">
        <f t="shared" si="135"/>
        <v>115</v>
      </c>
      <c r="R2015" t="s">
        <v>1348</v>
      </c>
    </row>
    <row r="2016" spans="1:18" x14ac:dyDescent="0.25">
      <c r="A2016" t="s">
        <v>341</v>
      </c>
      <c r="B2016" s="4">
        <v>45520</v>
      </c>
      <c r="C2016" s="9">
        <f t="shared" si="132"/>
        <v>8</v>
      </c>
      <c r="D2016">
        <f t="shared" si="133"/>
        <v>2024</v>
      </c>
      <c r="E2016">
        <f t="shared" si="134"/>
        <v>1</v>
      </c>
      <c r="F2016" t="s">
        <v>948</v>
      </c>
      <c r="G2016" t="s">
        <v>101</v>
      </c>
      <c r="H2016" t="s">
        <v>153</v>
      </c>
      <c r="I2016">
        <v>1</v>
      </c>
      <c r="J2016">
        <v>12</v>
      </c>
      <c r="K2016">
        <f t="shared" si="135"/>
        <v>72</v>
      </c>
      <c r="R2016" t="s">
        <v>1348</v>
      </c>
    </row>
    <row r="2017" spans="1:18" x14ac:dyDescent="0.25">
      <c r="A2017" t="s">
        <v>341</v>
      </c>
      <c r="B2017" s="4">
        <v>45524</v>
      </c>
      <c r="C2017" s="9">
        <f t="shared" si="132"/>
        <v>8</v>
      </c>
      <c r="D2017">
        <f t="shared" si="133"/>
        <v>2024</v>
      </c>
      <c r="E2017">
        <f t="shared" si="134"/>
        <v>1</v>
      </c>
      <c r="F2017" t="s">
        <v>1034</v>
      </c>
      <c r="G2017" t="s">
        <v>406</v>
      </c>
      <c r="H2017" t="s">
        <v>153</v>
      </c>
      <c r="I2017">
        <v>2</v>
      </c>
      <c r="J2017">
        <v>15</v>
      </c>
      <c r="K2017">
        <f t="shared" si="135"/>
        <v>135</v>
      </c>
      <c r="M2017" t="s">
        <v>1182</v>
      </c>
      <c r="R2017" t="s">
        <v>1348</v>
      </c>
    </row>
    <row r="2018" spans="1:18" x14ac:dyDescent="0.25">
      <c r="A2018" t="s">
        <v>341</v>
      </c>
      <c r="B2018" s="4">
        <v>45526</v>
      </c>
      <c r="C2018" s="9">
        <f t="shared" si="132"/>
        <v>8</v>
      </c>
      <c r="D2018">
        <f t="shared" si="133"/>
        <v>2024</v>
      </c>
      <c r="E2018">
        <f t="shared" si="134"/>
        <v>1</v>
      </c>
      <c r="F2018" t="s">
        <v>1034</v>
      </c>
      <c r="G2018" t="s">
        <v>101</v>
      </c>
      <c r="H2018" t="s">
        <v>741</v>
      </c>
      <c r="J2018">
        <v>44</v>
      </c>
      <c r="K2018">
        <f t="shared" si="135"/>
        <v>44</v>
      </c>
      <c r="R2018" t="s">
        <v>1348</v>
      </c>
    </row>
    <row r="2019" spans="1:18" x14ac:dyDescent="0.25">
      <c r="A2019" t="s">
        <v>341</v>
      </c>
      <c r="B2019" s="4">
        <v>45528</v>
      </c>
      <c r="C2019" s="9">
        <f t="shared" si="132"/>
        <v>8</v>
      </c>
      <c r="D2019">
        <f t="shared" si="133"/>
        <v>2024</v>
      </c>
      <c r="E2019">
        <f t="shared" si="134"/>
        <v>1</v>
      </c>
      <c r="F2019" t="s">
        <v>1034</v>
      </c>
      <c r="G2019" t="s">
        <v>101</v>
      </c>
      <c r="H2019" t="s">
        <v>244</v>
      </c>
      <c r="J2019">
        <v>50</v>
      </c>
      <c r="K2019">
        <f t="shared" si="135"/>
        <v>50</v>
      </c>
      <c r="M2019" t="s">
        <v>1183</v>
      </c>
      <c r="R2019" t="s">
        <v>1348</v>
      </c>
    </row>
    <row r="2020" spans="1:18" x14ac:dyDescent="0.25">
      <c r="A2020" t="s">
        <v>341</v>
      </c>
      <c r="B2020" s="4">
        <v>45530</v>
      </c>
      <c r="C2020" s="9">
        <f t="shared" si="132"/>
        <v>8</v>
      </c>
      <c r="D2020">
        <f t="shared" si="133"/>
        <v>2024</v>
      </c>
      <c r="E2020">
        <f t="shared" si="134"/>
        <v>1</v>
      </c>
      <c r="F2020" t="s">
        <v>1034</v>
      </c>
      <c r="G2020" t="s">
        <v>101</v>
      </c>
      <c r="H2020" t="s">
        <v>741</v>
      </c>
      <c r="I2020">
        <v>1</v>
      </c>
      <c r="J2020">
        <v>9</v>
      </c>
      <c r="K2020">
        <f t="shared" si="135"/>
        <v>69</v>
      </c>
      <c r="R2020" t="s">
        <v>1348</v>
      </c>
    </row>
    <row r="2021" spans="1:18" x14ac:dyDescent="0.25">
      <c r="A2021" t="s">
        <v>341</v>
      </c>
      <c r="B2021" s="4">
        <v>45531</v>
      </c>
      <c r="C2021" s="9">
        <f t="shared" si="132"/>
        <v>8</v>
      </c>
      <c r="D2021">
        <f t="shared" si="133"/>
        <v>2024</v>
      </c>
      <c r="E2021">
        <f t="shared" si="134"/>
        <v>1</v>
      </c>
      <c r="F2021" t="s">
        <v>1034</v>
      </c>
      <c r="G2021" t="s">
        <v>101</v>
      </c>
      <c r="H2021" t="s">
        <v>153</v>
      </c>
      <c r="J2021">
        <v>58</v>
      </c>
      <c r="K2021">
        <f t="shared" si="135"/>
        <v>58</v>
      </c>
      <c r="R2021" t="s">
        <v>1348</v>
      </c>
    </row>
    <row r="2022" spans="1:18" x14ac:dyDescent="0.25">
      <c r="A2022" t="s">
        <v>341</v>
      </c>
      <c r="B2022" s="4">
        <v>45532</v>
      </c>
      <c r="C2022" s="9">
        <f t="shared" si="132"/>
        <v>8</v>
      </c>
      <c r="D2022">
        <f t="shared" si="133"/>
        <v>2024</v>
      </c>
      <c r="E2022">
        <f t="shared" si="134"/>
        <v>1</v>
      </c>
      <c r="F2022" t="s">
        <v>1034</v>
      </c>
      <c r="G2022" t="s">
        <v>406</v>
      </c>
      <c r="H2022" t="s">
        <v>153</v>
      </c>
      <c r="I2022">
        <v>1</v>
      </c>
      <c r="J2022">
        <v>18</v>
      </c>
      <c r="K2022">
        <f t="shared" si="135"/>
        <v>78</v>
      </c>
      <c r="M2022" t="s">
        <v>1184</v>
      </c>
      <c r="R2022" t="s">
        <v>1348</v>
      </c>
    </row>
    <row r="2023" spans="1:18" x14ac:dyDescent="0.25">
      <c r="A2023" t="s">
        <v>341</v>
      </c>
      <c r="B2023" s="4">
        <v>45533</v>
      </c>
      <c r="C2023" s="9">
        <f t="shared" si="132"/>
        <v>8</v>
      </c>
      <c r="D2023">
        <f t="shared" si="133"/>
        <v>2024</v>
      </c>
      <c r="E2023">
        <f t="shared" si="134"/>
        <v>1</v>
      </c>
      <c r="F2023" t="s">
        <v>1034</v>
      </c>
      <c r="G2023" t="s">
        <v>406</v>
      </c>
      <c r="H2023" t="s">
        <v>741</v>
      </c>
      <c r="I2023">
        <v>2</v>
      </c>
      <c r="J2023">
        <v>40</v>
      </c>
      <c r="K2023">
        <f t="shared" si="135"/>
        <v>160</v>
      </c>
      <c r="M2023" t="s">
        <v>1185</v>
      </c>
      <c r="R2023" t="s">
        <v>1348</v>
      </c>
    </row>
    <row r="2024" spans="1:18" x14ac:dyDescent="0.25">
      <c r="A2024" t="s">
        <v>341</v>
      </c>
      <c r="B2024" s="4">
        <v>45534</v>
      </c>
      <c r="C2024" s="9">
        <f t="shared" si="132"/>
        <v>8</v>
      </c>
      <c r="D2024">
        <f t="shared" si="133"/>
        <v>2024</v>
      </c>
      <c r="E2024">
        <f t="shared" si="134"/>
        <v>1</v>
      </c>
      <c r="F2024" t="s">
        <v>1034</v>
      </c>
      <c r="G2024" t="s">
        <v>406</v>
      </c>
      <c r="H2024" t="s">
        <v>153</v>
      </c>
      <c r="I2024">
        <v>2</v>
      </c>
      <c r="J2024">
        <v>37</v>
      </c>
      <c r="K2024">
        <f t="shared" si="135"/>
        <v>157</v>
      </c>
      <c r="R2024" t="s">
        <v>1348</v>
      </c>
    </row>
    <row r="2025" spans="1:18" x14ac:dyDescent="0.25">
      <c r="A2025" t="s">
        <v>341</v>
      </c>
      <c r="B2025" s="4">
        <v>45535</v>
      </c>
      <c r="C2025" s="9">
        <f t="shared" si="132"/>
        <v>8</v>
      </c>
      <c r="D2025">
        <f t="shared" si="133"/>
        <v>2024</v>
      </c>
      <c r="E2025">
        <f t="shared" si="134"/>
        <v>1</v>
      </c>
      <c r="F2025" t="s">
        <v>1034</v>
      </c>
      <c r="G2025" t="s">
        <v>101</v>
      </c>
      <c r="H2025" t="s">
        <v>575</v>
      </c>
      <c r="I2025">
        <v>1</v>
      </c>
      <c r="J2025">
        <v>4</v>
      </c>
      <c r="K2025">
        <f t="shared" si="135"/>
        <v>64</v>
      </c>
      <c r="R2025" t="s">
        <v>1348</v>
      </c>
    </row>
    <row r="2026" spans="1:18" x14ac:dyDescent="0.25">
      <c r="A2026" t="s">
        <v>341</v>
      </c>
      <c r="B2026" s="4">
        <v>45536</v>
      </c>
      <c r="C2026" s="9">
        <f t="shared" si="132"/>
        <v>9</v>
      </c>
      <c r="D2026">
        <f t="shared" si="133"/>
        <v>2024</v>
      </c>
      <c r="E2026">
        <f t="shared" si="134"/>
        <v>1</v>
      </c>
      <c r="F2026" t="s">
        <v>1034</v>
      </c>
      <c r="G2026" t="s">
        <v>101</v>
      </c>
      <c r="H2026" t="s">
        <v>244</v>
      </c>
      <c r="I2026">
        <v>2</v>
      </c>
      <c r="J2026">
        <v>5</v>
      </c>
      <c r="K2026">
        <f t="shared" si="135"/>
        <v>125</v>
      </c>
      <c r="R2026" t="s">
        <v>1348</v>
      </c>
    </row>
    <row r="2027" spans="1:18" x14ac:dyDescent="0.25">
      <c r="A2027" t="s">
        <v>341</v>
      </c>
      <c r="B2027" s="4">
        <v>45538</v>
      </c>
      <c r="C2027" s="9">
        <f t="shared" si="132"/>
        <v>9</v>
      </c>
      <c r="D2027">
        <f t="shared" si="133"/>
        <v>2024</v>
      </c>
      <c r="E2027">
        <f t="shared" si="134"/>
        <v>1</v>
      </c>
      <c r="F2027" t="s">
        <v>1034</v>
      </c>
      <c r="G2027" t="s">
        <v>101</v>
      </c>
      <c r="H2027" t="s">
        <v>244</v>
      </c>
      <c r="J2027">
        <v>17</v>
      </c>
      <c r="K2027">
        <f t="shared" si="135"/>
        <v>17</v>
      </c>
      <c r="R2027" t="s">
        <v>1348</v>
      </c>
    </row>
    <row r="2028" spans="1:18" x14ac:dyDescent="0.25">
      <c r="A2028" t="s">
        <v>341</v>
      </c>
      <c r="B2028" s="4">
        <v>45541</v>
      </c>
      <c r="C2028" s="9">
        <f t="shared" si="132"/>
        <v>9</v>
      </c>
      <c r="D2028">
        <f t="shared" si="133"/>
        <v>2024</v>
      </c>
      <c r="E2028">
        <f t="shared" si="134"/>
        <v>1</v>
      </c>
      <c r="F2028" t="s">
        <v>1034</v>
      </c>
      <c r="G2028" t="s">
        <v>406</v>
      </c>
      <c r="H2028" t="s">
        <v>153</v>
      </c>
      <c r="J2028">
        <v>59</v>
      </c>
      <c r="K2028">
        <f t="shared" si="135"/>
        <v>59</v>
      </c>
      <c r="R2028" t="s">
        <v>1348</v>
      </c>
    </row>
    <row r="2029" spans="1:18" x14ac:dyDescent="0.25">
      <c r="A2029" t="s">
        <v>341</v>
      </c>
      <c r="B2029" s="4">
        <v>45553</v>
      </c>
      <c r="C2029" s="9">
        <f t="shared" si="132"/>
        <v>9</v>
      </c>
      <c r="D2029">
        <f t="shared" si="133"/>
        <v>2024</v>
      </c>
      <c r="E2029">
        <f t="shared" si="134"/>
        <v>1</v>
      </c>
      <c r="F2029" t="s">
        <v>1034</v>
      </c>
      <c r="G2029" t="s">
        <v>101</v>
      </c>
      <c r="H2029" t="s">
        <v>153</v>
      </c>
      <c r="J2029">
        <v>39</v>
      </c>
      <c r="K2029">
        <f t="shared" si="135"/>
        <v>39</v>
      </c>
      <c r="R2029" t="s">
        <v>1348</v>
      </c>
    </row>
    <row r="2030" spans="1:18" x14ac:dyDescent="0.25">
      <c r="A2030" t="s">
        <v>341</v>
      </c>
      <c r="B2030" s="4">
        <v>45554</v>
      </c>
      <c r="C2030" s="9">
        <f t="shared" si="132"/>
        <v>9</v>
      </c>
      <c r="D2030">
        <f t="shared" si="133"/>
        <v>2024</v>
      </c>
      <c r="E2030">
        <f t="shared" si="134"/>
        <v>1</v>
      </c>
      <c r="F2030" t="s">
        <v>1034</v>
      </c>
      <c r="G2030" t="s">
        <v>101</v>
      </c>
      <c r="H2030" t="s">
        <v>153</v>
      </c>
      <c r="J2030">
        <v>59</v>
      </c>
      <c r="K2030">
        <f t="shared" si="135"/>
        <v>59</v>
      </c>
      <c r="R2030" t="s">
        <v>1348</v>
      </c>
    </row>
    <row r="2031" spans="1:18" x14ac:dyDescent="0.25">
      <c r="A2031" t="s">
        <v>341</v>
      </c>
      <c r="B2031" s="4">
        <v>45555</v>
      </c>
      <c r="C2031" s="9">
        <f t="shared" si="132"/>
        <v>9</v>
      </c>
      <c r="D2031">
        <f t="shared" si="133"/>
        <v>2024</v>
      </c>
      <c r="E2031">
        <f t="shared" si="134"/>
        <v>1</v>
      </c>
      <c r="F2031" t="s">
        <v>1034</v>
      </c>
      <c r="G2031" t="s">
        <v>101</v>
      </c>
      <c r="H2031" t="s">
        <v>741</v>
      </c>
      <c r="I2031">
        <v>1</v>
      </c>
      <c r="J2031">
        <v>21</v>
      </c>
      <c r="K2031">
        <f t="shared" si="135"/>
        <v>81</v>
      </c>
      <c r="R2031" t="s">
        <v>1348</v>
      </c>
    </row>
    <row r="2032" spans="1:18" x14ac:dyDescent="0.25">
      <c r="A2032" t="s">
        <v>341</v>
      </c>
      <c r="B2032" s="4">
        <v>44460</v>
      </c>
      <c r="C2032" s="9">
        <f t="shared" si="132"/>
        <v>9</v>
      </c>
      <c r="D2032">
        <f t="shared" si="133"/>
        <v>2021</v>
      </c>
      <c r="E2032">
        <f t="shared" si="134"/>
        <v>1</v>
      </c>
      <c r="F2032" t="s">
        <v>1034</v>
      </c>
      <c r="G2032" t="s">
        <v>1192</v>
      </c>
      <c r="H2032" t="s">
        <v>1193</v>
      </c>
      <c r="J2032">
        <v>16</v>
      </c>
      <c r="K2032">
        <f t="shared" si="135"/>
        <v>16</v>
      </c>
      <c r="L2032" t="s">
        <v>1195</v>
      </c>
      <c r="R2032" t="s">
        <v>1349</v>
      </c>
    </row>
    <row r="2033" spans="1:18" x14ac:dyDescent="0.25">
      <c r="A2033" t="s">
        <v>341</v>
      </c>
      <c r="B2033" s="4">
        <v>45556</v>
      </c>
      <c r="C2033" s="9">
        <f t="shared" si="132"/>
        <v>9</v>
      </c>
      <c r="D2033">
        <f t="shared" si="133"/>
        <v>2024</v>
      </c>
      <c r="E2033">
        <f t="shared" si="134"/>
        <v>1</v>
      </c>
      <c r="F2033" t="s">
        <v>1034</v>
      </c>
      <c r="G2033" t="s">
        <v>1192</v>
      </c>
      <c r="H2033" t="s">
        <v>1193</v>
      </c>
      <c r="J2033">
        <v>23</v>
      </c>
      <c r="K2033">
        <f t="shared" si="135"/>
        <v>23</v>
      </c>
      <c r="L2033" t="s">
        <v>1195</v>
      </c>
      <c r="R2033" t="s">
        <v>1349</v>
      </c>
    </row>
    <row r="2034" spans="1:18" x14ac:dyDescent="0.25">
      <c r="A2034" t="s">
        <v>341</v>
      </c>
      <c r="B2034" s="4">
        <v>45557</v>
      </c>
      <c r="C2034" s="9">
        <f t="shared" si="132"/>
        <v>9</v>
      </c>
      <c r="D2034">
        <f t="shared" si="133"/>
        <v>2024</v>
      </c>
      <c r="E2034">
        <f t="shared" si="134"/>
        <v>1</v>
      </c>
      <c r="F2034" t="s">
        <v>1191</v>
      </c>
      <c r="G2034" t="s">
        <v>1194</v>
      </c>
      <c r="H2034" t="s">
        <v>1193</v>
      </c>
      <c r="J2034">
        <v>12</v>
      </c>
      <c r="K2034">
        <f t="shared" si="135"/>
        <v>12</v>
      </c>
      <c r="L2034" t="s">
        <v>1195</v>
      </c>
      <c r="R2034" t="s">
        <v>1349</v>
      </c>
    </row>
    <row r="2035" spans="1:18" x14ac:dyDescent="0.25">
      <c r="A2035" t="s">
        <v>341</v>
      </c>
      <c r="B2035" s="4">
        <v>45560</v>
      </c>
      <c r="C2035" s="9">
        <f t="shared" si="132"/>
        <v>9</v>
      </c>
      <c r="D2035">
        <f t="shared" si="133"/>
        <v>2024</v>
      </c>
      <c r="E2035">
        <f t="shared" si="134"/>
        <v>1</v>
      </c>
      <c r="F2035" t="s">
        <v>1034</v>
      </c>
      <c r="G2035" t="s">
        <v>101</v>
      </c>
      <c r="H2035" t="s">
        <v>244</v>
      </c>
      <c r="J2035">
        <v>18</v>
      </c>
      <c r="K2035">
        <f t="shared" si="135"/>
        <v>18</v>
      </c>
      <c r="R2035" t="s">
        <v>1348</v>
      </c>
    </row>
    <row r="2036" spans="1:18" x14ac:dyDescent="0.25">
      <c r="A2036" t="s">
        <v>341</v>
      </c>
      <c r="B2036" s="4">
        <v>45564</v>
      </c>
      <c r="C2036" s="9">
        <f t="shared" si="132"/>
        <v>9</v>
      </c>
      <c r="D2036">
        <f t="shared" si="133"/>
        <v>2024</v>
      </c>
      <c r="E2036">
        <f t="shared" si="134"/>
        <v>1</v>
      </c>
      <c r="F2036" t="s">
        <v>1034</v>
      </c>
      <c r="G2036" t="s">
        <v>1091</v>
      </c>
      <c r="H2036" t="s">
        <v>1092</v>
      </c>
      <c r="I2036">
        <v>1</v>
      </c>
      <c r="J2036">
        <v>41</v>
      </c>
      <c r="K2036">
        <f t="shared" si="135"/>
        <v>101</v>
      </c>
      <c r="L2036" t="s">
        <v>643</v>
      </c>
      <c r="R2036" t="s">
        <v>1351</v>
      </c>
    </row>
    <row r="2037" spans="1:18" x14ac:dyDescent="0.25">
      <c r="A2037" t="s">
        <v>341</v>
      </c>
      <c r="B2037" s="4">
        <v>45565</v>
      </c>
      <c r="C2037" s="9">
        <f t="shared" si="132"/>
        <v>9</v>
      </c>
      <c r="D2037">
        <f t="shared" si="133"/>
        <v>2024</v>
      </c>
      <c r="E2037">
        <f t="shared" si="134"/>
        <v>1</v>
      </c>
      <c r="F2037" t="s">
        <v>1034</v>
      </c>
      <c r="G2037" t="s">
        <v>564</v>
      </c>
      <c r="H2037" t="s">
        <v>564</v>
      </c>
      <c r="J2037">
        <v>22</v>
      </c>
      <c r="K2037">
        <f t="shared" si="135"/>
        <v>22</v>
      </c>
      <c r="L2037" t="s">
        <v>643</v>
      </c>
      <c r="R2037" t="s">
        <v>1351</v>
      </c>
    </row>
    <row r="2038" spans="1:18" x14ac:dyDescent="0.25">
      <c r="A2038" t="s">
        <v>341</v>
      </c>
      <c r="B2038" s="4">
        <v>45565</v>
      </c>
      <c r="C2038" s="9">
        <f t="shared" si="132"/>
        <v>9</v>
      </c>
      <c r="D2038">
        <f t="shared" si="133"/>
        <v>2024</v>
      </c>
      <c r="E2038">
        <f t="shared" si="134"/>
        <v>0</v>
      </c>
      <c r="F2038" t="s">
        <v>1034</v>
      </c>
      <c r="G2038" t="s">
        <v>564</v>
      </c>
      <c r="H2038" t="s">
        <v>567</v>
      </c>
      <c r="I2038">
        <v>1</v>
      </c>
      <c r="J2038">
        <v>15</v>
      </c>
      <c r="K2038">
        <f t="shared" si="135"/>
        <v>75</v>
      </c>
      <c r="L2038" t="s">
        <v>643</v>
      </c>
      <c r="R2038" t="s">
        <v>1351</v>
      </c>
    </row>
    <row r="2039" spans="1:18" x14ac:dyDescent="0.25">
      <c r="A2039" t="s">
        <v>341</v>
      </c>
      <c r="B2039" s="4">
        <v>45566</v>
      </c>
      <c r="C2039" s="9">
        <f t="shared" si="132"/>
        <v>10</v>
      </c>
      <c r="D2039">
        <f t="shared" si="133"/>
        <v>2024</v>
      </c>
      <c r="E2039">
        <f t="shared" si="134"/>
        <v>1</v>
      </c>
      <c r="F2039" t="s">
        <v>1034</v>
      </c>
      <c r="G2039" t="s">
        <v>1090</v>
      </c>
      <c r="H2039" t="s">
        <v>1090</v>
      </c>
      <c r="J2039">
        <v>9</v>
      </c>
      <c r="K2039">
        <f t="shared" si="135"/>
        <v>9</v>
      </c>
      <c r="L2039" t="s">
        <v>643</v>
      </c>
      <c r="R2039" t="s">
        <v>1351</v>
      </c>
    </row>
    <row r="2040" spans="1:18" x14ac:dyDescent="0.25">
      <c r="A2040" t="s">
        <v>341</v>
      </c>
      <c r="B2040" s="4">
        <v>45567</v>
      </c>
      <c r="C2040" s="9">
        <f t="shared" si="132"/>
        <v>10</v>
      </c>
      <c r="D2040">
        <f t="shared" si="133"/>
        <v>2024</v>
      </c>
      <c r="E2040">
        <f t="shared" si="134"/>
        <v>1</v>
      </c>
      <c r="F2040" t="s">
        <v>1034</v>
      </c>
      <c r="G2040" t="s">
        <v>1090</v>
      </c>
      <c r="H2040" t="s">
        <v>1090</v>
      </c>
      <c r="I2040">
        <v>1</v>
      </c>
      <c r="J2040">
        <v>6</v>
      </c>
      <c r="K2040">
        <f t="shared" si="135"/>
        <v>66</v>
      </c>
      <c r="L2040" t="s">
        <v>643</v>
      </c>
      <c r="R2040" t="s">
        <v>1351</v>
      </c>
    </row>
    <row r="2041" spans="1:18" x14ac:dyDescent="0.25">
      <c r="A2041" t="s">
        <v>341</v>
      </c>
      <c r="B2041" s="4">
        <v>45567</v>
      </c>
      <c r="C2041" s="9">
        <f t="shared" si="132"/>
        <v>10</v>
      </c>
      <c r="D2041">
        <f t="shared" si="133"/>
        <v>2024</v>
      </c>
      <c r="E2041">
        <f t="shared" si="134"/>
        <v>0</v>
      </c>
      <c r="F2041" t="s">
        <v>1034</v>
      </c>
      <c r="G2041" t="s">
        <v>1090</v>
      </c>
      <c r="H2041" t="s">
        <v>1197</v>
      </c>
      <c r="J2041">
        <v>45</v>
      </c>
      <c r="K2041">
        <f t="shared" si="135"/>
        <v>45</v>
      </c>
      <c r="L2041" t="s">
        <v>643</v>
      </c>
      <c r="R2041" t="s">
        <v>1351</v>
      </c>
    </row>
    <row r="2042" spans="1:18" x14ac:dyDescent="0.25">
      <c r="A2042" t="s">
        <v>341</v>
      </c>
      <c r="B2042" s="4">
        <v>45568</v>
      </c>
      <c r="C2042" s="9">
        <f t="shared" si="132"/>
        <v>10</v>
      </c>
      <c r="D2042">
        <f t="shared" si="133"/>
        <v>2024</v>
      </c>
      <c r="E2042">
        <f t="shared" si="134"/>
        <v>1</v>
      </c>
      <c r="F2042" t="s">
        <v>1034</v>
      </c>
      <c r="G2042" t="s">
        <v>562</v>
      </c>
      <c r="H2042" t="s">
        <v>276</v>
      </c>
      <c r="I2042">
        <v>1</v>
      </c>
      <c r="J2042">
        <v>31</v>
      </c>
      <c r="K2042">
        <f t="shared" si="135"/>
        <v>91</v>
      </c>
      <c r="L2042" t="s">
        <v>643</v>
      </c>
      <c r="R2042" t="s">
        <v>1351</v>
      </c>
    </row>
    <row r="2043" spans="1:18" x14ac:dyDescent="0.25">
      <c r="A2043" t="s">
        <v>341</v>
      </c>
      <c r="B2043" s="4">
        <v>45568</v>
      </c>
      <c r="C2043" s="9">
        <f t="shared" si="132"/>
        <v>10</v>
      </c>
      <c r="D2043">
        <f t="shared" si="133"/>
        <v>2024</v>
      </c>
      <c r="E2043">
        <f t="shared" si="134"/>
        <v>0</v>
      </c>
      <c r="F2043" t="s">
        <v>1034</v>
      </c>
      <c r="G2043" t="s">
        <v>562</v>
      </c>
      <c r="H2043" t="s">
        <v>276</v>
      </c>
      <c r="J2043">
        <v>41</v>
      </c>
      <c r="K2043">
        <f t="shared" si="135"/>
        <v>41</v>
      </c>
      <c r="L2043" t="s">
        <v>643</v>
      </c>
      <c r="R2043" t="s">
        <v>1351</v>
      </c>
    </row>
    <row r="2044" spans="1:18" x14ac:dyDescent="0.25">
      <c r="A2044" t="s">
        <v>341</v>
      </c>
      <c r="B2044" s="4">
        <v>45569</v>
      </c>
      <c r="C2044" s="9">
        <f t="shared" si="132"/>
        <v>10</v>
      </c>
      <c r="D2044">
        <f t="shared" si="133"/>
        <v>2024</v>
      </c>
      <c r="E2044">
        <f t="shared" si="134"/>
        <v>1</v>
      </c>
      <c r="F2044" t="s">
        <v>1034</v>
      </c>
      <c r="G2044" t="s">
        <v>566</v>
      </c>
      <c r="H2044" t="s">
        <v>1198</v>
      </c>
      <c r="I2044">
        <v>1</v>
      </c>
      <c r="J2044">
        <v>20</v>
      </c>
      <c r="K2044">
        <f t="shared" si="135"/>
        <v>80</v>
      </c>
      <c r="L2044" t="s">
        <v>643</v>
      </c>
      <c r="R2044" t="s">
        <v>1351</v>
      </c>
    </row>
    <row r="2045" spans="1:18" x14ac:dyDescent="0.25">
      <c r="A2045" t="s">
        <v>341</v>
      </c>
      <c r="B2045" s="4">
        <v>45570</v>
      </c>
      <c r="C2045" s="9">
        <f t="shared" si="132"/>
        <v>10</v>
      </c>
      <c r="D2045">
        <f t="shared" si="133"/>
        <v>2024</v>
      </c>
      <c r="E2045">
        <f t="shared" si="134"/>
        <v>1</v>
      </c>
      <c r="F2045" t="s">
        <v>1034</v>
      </c>
      <c r="G2045" t="s">
        <v>562</v>
      </c>
      <c r="H2045" t="s">
        <v>276</v>
      </c>
      <c r="I2045">
        <v>1</v>
      </c>
      <c r="J2045">
        <v>26</v>
      </c>
      <c r="K2045">
        <f t="shared" si="135"/>
        <v>86</v>
      </c>
      <c r="L2045" t="s">
        <v>643</v>
      </c>
      <c r="R2045" t="s">
        <v>1351</v>
      </c>
    </row>
    <row r="2046" spans="1:18" x14ac:dyDescent="0.25">
      <c r="A2046" t="s">
        <v>341</v>
      </c>
      <c r="B2046" s="4">
        <v>45574</v>
      </c>
      <c r="C2046" s="9">
        <f t="shared" si="132"/>
        <v>10</v>
      </c>
      <c r="D2046">
        <f t="shared" si="133"/>
        <v>2024</v>
      </c>
      <c r="E2046">
        <f t="shared" si="134"/>
        <v>1</v>
      </c>
      <c r="F2046" t="s">
        <v>1034</v>
      </c>
      <c r="G2046" t="s">
        <v>1199</v>
      </c>
      <c r="H2046" t="s">
        <v>276</v>
      </c>
      <c r="J2046">
        <v>9</v>
      </c>
      <c r="K2046">
        <f t="shared" si="135"/>
        <v>9</v>
      </c>
      <c r="L2046" t="s">
        <v>1203</v>
      </c>
      <c r="R2046" t="s">
        <v>1351</v>
      </c>
    </row>
    <row r="2047" spans="1:18" x14ac:dyDescent="0.25">
      <c r="A2047" t="s">
        <v>341</v>
      </c>
      <c r="B2047" s="4">
        <v>45574</v>
      </c>
      <c r="C2047" s="9">
        <f t="shared" si="132"/>
        <v>10</v>
      </c>
      <c r="D2047">
        <f t="shared" si="133"/>
        <v>2024</v>
      </c>
      <c r="E2047">
        <f t="shared" si="134"/>
        <v>0</v>
      </c>
      <c r="F2047" t="s">
        <v>1034</v>
      </c>
      <c r="G2047" t="s">
        <v>563</v>
      </c>
      <c r="H2047" t="s">
        <v>276</v>
      </c>
      <c r="J2047">
        <v>25</v>
      </c>
      <c r="K2047">
        <f t="shared" si="135"/>
        <v>25</v>
      </c>
      <c r="L2047" t="s">
        <v>1203</v>
      </c>
      <c r="R2047" t="s">
        <v>1351</v>
      </c>
    </row>
    <row r="2048" spans="1:18" x14ac:dyDescent="0.25">
      <c r="A2048" t="s">
        <v>341</v>
      </c>
      <c r="B2048" s="4">
        <v>45575</v>
      </c>
      <c r="C2048" s="9">
        <f t="shared" si="132"/>
        <v>10</v>
      </c>
      <c r="D2048">
        <f t="shared" si="133"/>
        <v>2024</v>
      </c>
      <c r="E2048">
        <f t="shared" si="134"/>
        <v>1</v>
      </c>
      <c r="F2048" t="s">
        <v>1196</v>
      </c>
      <c r="G2048" t="s">
        <v>1200</v>
      </c>
      <c r="H2048" t="s">
        <v>1201</v>
      </c>
      <c r="J2048">
        <v>8</v>
      </c>
      <c r="K2048">
        <f t="shared" si="135"/>
        <v>8</v>
      </c>
      <c r="L2048" t="s">
        <v>1203</v>
      </c>
      <c r="R2048" t="s">
        <v>1351</v>
      </c>
    </row>
    <row r="2049" spans="1:18" x14ac:dyDescent="0.25">
      <c r="A2049" t="s">
        <v>341</v>
      </c>
      <c r="B2049" s="4">
        <v>45575</v>
      </c>
      <c r="C2049" s="9">
        <f t="shared" si="132"/>
        <v>10</v>
      </c>
      <c r="D2049">
        <f t="shared" si="133"/>
        <v>2024</v>
      </c>
      <c r="E2049">
        <f t="shared" si="134"/>
        <v>0</v>
      </c>
      <c r="F2049" t="s">
        <v>1196</v>
      </c>
      <c r="G2049" t="s">
        <v>564</v>
      </c>
      <c r="H2049" t="s">
        <v>564</v>
      </c>
      <c r="J2049">
        <v>24</v>
      </c>
      <c r="K2049">
        <f t="shared" si="135"/>
        <v>24</v>
      </c>
      <c r="L2049" t="s">
        <v>1203</v>
      </c>
      <c r="R2049" t="s">
        <v>1351</v>
      </c>
    </row>
    <row r="2050" spans="1:18" x14ac:dyDescent="0.25">
      <c r="A2050" t="s">
        <v>341</v>
      </c>
      <c r="B2050" s="4">
        <v>45576</v>
      </c>
      <c r="C2050" s="9">
        <f t="shared" si="132"/>
        <v>10</v>
      </c>
      <c r="D2050">
        <f t="shared" si="133"/>
        <v>2024</v>
      </c>
      <c r="E2050">
        <f t="shared" si="134"/>
        <v>1</v>
      </c>
      <c r="F2050" t="s">
        <v>1196</v>
      </c>
      <c r="G2050" t="s">
        <v>563</v>
      </c>
      <c r="H2050" t="s">
        <v>1202</v>
      </c>
      <c r="I2050">
        <v>1</v>
      </c>
      <c r="J2050">
        <v>12</v>
      </c>
      <c r="K2050">
        <f t="shared" si="135"/>
        <v>72</v>
      </c>
      <c r="L2050" t="s">
        <v>1203</v>
      </c>
      <c r="R2050" t="s">
        <v>1351</v>
      </c>
    </row>
    <row r="2051" spans="1:18" x14ac:dyDescent="0.25">
      <c r="A2051" t="s">
        <v>341</v>
      </c>
      <c r="B2051" s="4">
        <v>45576</v>
      </c>
      <c r="C2051" s="9">
        <f t="shared" si="132"/>
        <v>10</v>
      </c>
      <c r="D2051">
        <f t="shared" si="133"/>
        <v>2024</v>
      </c>
      <c r="E2051">
        <f t="shared" si="134"/>
        <v>0</v>
      </c>
      <c r="F2051" t="s">
        <v>1196</v>
      </c>
      <c r="G2051" t="s">
        <v>562</v>
      </c>
      <c r="H2051" t="s">
        <v>276</v>
      </c>
      <c r="I2051">
        <v>1</v>
      </c>
      <c r="J2051">
        <v>13</v>
      </c>
      <c r="K2051">
        <f t="shared" si="135"/>
        <v>73</v>
      </c>
      <c r="L2051" t="s">
        <v>1203</v>
      </c>
      <c r="R2051" t="s">
        <v>1351</v>
      </c>
    </row>
    <row r="2052" spans="1:18" x14ac:dyDescent="0.25">
      <c r="A2052" t="s">
        <v>341</v>
      </c>
      <c r="B2052" s="4">
        <v>45577</v>
      </c>
      <c r="C2052" s="9">
        <f t="shared" si="132"/>
        <v>10</v>
      </c>
      <c r="D2052">
        <f t="shared" si="133"/>
        <v>2024</v>
      </c>
      <c r="E2052">
        <f t="shared" si="134"/>
        <v>1</v>
      </c>
      <c r="F2052" t="s">
        <v>1196</v>
      </c>
      <c r="G2052" t="s">
        <v>563</v>
      </c>
      <c r="H2052" t="s">
        <v>276</v>
      </c>
      <c r="I2052">
        <v>1</v>
      </c>
      <c r="J2052">
        <v>40</v>
      </c>
      <c r="K2052">
        <f t="shared" si="135"/>
        <v>100</v>
      </c>
      <c r="L2052" t="s">
        <v>1203</v>
      </c>
      <c r="R2052" t="s">
        <v>1351</v>
      </c>
    </row>
    <row r="2053" spans="1:18" x14ac:dyDescent="0.25">
      <c r="A2053" t="s">
        <v>341</v>
      </c>
      <c r="B2053" s="4">
        <v>45584</v>
      </c>
      <c r="C2053" s="9">
        <f t="shared" si="132"/>
        <v>10</v>
      </c>
      <c r="D2053">
        <f t="shared" si="133"/>
        <v>2024</v>
      </c>
      <c r="E2053">
        <f t="shared" si="134"/>
        <v>1</v>
      </c>
      <c r="F2053" t="s">
        <v>1034</v>
      </c>
      <c r="G2053" t="s">
        <v>409</v>
      </c>
      <c r="H2053" t="s">
        <v>635</v>
      </c>
      <c r="J2053">
        <v>17</v>
      </c>
      <c r="K2053">
        <f t="shared" si="135"/>
        <v>17</v>
      </c>
      <c r="R2053" t="s">
        <v>1348</v>
      </c>
    </row>
    <row r="2054" spans="1:18" x14ac:dyDescent="0.25">
      <c r="A2054" t="s">
        <v>341</v>
      </c>
      <c r="B2054" s="4">
        <v>45588</v>
      </c>
      <c r="C2054" s="9">
        <f t="shared" si="132"/>
        <v>10</v>
      </c>
      <c r="D2054">
        <f t="shared" si="133"/>
        <v>2024</v>
      </c>
      <c r="E2054">
        <f t="shared" si="134"/>
        <v>1</v>
      </c>
      <c r="F2054" t="s">
        <v>1034</v>
      </c>
      <c r="G2054" t="s">
        <v>101</v>
      </c>
      <c r="H2054" t="s">
        <v>153</v>
      </c>
      <c r="J2054">
        <v>39</v>
      </c>
      <c r="K2054">
        <f t="shared" si="135"/>
        <v>39</v>
      </c>
      <c r="R2054" t="s">
        <v>1348</v>
      </c>
    </row>
    <row r="2055" spans="1:18" x14ac:dyDescent="0.25">
      <c r="A2055" t="s">
        <v>341</v>
      </c>
      <c r="B2055" s="4">
        <v>45592</v>
      </c>
      <c r="C2055" s="9">
        <f t="shared" si="132"/>
        <v>10</v>
      </c>
      <c r="D2055">
        <f t="shared" si="133"/>
        <v>2024</v>
      </c>
      <c r="E2055">
        <f t="shared" si="134"/>
        <v>1</v>
      </c>
      <c r="F2055" t="s">
        <v>1034</v>
      </c>
      <c r="G2055" t="s">
        <v>1204</v>
      </c>
      <c r="H2055" t="s">
        <v>1204</v>
      </c>
      <c r="I2055">
        <v>1</v>
      </c>
      <c r="J2055">
        <v>31</v>
      </c>
      <c r="K2055">
        <f t="shared" si="135"/>
        <v>91</v>
      </c>
      <c r="L2055" t="s">
        <v>1205</v>
      </c>
      <c r="R2055" t="s">
        <v>1354</v>
      </c>
    </row>
    <row r="2056" spans="1:18" x14ac:dyDescent="0.25">
      <c r="A2056" t="s">
        <v>341</v>
      </c>
      <c r="B2056" s="4">
        <v>45592</v>
      </c>
      <c r="C2056" s="9">
        <f t="shared" si="132"/>
        <v>10</v>
      </c>
      <c r="D2056">
        <f t="shared" si="133"/>
        <v>2024</v>
      </c>
      <c r="E2056">
        <f t="shared" si="134"/>
        <v>0</v>
      </c>
      <c r="F2056" t="s">
        <v>1034</v>
      </c>
      <c r="G2056" t="s">
        <v>1204</v>
      </c>
      <c r="H2056" t="s">
        <v>1204</v>
      </c>
      <c r="I2056">
        <v>1</v>
      </c>
      <c r="J2056">
        <v>9</v>
      </c>
      <c r="K2056">
        <f t="shared" si="135"/>
        <v>69</v>
      </c>
      <c r="L2056" t="s">
        <v>1205</v>
      </c>
      <c r="R2056" t="s">
        <v>1354</v>
      </c>
    </row>
    <row r="2057" spans="1:18" x14ac:dyDescent="0.25">
      <c r="A2057" t="s">
        <v>341</v>
      </c>
      <c r="B2057" s="4">
        <v>45596</v>
      </c>
      <c r="C2057" s="9">
        <f t="shared" si="132"/>
        <v>10</v>
      </c>
      <c r="D2057">
        <f t="shared" si="133"/>
        <v>2024</v>
      </c>
      <c r="E2057">
        <f t="shared" si="134"/>
        <v>1</v>
      </c>
      <c r="F2057" t="s">
        <v>1034</v>
      </c>
      <c r="G2057" t="s">
        <v>101</v>
      </c>
      <c r="H2057" t="s">
        <v>741</v>
      </c>
      <c r="I2057">
        <v>1</v>
      </c>
      <c r="J2057">
        <v>17</v>
      </c>
      <c r="K2057">
        <f t="shared" si="135"/>
        <v>77</v>
      </c>
      <c r="R2057" t="s">
        <v>1348</v>
      </c>
    </row>
    <row r="2058" spans="1:18" x14ac:dyDescent="0.25">
      <c r="A2058" t="s">
        <v>341</v>
      </c>
      <c r="B2058" s="4">
        <v>45597</v>
      </c>
      <c r="C2058" s="9">
        <f t="shared" si="132"/>
        <v>11</v>
      </c>
      <c r="D2058">
        <f t="shared" si="133"/>
        <v>2024</v>
      </c>
      <c r="E2058">
        <f t="shared" si="134"/>
        <v>1</v>
      </c>
      <c r="F2058" t="s">
        <v>1034</v>
      </c>
      <c r="G2058" t="s">
        <v>101</v>
      </c>
      <c r="H2058" t="s">
        <v>244</v>
      </c>
      <c r="J2058">
        <v>19</v>
      </c>
      <c r="K2058">
        <f t="shared" si="135"/>
        <v>19</v>
      </c>
      <c r="R2058" t="s">
        <v>1348</v>
      </c>
    </row>
    <row r="2059" spans="1:18" x14ac:dyDescent="0.25">
      <c r="A2059" t="s">
        <v>341</v>
      </c>
      <c r="B2059" s="4">
        <v>45598</v>
      </c>
      <c r="C2059" s="9">
        <f t="shared" si="132"/>
        <v>11</v>
      </c>
      <c r="D2059">
        <f t="shared" si="133"/>
        <v>2024</v>
      </c>
      <c r="E2059">
        <f t="shared" si="134"/>
        <v>1</v>
      </c>
      <c r="F2059" t="s">
        <v>613</v>
      </c>
      <c r="G2059" t="s">
        <v>409</v>
      </c>
      <c r="H2059" t="s">
        <v>244</v>
      </c>
      <c r="J2059">
        <v>13</v>
      </c>
      <c r="K2059">
        <f t="shared" si="135"/>
        <v>13</v>
      </c>
      <c r="R2059" t="s">
        <v>1348</v>
      </c>
    </row>
    <row r="2060" spans="1:18" x14ac:dyDescent="0.25">
      <c r="A2060" t="s">
        <v>341</v>
      </c>
      <c r="B2060" s="4">
        <v>45599</v>
      </c>
      <c r="C2060" s="9">
        <f t="shared" si="132"/>
        <v>11</v>
      </c>
      <c r="D2060">
        <f t="shared" si="133"/>
        <v>2024</v>
      </c>
      <c r="E2060">
        <f t="shared" si="134"/>
        <v>1</v>
      </c>
      <c r="F2060" t="s">
        <v>1034</v>
      </c>
      <c r="G2060" t="s">
        <v>1206</v>
      </c>
      <c r="H2060" t="s">
        <v>111</v>
      </c>
      <c r="J2060">
        <v>50</v>
      </c>
      <c r="K2060">
        <f t="shared" si="135"/>
        <v>50</v>
      </c>
      <c r="M2060" t="s">
        <v>1207</v>
      </c>
      <c r="R2060" t="s">
        <v>1348</v>
      </c>
    </row>
    <row r="2061" spans="1:18" x14ac:dyDescent="0.25">
      <c r="A2061" t="s">
        <v>341</v>
      </c>
      <c r="B2061" s="4">
        <v>45600</v>
      </c>
      <c r="C2061" s="9">
        <f t="shared" si="132"/>
        <v>11</v>
      </c>
      <c r="D2061">
        <f t="shared" si="133"/>
        <v>2024</v>
      </c>
      <c r="E2061">
        <f t="shared" si="134"/>
        <v>1</v>
      </c>
      <c r="F2061" t="s">
        <v>1196</v>
      </c>
      <c r="G2061" t="s">
        <v>101</v>
      </c>
      <c r="H2061" t="s">
        <v>244</v>
      </c>
      <c r="J2061">
        <v>15</v>
      </c>
      <c r="K2061">
        <f t="shared" si="135"/>
        <v>15</v>
      </c>
      <c r="M2061" t="s">
        <v>1208</v>
      </c>
      <c r="R2061" t="s">
        <v>1348</v>
      </c>
    </row>
    <row r="2062" spans="1:18" x14ac:dyDescent="0.25">
      <c r="A2062" t="s">
        <v>341</v>
      </c>
      <c r="B2062" s="4">
        <v>45601</v>
      </c>
      <c r="C2062" s="9">
        <f t="shared" si="132"/>
        <v>11</v>
      </c>
      <c r="D2062">
        <f t="shared" si="133"/>
        <v>2024</v>
      </c>
      <c r="E2062">
        <f t="shared" si="134"/>
        <v>1</v>
      </c>
      <c r="F2062" t="s">
        <v>948</v>
      </c>
      <c r="G2062" t="s">
        <v>101</v>
      </c>
      <c r="H2062" t="s">
        <v>244</v>
      </c>
      <c r="I2062">
        <v>1</v>
      </c>
      <c r="J2062">
        <v>9</v>
      </c>
      <c r="K2062">
        <f t="shared" si="135"/>
        <v>69</v>
      </c>
      <c r="R2062" t="s">
        <v>1348</v>
      </c>
    </row>
    <row r="2063" spans="1:18" x14ac:dyDescent="0.25">
      <c r="A2063" t="s">
        <v>341</v>
      </c>
      <c r="B2063" s="4">
        <v>45603</v>
      </c>
      <c r="C2063" s="9">
        <f t="shared" ref="C2063:C2126" si="136">MONTH(B2063)</f>
        <v>11</v>
      </c>
      <c r="D2063">
        <f t="shared" ref="D2063:D2126" si="137">YEAR(B2063)</f>
        <v>2024</v>
      </c>
      <c r="E2063">
        <f t="shared" ref="E2063:E2126" si="138">IF(OR(A2063 = "GS",A2063 = "BP"),IF( OR(A2062="GS",A2062="BP"),IF(B2062=B2063,0,1),1),0)</f>
        <v>1</v>
      </c>
      <c r="F2063" t="s">
        <v>948</v>
      </c>
      <c r="G2063" t="s">
        <v>101</v>
      </c>
      <c r="H2063" t="s">
        <v>244</v>
      </c>
      <c r="I2063">
        <v>1</v>
      </c>
      <c r="J2063">
        <v>7</v>
      </c>
      <c r="K2063">
        <f t="shared" ref="K2063:K2126" si="139">I2063*60+J2063</f>
        <v>67</v>
      </c>
      <c r="R2063" t="s">
        <v>1348</v>
      </c>
    </row>
    <row r="2064" spans="1:18" x14ac:dyDescent="0.25">
      <c r="A2064" t="s">
        <v>341</v>
      </c>
      <c r="B2064" s="4">
        <v>45604</v>
      </c>
      <c r="C2064" s="9">
        <f t="shared" si="136"/>
        <v>11</v>
      </c>
      <c r="D2064">
        <f t="shared" si="137"/>
        <v>2024</v>
      </c>
      <c r="E2064">
        <f t="shared" si="138"/>
        <v>1</v>
      </c>
      <c r="F2064" t="s">
        <v>948</v>
      </c>
      <c r="G2064" t="s">
        <v>101</v>
      </c>
      <c r="H2064" t="s">
        <v>741</v>
      </c>
      <c r="I2064">
        <v>1</v>
      </c>
      <c r="J2064">
        <v>46</v>
      </c>
      <c r="K2064">
        <f t="shared" si="139"/>
        <v>106</v>
      </c>
      <c r="R2064" t="s">
        <v>1348</v>
      </c>
    </row>
    <row r="2065" spans="1:18" x14ac:dyDescent="0.25">
      <c r="A2065" t="s">
        <v>341</v>
      </c>
      <c r="B2065" s="4">
        <v>45605</v>
      </c>
      <c r="C2065" s="9">
        <f t="shared" si="136"/>
        <v>11</v>
      </c>
      <c r="D2065">
        <f t="shared" si="137"/>
        <v>2024</v>
      </c>
      <c r="E2065">
        <f t="shared" si="138"/>
        <v>1</v>
      </c>
      <c r="F2065" t="s">
        <v>948</v>
      </c>
      <c r="G2065" t="s">
        <v>101</v>
      </c>
      <c r="H2065" t="s">
        <v>244</v>
      </c>
      <c r="J2065">
        <v>19</v>
      </c>
      <c r="K2065">
        <f t="shared" si="139"/>
        <v>19</v>
      </c>
      <c r="R2065" t="s">
        <v>1348</v>
      </c>
    </row>
    <row r="2066" spans="1:18" x14ac:dyDescent="0.25">
      <c r="A2066" t="s">
        <v>341</v>
      </c>
      <c r="B2066" s="4">
        <v>45606</v>
      </c>
      <c r="C2066" s="9">
        <f t="shared" si="136"/>
        <v>11</v>
      </c>
      <c r="D2066">
        <f t="shared" si="137"/>
        <v>2024</v>
      </c>
      <c r="E2066">
        <f t="shared" si="138"/>
        <v>1</v>
      </c>
      <c r="F2066" t="s">
        <v>948</v>
      </c>
      <c r="G2066" t="s">
        <v>101</v>
      </c>
      <c r="H2066" t="s">
        <v>244</v>
      </c>
      <c r="I2066">
        <v>2</v>
      </c>
      <c r="J2066">
        <v>16</v>
      </c>
      <c r="K2066">
        <f t="shared" si="139"/>
        <v>136</v>
      </c>
      <c r="R2066" t="s">
        <v>1348</v>
      </c>
    </row>
    <row r="2067" spans="1:18" x14ac:dyDescent="0.25">
      <c r="A2067" t="s">
        <v>341</v>
      </c>
      <c r="B2067" s="4">
        <v>45607</v>
      </c>
      <c r="C2067" s="9">
        <f t="shared" si="136"/>
        <v>11</v>
      </c>
      <c r="D2067">
        <f t="shared" si="137"/>
        <v>2024</v>
      </c>
      <c r="E2067">
        <f t="shared" si="138"/>
        <v>1</v>
      </c>
      <c r="F2067" t="s">
        <v>948</v>
      </c>
      <c r="G2067" t="s">
        <v>101</v>
      </c>
      <c r="H2067" t="s">
        <v>244</v>
      </c>
      <c r="J2067">
        <v>40</v>
      </c>
      <c r="K2067">
        <f t="shared" si="139"/>
        <v>40</v>
      </c>
      <c r="R2067" t="s">
        <v>1348</v>
      </c>
    </row>
    <row r="2068" spans="1:18" x14ac:dyDescent="0.25">
      <c r="A2068" t="s">
        <v>341</v>
      </c>
      <c r="B2068" s="4">
        <v>45611</v>
      </c>
      <c r="C2068" s="9">
        <f t="shared" si="136"/>
        <v>11</v>
      </c>
      <c r="D2068">
        <f t="shared" si="137"/>
        <v>2024</v>
      </c>
      <c r="E2068">
        <f t="shared" si="138"/>
        <v>1</v>
      </c>
      <c r="F2068" t="s">
        <v>613</v>
      </c>
      <c r="G2068" t="s">
        <v>1209</v>
      </c>
      <c r="H2068" t="s">
        <v>244</v>
      </c>
      <c r="J2068">
        <v>10</v>
      </c>
      <c r="K2068">
        <f t="shared" si="139"/>
        <v>10</v>
      </c>
      <c r="R2068" t="s">
        <v>1348</v>
      </c>
    </row>
    <row r="2069" spans="1:18" x14ac:dyDescent="0.25">
      <c r="A2069" t="s">
        <v>341</v>
      </c>
      <c r="B2069" s="4">
        <v>45612</v>
      </c>
      <c r="C2069" s="9">
        <f t="shared" si="136"/>
        <v>11</v>
      </c>
      <c r="D2069">
        <f t="shared" si="137"/>
        <v>2024</v>
      </c>
      <c r="E2069">
        <f t="shared" si="138"/>
        <v>1</v>
      </c>
      <c r="F2069" t="s">
        <v>948</v>
      </c>
      <c r="G2069" t="s">
        <v>101</v>
      </c>
      <c r="H2069" t="s">
        <v>741</v>
      </c>
      <c r="J2069">
        <v>32</v>
      </c>
      <c r="K2069">
        <f t="shared" si="139"/>
        <v>32</v>
      </c>
      <c r="R2069" t="s">
        <v>1348</v>
      </c>
    </row>
    <row r="2070" spans="1:18" x14ac:dyDescent="0.25">
      <c r="A2070" t="s">
        <v>341</v>
      </c>
      <c r="B2070" s="4">
        <v>45623</v>
      </c>
      <c r="C2070" s="9">
        <f t="shared" si="136"/>
        <v>11</v>
      </c>
      <c r="D2070">
        <f t="shared" si="137"/>
        <v>2024</v>
      </c>
      <c r="E2070">
        <f t="shared" si="138"/>
        <v>1</v>
      </c>
      <c r="F2070" t="s">
        <v>948</v>
      </c>
      <c r="G2070" t="s">
        <v>101</v>
      </c>
      <c r="H2070" t="s">
        <v>470</v>
      </c>
      <c r="I2070">
        <v>1</v>
      </c>
      <c r="J2070">
        <v>9</v>
      </c>
      <c r="K2070">
        <f t="shared" si="139"/>
        <v>69</v>
      </c>
      <c r="R2070" t="s">
        <v>1348</v>
      </c>
    </row>
    <row r="2071" spans="1:18" x14ac:dyDescent="0.25">
      <c r="A2071" t="s">
        <v>341</v>
      </c>
      <c r="B2071" s="4">
        <v>45627</v>
      </c>
      <c r="C2071" s="9">
        <f t="shared" si="136"/>
        <v>12</v>
      </c>
      <c r="D2071">
        <f t="shared" si="137"/>
        <v>2024</v>
      </c>
      <c r="E2071">
        <f t="shared" si="138"/>
        <v>1</v>
      </c>
      <c r="F2071" t="s">
        <v>948</v>
      </c>
      <c r="G2071" t="s">
        <v>101</v>
      </c>
      <c r="H2071" t="s">
        <v>741</v>
      </c>
      <c r="J2071">
        <v>47</v>
      </c>
      <c r="K2071">
        <f t="shared" si="139"/>
        <v>47</v>
      </c>
      <c r="R2071" t="s">
        <v>1348</v>
      </c>
    </row>
    <row r="2072" spans="1:18" x14ac:dyDescent="0.25">
      <c r="A2072" t="s">
        <v>341</v>
      </c>
      <c r="B2072" s="4">
        <v>45637</v>
      </c>
      <c r="C2072" s="9">
        <f t="shared" si="136"/>
        <v>12</v>
      </c>
      <c r="D2072">
        <f t="shared" si="137"/>
        <v>2024</v>
      </c>
      <c r="E2072">
        <f t="shared" si="138"/>
        <v>1</v>
      </c>
      <c r="F2072" t="s">
        <v>948</v>
      </c>
      <c r="G2072" t="s">
        <v>101</v>
      </c>
      <c r="H2072" t="s">
        <v>244</v>
      </c>
      <c r="J2072">
        <v>40</v>
      </c>
      <c r="K2072">
        <f t="shared" si="139"/>
        <v>40</v>
      </c>
      <c r="R2072" t="s">
        <v>1348</v>
      </c>
    </row>
    <row r="2073" spans="1:18" x14ac:dyDescent="0.25">
      <c r="A2073" t="s">
        <v>341</v>
      </c>
      <c r="B2073" s="4">
        <v>45638</v>
      </c>
      <c r="C2073" s="9">
        <f t="shared" si="136"/>
        <v>12</v>
      </c>
      <c r="D2073">
        <f t="shared" si="137"/>
        <v>2024</v>
      </c>
      <c r="E2073">
        <f t="shared" si="138"/>
        <v>1</v>
      </c>
      <c r="F2073" t="s">
        <v>948</v>
      </c>
      <c r="G2073" t="s">
        <v>101</v>
      </c>
      <c r="H2073" t="s">
        <v>244</v>
      </c>
      <c r="J2073">
        <v>30</v>
      </c>
      <c r="K2073">
        <f t="shared" si="139"/>
        <v>30</v>
      </c>
      <c r="R2073" t="s">
        <v>1348</v>
      </c>
    </row>
    <row r="2074" spans="1:18" x14ac:dyDescent="0.25">
      <c r="A2074" t="s">
        <v>341</v>
      </c>
      <c r="B2074" s="4">
        <v>45639</v>
      </c>
      <c r="C2074" s="9">
        <f t="shared" si="136"/>
        <v>12</v>
      </c>
      <c r="D2074">
        <f t="shared" si="137"/>
        <v>2024</v>
      </c>
      <c r="E2074">
        <f t="shared" si="138"/>
        <v>1</v>
      </c>
      <c r="F2074" t="s">
        <v>948</v>
      </c>
      <c r="G2074" t="s">
        <v>101</v>
      </c>
      <c r="H2074" t="s">
        <v>153</v>
      </c>
      <c r="J2074">
        <v>56</v>
      </c>
      <c r="K2074">
        <f t="shared" si="139"/>
        <v>56</v>
      </c>
      <c r="R2074" t="s">
        <v>1348</v>
      </c>
    </row>
    <row r="2075" spans="1:18" x14ac:dyDescent="0.25">
      <c r="A2075" t="s">
        <v>341</v>
      </c>
      <c r="B2075" s="4">
        <v>45642</v>
      </c>
      <c r="C2075" s="9">
        <f t="shared" si="136"/>
        <v>12</v>
      </c>
      <c r="D2075">
        <f t="shared" si="137"/>
        <v>2024</v>
      </c>
      <c r="E2075">
        <f t="shared" si="138"/>
        <v>1</v>
      </c>
      <c r="F2075" t="s">
        <v>1034</v>
      </c>
      <c r="G2075" t="s">
        <v>101</v>
      </c>
      <c r="H2075" t="s">
        <v>244</v>
      </c>
      <c r="J2075">
        <v>21</v>
      </c>
      <c r="K2075">
        <f t="shared" si="139"/>
        <v>21</v>
      </c>
      <c r="R2075" t="s">
        <v>1348</v>
      </c>
    </row>
    <row r="2076" spans="1:18" x14ac:dyDescent="0.25">
      <c r="A2076" t="s">
        <v>341</v>
      </c>
      <c r="B2076" s="4">
        <v>45654</v>
      </c>
      <c r="C2076" s="9">
        <f t="shared" si="136"/>
        <v>12</v>
      </c>
      <c r="D2076">
        <f t="shared" si="137"/>
        <v>2024</v>
      </c>
      <c r="E2076">
        <f t="shared" si="138"/>
        <v>1</v>
      </c>
      <c r="F2076" t="s">
        <v>948</v>
      </c>
      <c r="G2076" t="s">
        <v>101</v>
      </c>
      <c r="H2076" t="s">
        <v>153</v>
      </c>
      <c r="I2076">
        <v>1</v>
      </c>
      <c r="J2076">
        <v>22</v>
      </c>
      <c r="K2076">
        <f t="shared" si="139"/>
        <v>82</v>
      </c>
      <c r="R2076" t="s">
        <v>1348</v>
      </c>
    </row>
    <row r="2077" spans="1:18" x14ac:dyDescent="0.25">
      <c r="A2077" t="s">
        <v>341</v>
      </c>
      <c r="B2077" s="4">
        <v>45655</v>
      </c>
      <c r="C2077" s="9">
        <f t="shared" si="136"/>
        <v>12</v>
      </c>
      <c r="D2077">
        <f t="shared" si="137"/>
        <v>2024</v>
      </c>
      <c r="E2077">
        <f t="shared" si="138"/>
        <v>1</v>
      </c>
      <c r="F2077" t="s">
        <v>948</v>
      </c>
      <c r="G2077" t="s">
        <v>101</v>
      </c>
      <c r="H2077" t="s">
        <v>244</v>
      </c>
      <c r="J2077">
        <v>53</v>
      </c>
      <c r="K2077">
        <f t="shared" si="139"/>
        <v>53</v>
      </c>
      <c r="M2077" t="s">
        <v>688</v>
      </c>
      <c r="R2077" t="s">
        <v>1348</v>
      </c>
    </row>
    <row r="2078" spans="1:18" x14ac:dyDescent="0.25">
      <c r="A2078" t="s">
        <v>341</v>
      </c>
      <c r="B2078" s="4">
        <v>45656</v>
      </c>
      <c r="C2078" s="9">
        <f t="shared" si="136"/>
        <v>12</v>
      </c>
      <c r="D2078">
        <f t="shared" si="137"/>
        <v>2024</v>
      </c>
      <c r="E2078">
        <f t="shared" si="138"/>
        <v>1</v>
      </c>
      <c r="F2078" t="s">
        <v>948</v>
      </c>
      <c r="G2078" t="s">
        <v>101</v>
      </c>
      <c r="H2078" t="s">
        <v>153</v>
      </c>
      <c r="I2078">
        <v>1</v>
      </c>
      <c r="J2078">
        <v>49</v>
      </c>
      <c r="K2078">
        <f t="shared" si="139"/>
        <v>109</v>
      </c>
      <c r="R2078" t="s">
        <v>1348</v>
      </c>
    </row>
    <row r="2079" spans="1:18" x14ac:dyDescent="0.25">
      <c r="A2079" t="s">
        <v>341</v>
      </c>
      <c r="B2079" s="4">
        <v>45657</v>
      </c>
      <c r="C2079" s="9">
        <f t="shared" si="136"/>
        <v>12</v>
      </c>
      <c r="D2079">
        <f t="shared" si="137"/>
        <v>2024</v>
      </c>
      <c r="E2079">
        <f t="shared" si="138"/>
        <v>1</v>
      </c>
      <c r="F2079" t="s">
        <v>948</v>
      </c>
      <c r="G2079" t="s">
        <v>101</v>
      </c>
      <c r="H2079" t="s">
        <v>244</v>
      </c>
      <c r="I2079">
        <v>1</v>
      </c>
      <c r="J2079">
        <v>38</v>
      </c>
      <c r="K2079">
        <f t="shared" si="139"/>
        <v>98</v>
      </c>
      <c r="R2079" t="s">
        <v>1348</v>
      </c>
    </row>
    <row r="2080" spans="1:18" x14ac:dyDescent="0.25">
      <c r="A2080" t="s">
        <v>341</v>
      </c>
      <c r="B2080" s="4">
        <v>45671</v>
      </c>
      <c r="C2080" s="9">
        <f t="shared" si="136"/>
        <v>1</v>
      </c>
      <c r="D2080">
        <f t="shared" si="137"/>
        <v>2025</v>
      </c>
      <c r="E2080">
        <f t="shared" si="138"/>
        <v>1</v>
      </c>
      <c r="F2080" t="s">
        <v>948</v>
      </c>
      <c r="G2080" t="s">
        <v>101</v>
      </c>
      <c r="H2080" t="s">
        <v>244</v>
      </c>
      <c r="I2080">
        <v>1</v>
      </c>
      <c r="J2080">
        <v>2</v>
      </c>
      <c r="K2080">
        <f t="shared" si="139"/>
        <v>62</v>
      </c>
      <c r="R2080" t="s">
        <v>1348</v>
      </c>
    </row>
    <row r="2081" spans="1:18" x14ac:dyDescent="0.25">
      <c r="A2081" t="s">
        <v>341</v>
      </c>
      <c r="B2081" s="4">
        <v>45673</v>
      </c>
      <c r="C2081" s="9">
        <f t="shared" si="136"/>
        <v>1</v>
      </c>
      <c r="D2081">
        <f t="shared" si="137"/>
        <v>2025</v>
      </c>
      <c r="E2081">
        <f t="shared" si="138"/>
        <v>1</v>
      </c>
      <c r="F2081" t="s">
        <v>948</v>
      </c>
      <c r="G2081" t="s">
        <v>101</v>
      </c>
      <c r="H2081" t="s">
        <v>244</v>
      </c>
      <c r="J2081">
        <v>49</v>
      </c>
      <c r="K2081">
        <f t="shared" si="139"/>
        <v>49</v>
      </c>
      <c r="R2081" t="s">
        <v>1348</v>
      </c>
    </row>
    <row r="2082" spans="1:18" x14ac:dyDescent="0.25">
      <c r="A2082" t="s">
        <v>341</v>
      </c>
      <c r="B2082" s="4">
        <v>45674</v>
      </c>
      <c r="C2082" s="9">
        <f t="shared" si="136"/>
        <v>1</v>
      </c>
      <c r="D2082">
        <f t="shared" si="137"/>
        <v>2025</v>
      </c>
      <c r="E2082">
        <f t="shared" si="138"/>
        <v>1</v>
      </c>
      <c r="F2082" t="s">
        <v>948</v>
      </c>
      <c r="G2082" t="s">
        <v>101</v>
      </c>
      <c r="H2082" t="s">
        <v>244</v>
      </c>
      <c r="J2082">
        <v>26</v>
      </c>
      <c r="K2082">
        <f t="shared" si="139"/>
        <v>26</v>
      </c>
      <c r="R2082" t="s">
        <v>1348</v>
      </c>
    </row>
    <row r="2083" spans="1:18" x14ac:dyDescent="0.25">
      <c r="A2083" t="s">
        <v>341</v>
      </c>
      <c r="B2083" s="4">
        <v>45678</v>
      </c>
      <c r="C2083" s="9">
        <f t="shared" si="136"/>
        <v>1</v>
      </c>
      <c r="D2083">
        <f t="shared" si="137"/>
        <v>2025</v>
      </c>
      <c r="E2083">
        <f t="shared" si="138"/>
        <v>1</v>
      </c>
      <c r="F2083" t="s">
        <v>948</v>
      </c>
      <c r="G2083" t="s">
        <v>101</v>
      </c>
      <c r="H2083" t="s">
        <v>153</v>
      </c>
      <c r="I2083">
        <v>1</v>
      </c>
      <c r="J2083">
        <v>17</v>
      </c>
      <c r="K2083">
        <f t="shared" si="139"/>
        <v>77</v>
      </c>
      <c r="R2083" t="s">
        <v>1348</v>
      </c>
    </row>
    <row r="2084" spans="1:18" x14ac:dyDescent="0.25">
      <c r="A2084" t="s">
        <v>341</v>
      </c>
      <c r="B2084" s="4">
        <v>45690</v>
      </c>
      <c r="C2084" s="9">
        <f t="shared" si="136"/>
        <v>2</v>
      </c>
      <c r="D2084">
        <f t="shared" si="137"/>
        <v>2025</v>
      </c>
      <c r="E2084">
        <f t="shared" si="138"/>
        <v>1</v>
      </c>
      <c r="F2084" t="s">
        <v>948</v>
      </c>
      <c r="G2084" t="s">
        <v>101</v>
      </c>
      <c r="H2084" t="s">
        <v>244</v>
      </c>
      <c r="I2084">
        <v>1</v>
      </c>
      <c r="J2084">
        <v>38</v>
      </c>
      <c r="K2084">
        <f t="shared" si="139"/>
        <v>98</v>
      </c>
      <c r="R2084" t="s">
        <v>1348</v>
      </c>
    </row>
    <row r="2085" spans="1:18" x14ac:dyDescent="0.25">
      <c r="A2085" t="s">
        <v>341</v>
      </c>
      <c r="B2085" s="4">
        <v>45691</v>
      </c>
      <c r="C2085" s="9">
        <f t="shared" si="136"/>
        <v>2</v>
      </c>
      <c r="D2085">
        <f t="shared" si="137"/>
        <v>2025</v>
      </c>
      <c r="E2085">
        <f t="shared" si="138"/>
        <v>1</v>
      </c>
      <c r="F2085" t="s">
        <v>948</v>
      </c>
      <c r="G2085" t="s">
        <v>101</v>
      </c>
      <c r="H2085" t="s">
        <v>244</v>
      </c>
      <c r="J2085">
        <v>28</v>
      </c>
      <c r="K2085">
        <f t="shared" si="139"/>
        <v>28</v>
      </c>
      <c r="R2085" t="s">
        <v>1348</v>
      </c>
    </row>
    <row r="2086" spans="1:18" x14ac:dyDescent="0.25">
      <c r="A2086" t="s">
        <v>341</v>
      </c>
      <c r="B2086" s="4">
        <v>45692</v>
      </c>
      <c r="C2086" s="9">
        <f t="shared" si="136"/>
        <v>2</v>
      </c>
      <c r="D2086">
        <f t="shared" si="137"/>
        <v>2025</v>
      </c>
      <c r="E2086">
        <f t="shared" si="138"/>
        <v>1</v>
      </c>
      <c r="F2086" t="s">
        <v>948</v>
      </c>
      <c r="G2086" t="s">
        <v>101</v>
      </c>
      <c r="H2086" t="s">
        <v>741</v>
      </c>
      <c r="J2086">
        <v>51</v>
      </c>
      <c r="K2086">
        <f t="shared" si="139"/>
        <v>51</v>
      </c>
      <c r="R2086" t="s">
        <v>1348</v>
      </c>
    </row>
    <row r="2087" spans="1:18" x14ac:dyDescent="0.25">
      <c r="A2087" t="s">
        <v>341</v>
      </c>
      <c r="B2087" s="4">
        <v>45693</v>
      </c>
      <c r="C2087" s="9">
        <f t="shared" si="136"/>
        <v>2</v>
      </c>
      <c r="D2087">
        <f t="shared" si="137"/>
        <v>2025</v>
      </c>
      <c r="E2087">
        <f t="shared" si="138"/>
        <v>1</v>
      </c>
      <c r="F2087" t="s">
        <v>948</v>
      </c>
      <c r="G2087" t="s">
        <v>101</v>
      </c>
      <c r="H2087" t="s">
        <v>244</v>
      </c>
      <c r="I2087">
        <v>1</v>
      </c>
      <c r="J2087">
        <v>34</v>
      </c>
      <c r="K2087">
        <f t="shared" si="139"/>
        <v>94</v>
      </c>
      <c r="R2087" t="s">
        <v>1348</v>
      </c>
    </row>
    <row r="2088" spans="1:18" x14ac:dyDescent="0.25">
      <c r="A2088" t="s">
        <v>341</v>
      </c>
      <c r="B2088" s="4">
        <v>45694</v>
      </c>
      <c r="C2088" s="9">
        <f t="shared" si="136"/>
        <v>2</v>
      </c>
      <c r="D2088">
        <f t="shared" si="137"/>
        <v>2025</v>
      </c>
      <c r="E2088">
        <f t="shared" si="138"/>
        <v>1</v>
      </c>
      <c r="F2088" t="s">
        <v>948</v>
      </c>
      <c r="G2088" t="s">
        <v>101</v>
      </c>
      <c r="H2088" t="s">
        <v>153</v>
      </c>
      <c r="I2088">
        <v>1</v>
      </c>
      <c r="J2088">
        <v>29</v>
      </c>
      <c r="K2088">
        <f t="shared" si="139"/>
        <v>89</v>
      </c>
      <c r="R2088" t="s">
        <v>1348</v>
      </c>
    </row>
    <row r="2089" spans="1:18" x14ac:dyDescent="0.25">
      <c r="A2089" t="s">
        <v>341</v>
      </c>
      <c r="B2089" s="4">
        <v>45700</v>
      </c>
      <c r="C2089" s="9">
        <f t="shared" si="136"/>
        <v>2</v>
      </c>
      <c r="D2089">
        <f t="shared" si="137"/>
        <v>2025</v>
      </c>
      <c r="E2089">
        <f t="shared" si="138"/>
        <v>1</v>
      </c>
      <c r="F2089" t="s">
        <v>948</v>
      </c>
      <c r="G2089" t="s">
        <v>101</v>
      </c>
      <c r="H2089" t="s">
        <v>244</v>
      </c>
      <c r="J2089">
        <v>56</v>
      </c>
      <c r="K2089">
        <f t="shared" si="139"/>
        <v>56</v>
      </c>
      <c r="R2089" t="s">
        <v>1348</v>
      </c>
    </row>
    <row r="2090" spans="1:18" x14ac:dyDescent="0.25">
      <c r="A2090" t="s">
        <v>341</v>
      </c>
      <c r="B2090" s="4">
        <v>45703</v>
      </c>
      <c r="C2090" s="9">
        <f t="shared" si="136"/>
        <v>2</v>
      </c>
      <c r="D2090">
        <f t="shared" si="137"/>
        <v>2025</v>
      </c>
      <c r="E2090">
        <f t="shared" si="138"/>
        <v>1</v>
      </c>
      <c r="F2090" t="s">
        <v>948</v>
      </c>
      <c r="G2090" t="s">
        <v>101</v>
      </c>
      <c r="H2090" t="s">
        <v>244</v>
      </c>
      <c r="I2090">
        <v>1</v>
      </c>
      <c r="J2090">
        <v>5</v>
      </c>
      <c r="K2090">
        <f t="shared" si="139"/>
        <v>65</v>
      </c>
      <c r="R2090" t="s">
        <v>1348</v>
      </c>
    </row>
    <row r="2091" spans="1:18" x14ac:dyDescent="0.25">
      <c r="A2091" t="s">
        <v>341</v>
      </c>
      <c r="B2091" s="4">
        <v>45705</v>
      </c>
      <c r="C2091" s="9">
        <f t="shared" si="136"/>
        <v>2</v>
      </c>
      <c r="D2091">
        <f t="shared" si="137"/>
        <v>2025</v>
      </c>
      <c r="E2091">
        <f t="shared" si="138"/>
        <v>1</v>
      </c>
      <c r="F2091" t="s">
        <v>948</v>
      </c>
      <c r="G2091" t="s">
        <v>101</v>
      </c>
      <c r="H2091" t="s">
        <v>912</v>
      </c>
      <c r="I2091">
        <v>1</v>
      </c>
      <c r="J2091">
        <v>1</v>
      </c>
      <c r="K2091">
        <f t="shared" si="139"/>
        <v>61</v>
      </c>
      <c r="R2091" t="s">
        <v>1348</v>
      </c>
    </row>
    <row r="2092" spans="1:18" x14ac:dyDescent="0.25">
      <c r="A2092" t="s">
        <v>341</v>
      </c>
      <c r="B2092" s="4">
        <v>45706</v>
      </c>
      <c r="C2092" s="9">
        <f t="shared" si="136"/>
        <v>2</v>
      </c>
      <c r="D2092">
        <f t="shared" si="137"/>
        <v>2025</v>
      </c>
      <c r="E2092">
        <f t="shared" si="138"/>
        <v>1</v>
      </c>
      <c r="F2092" t="s">
        <v>1196</v>
      </c>
      <c r="G2092" t="s">
        <v>101</v>
      </c>
      <c r="H2092" t="s">
        <v>153</v>
      </c>
      <c r="I2092">
        <v>1</v>
      </c>
      <c r="J2092">
        <v>3</v>
      </c>
      <c r="K2092">
        <f t="shared" si="139"/>
        <v>63</v>
      </c>
      <c r="R2092" t="s">
        <v>1348</v>
      </c>
    </row>
    <row r="2093" spans="1:18" x14ac:dyDescent="0.25">
      <c r="A2093" t="s">
        <v>341</v>
      </c>
      <c r="B2093" s="4">
        <v>45707</v>
      </c>
      <c r="C2093" s="9">
        <f t="shared" si="136"/>
        <v>2</v>
      </c>
      <c r="D2093">
        <f t="shared" si="137"/>
        <v>2025</v>
      </c>
      <c r="E2093">
        <f t="shared" si="138"/>
        <v>1</v>
      </c>
      <c r="F2093" t="s">
        <v>1196</v>
      </c>
      <c r="G2093" t="s">
        <v>101</v>
      </c>
      <c r="H2093" t="s">
        <v>153</v>
      </c>
      <c r="I2093">
        <v>1</v>
      </c>
      <c r="J2093">
        <v>15</v>
      </c>
      <c r="K2093">
        <f t="shared" si="139"/>
        <v>75</v>
      </c>
      <c r="M2093" t="s">
        <v>1221</v>
      </c>
      <c r="R2093" t="s">
        <v>1348</v>
      </c>
    </row>
    <row r="2094" spans="1:18" x14ac:dyDescent="0.25">
      <c r="A2094" t="s">
        <v>341</v>
      </c>
      <c r="B2094" s="4">
        <v>45708</v>
      </c>
      <c r="C2094" s="9">
        <f t="shared" si="136"/>
        <v>2</v>
      </c>
      <c r="D2094">
        <f t="shared" si="137"/>
        <v>2025</v>
      </c>
      <c r="E2094">
        <f t="shared" si="138"/>
        <v>1</v>
      </c>
      <c r="F2094" t="s">
        <v>1196</v>
      </c>
      <c r="G2094" t="s">
        <v>101</v>
      </c>
      <c r="H2094" t="s">
        <v>244</v>
      </c>
      <c r="I2094">
        <v>1</v>
      </c>
      <c r="J2094">
        <v>47</v>
      </c>
      <c r="K2094">
        <f t="shared" si="139"/>
        <v>107</v>
      </c>
      <c r="R2094" t="s">
        <v>1348</v>
      </c>
    </row>
    <row r="2095" spans="1:18" x14ac:dyDescent="0.25">
      <c r="A2095" t="s">
        <v>341</v>
      </c>
      <c r="B2095" s="4">
        <v>45709</v>
      </c>
      <c r="C2095" s="9">
        <f t="shared" si="136"/>
        <v>2</v>
      </c>
      <c r="D2095">
        <f t="shared" si="137"/>
        <v>2025</v>
      </c>
      <c r="E2095">
        <f t="shared" si="138"/>
        <v>1</v>
      </c>
      <c r="F2095" t="s">
        <v>1196</v>
      </c>
      <c r="G2095" t="s">
        <v>101</v>
      </c>
      <c r="H2095" t="s">
        <v>153</v>
      </c>
      <c r="J2095">
        <v>48</v>
      </c>
      <c r="K2095">
        <f t="shared" si="139"/>
        <v>48</v>
      </c>
      <c r="M2095" t="s">
        <v>1222</v>
      </c>
      <c r="R2095" t="s">
        <v>1348</v>
      </c>
    </row>
    <row r="2096" spans="1:18" x14ac:dyDescent="0.25">
      <c r="A2096" t="s">
        <v>341</v>
      </c>
      <c r="B2096" s="4">
        <v>45711</v>
      </c>
      <c r="C2096" s="9">
        <f t="shared" si="136"/>
        <v>2</v>
      </c>
      <c r="D2096">
        <f t="shared" si="137"/>
        <v>2025</v>
      </c>
      <c r="E2096">
        <f t="shared" si="138"/>
        <v>1</v>
      </c>
      <c r="F2096" t="s">
        <v>1196</v>
      </c>
      <c r="G2096" t="s">
        <v>101</v>
      </c>
      <c r="H2096" t="s">
        <v>244</v>
      </c>
      <c r="I2096">
        <v>2</v>
      </c>
      <c r="J2096">
        <v>0</v>
      </c>
      <c r="K2096">
        <f t="shared" si="139"/>
        <v>120</v>
      </c>
      <c r="R2096" t="s">
        <v>1348</v>
      </c>
    </row>
    <row r="2097" spans="1:18" x14ac:dyDescent="0.25">
      <c r="A2097" t="s">
        <v>341</v>
      </c>
      <c r="B2097" s="4">
        <v>45712</v>
      </c>
      <c r="C2097" s="9">
        <f t="shared" si="136"/>
        <v>2</v>
      </c>
      <c r="D2097">
        <f t="shared" si="137"/>
        <v>2025</v>
      </c>
      <c r="E2097">
        <f t="shared" si="138"/>
        <v>1</v>
      </c>
      <c r="F2097" t="s">
        <v>1196</v>
      </c>
      <c r="G2097" t="s">
        <v>101</v>
      </c>
      <c r="H2097" t="s">
        <v>244</v>
      </c>
      <c r="J2097">
        <v>31</v>
      </c>
      <c r="K2097">
        <f t="shared" si="139"/>
        <v>31</v>
      </c>
      <c r="R2097" t="s">
        <v>1348</v>
      </c>
    </row>
    <row r="2098" spans="1:18" x14ac:dyDescent="0.25">
      <c r="A2098" t="s">
        <v>341</v>
      </c>
      <c r="B2098" s="4">
        <v>45716</v>
      </c>
      <c r="C2098" s="9">
        <f t="shared" si="136"/>
        <v>2</v>
      </c>
      <c r="D2098">
        <f t="shared" si="137"/>
        <v>2025</v>
      </c>
      <c r="E2098">
        <f t="shared" si="138"/>
        <v>1</v>
      </c>
      <c r="F2098" t="s">
        <v>1196</v>
      </c>
      <c r="G2098" t="s">
        <v>101</v>
      </c>
      <c r="H2098" t="s">
        <v>153</v>
      </c>
      <c r="I2098">
        <v>1</v>
      </c>
      <c r="J2098">
        <v>11</v>
      </c>
      <c r="K2098">
        <f t="shared" si="139"/>
        <v>71</v>
      </c>
      <c r="R2098" t="s">
        <v>1348</v>
      </c>
    </row>
    <row r="2099" spans="1:18" x14ac:dyDescent="0.25">
      <c r="A2099" t="s">
        <v>341</v>
      </c>
      <c r="B2099" s="4">
        <v>45718</v>
      </c>
      <c r="C2099" s="9">
        <f t="shared" si="136"/>
        <v>3</v>
      </c>
      <c r="D2099">
        <f t="shared" si="137"/>
        <v>2025</v>
      </c>
      <c r="E2099">
        <f t="shared" si="138"/>
        <v>1</v>
      </c>
      <c r="F2099" t="s">
        <v>1196</v>
      </c>
      <c r="G2099" t="s">
        <v>101</v>
      </c>
      <c r="H2099" t="s">
        <v>244</v>
      </c>
      <c r="I2099">
        <v>2</v>
      </c>
      <c r="J2099">
        <v>22</v>
      </c>
      <c r="K2099">
        <f t="shared" si="139"/>
        <v>142</v>
      </c>
      <c r="R2099" t="s">
        <v>1348</v>
      </c>
    </row>
    <row r="2100" spans="1:18" x14ac:dyDescent="0.25">
      <c r="A2100" t="s">
        <v>341</v>
      </c>
      <c r="B2100" s="4">
        <v>45719</v>
      </c>
      <c r="C2100" s="9">
        <f t="shared" si="136"/>
        <v>3</v>
      </c>
      <c r="D2100">
        <f t="shared" si="137"/>
        <v>2025</v>
      </c>
      <c r="E2100">
        <f t="shared" si="138"/>
        <v>1</v>
      </c>
      <c r="F2100" t="s">
        <v>1196</v>
      </c>
      <c r="G2100" t="s">
        <v>409</v>
      </c>
      <c r="H2100" t="s">
        <v>244</v>
      </c>
      <c r="I2100">
        <v>1</v>
      </c>
      <c r="J2100">
        <v>19</v>
      </c>
      <c r="K2100">
        <f t="shared" si="139"/>
        <v>79</v>
      </c>
      <c r="R2100" t="s">
        <v>1348</v>
      </c>
    </row>
    <row r="2101" spans="1:18" x14ac:dyDescent="0.25">
      <c r="A2101" t="s">
        <v>341</v>
      </c>
      <c r="B2101" s="4">
        <v>45720</v>
      </c>
      <c r="C2101" s="9">
        <f t="shared" si="136"/>
        <v>3</v>
      </c>
      <c r="D2101">
        <f t="shared" si="137"/>
        <v>2025</v>
      </c>
      <c r="E2101">
        <f t="shared" si="138"/>
        <v>1</v>
      </c>
      <c r="F2101" t="s">
        <v>1196</v>
      </c>
      <c r="G2101" t="s">
        <v>101</v>
      </c>
      <c r="H2101" t="s">
        <v>244</v>
      </c>
      <c r="I2101">
        <v>1</v>
      </c>
      <c r="J2101">
        <v>7</v>
      </c>
      <c r="K2101">
        <f t="shared" si="139"/>
        <v>67</v>
      </c>
      <c r="R2101" t="s">
        <v>1348</v>
      </c>
    </row>
    <row r="2102" spans="1:18" x14ac:dyDescent="0.25">
      <c r="A2102" t="s">
        <v>341</v>
      </c>
      <c r="B2102" s="4">
        <v>45727</v>
      </c>
      <c r="C2102" s="9">
        <f t="shared" si="136"/>
        <v>3</v>
      </c>
      <c r="D2102">
        <f t="shared" si="137"/>
        <v>2025</v>
      </c>
      <c r="E2102">
        <f t="shared" si="138"/>
        <v>1</v>
      </c>
      <c r="F2102" t="s">
        <v>1196</v>
      </c>
      <c r="G2102" t="s">
        <v>101</v>
      </c>
      <c r="H2102" t="s">
        <v>153</v>
      </c>
      <c r="J2102">
        <v>52</v>
      </c>
      <c r="K2102">
        <f t="shared" si="139"/>
        <v>52</v>
      </c>
      <c r="R2102" t="s">
        <v>1348</v>
      </c>
    </row>
    <row r="2103" spans="1:18" x14ac:dyDescent="0.25">
      <c r="A2103" t="s">
        <v>341</v>
      </c>
      <c r="B2103" s="4">
        <v>45733</v>
      </c>
      <c r="C2103" s="9">
        <f t="shared" si="136"/>
        <v>3</v>
      </c>
      <c r="D2103">
        <f t="shared" si="137"/>
        <v>2025</v>
      </c>
      <c r="E2103">
        <f t="shared" si="138"/>
        <v>1</v>
      </c>
      <c r="F2103" t="s">
        <v>1196</v>
      </c>
      <c r="G2103" t="s">
        <v>101</v>
      </c>
      <c r="H2103" t="s">
        <v>741</v>
      </c>
      <c r="J2103">
        <v>51</v>
      </c>
      <c r="K2103">
        <f t="shared" si="139"/>
        <v>51</v>
      </c>
      <c r="R2103" t="s">
        <v>1348</v>
      </c>
    </row>
    <row r="2104" spans="1:18" x14ac:dyDescent="0.25">
      <c r="A2104" t="s">
        <v>341</v>
      </c>
      <c r="B2104" s="4">
        <v>45735</v>
      </c>
      <c r="C2104" s="9">
        <f t="shared" si="136"/>
        <v>3</v>
      </c>
      <c r="D2104">
        <f t="shared" si="137"/>
        <v>2025</v>
      </c>
      <c r="E2104">
        <f t="shared" si="138"/>
        <v>1</v>
      </c>
      <c r="F2104" t="s">
        <v>1196</v>
      </c>
      <c r="G2104" t="s">
        <v>101</v>
      </c>
      <c r="H2104" t="s">
        <v>741</v>
      </c>
      <c r="J2104">
        <v>49</v>
      </c>
      <c r="K2104">
        <f t="shared" si="139"/>
        <v>49</v>
      </c>
      <c r="R2104" t="s">
        <v>1348</v>
      </c>
    </row>
    <row r="2105" spans="1:18" x14ac:dyDescent="0.25">
      <c r="A2105" t="s">
        <v>341</v>
      </c>
      <c r="B2105" s="4">
        <v>45736</v>
      </c>
      <c r="C2105" s="9">
        <f t="shared" si="136"/>
        <v>3</v>
      </c>
      <c r="D2105">
        <f t="shared" si="137"/>
        <v>2025</v>
      </c>
      <c r="E2105">
        <f t="shared" si="138"/>
        <v>1</v>
      </c>
      <c r="F2105" t="s">
        <v>1196</v>
      </c>
      <c r="G2105" t="s">
        <v>101</v>
      </c>
      <c r="H2105" t="s">
        <v>153</v>
      </c>
      <c r="J2105">
        <v>43</v>
      </c>
      <c r="K2105">
        <f t="shared" si="139"/>
        <v>43</v>
      </c>
      <c r="R2105" t="s">
        <v>1348</v>
      </c>
    </row>
    <row r="2106" spans="1:18" x14ac:dyDescent="0.25">
      <c r="A2106" t="s">
        <v>341</v>
      </c>
      <c r="B2106" s="4">
        <v>45740</v>
      </c>
      <c r="C2106" s="9">
        <f t="shared" si="136"/>
        <v>3</v>
      </c>
      <c r="D2106">
        <f t="shared" si="137"/>
        <v>2025</v>
      </c>
      <c r="E2106">
        <f t="shared" si="138"/>
        <v>1</v>
      </c>
      <c r="F2106" t="s">
        <v>1196</v>
      </c>
      <c r="G2106" t="s">
        <v>101</v>
      </c>
      <c r="H2106" t="s">
        <v>635</v>
      </c>
      <c r="J2106">
        <v>46</v>
      </c>
      <c r="K2106">
        <f t="shared" si="139"/>
        <v>46</v>
      </c>
      <c r="R2106" t="s">
        <v>1348</v>
      </c>
    </row>
    <row r="2107" spans="1:18" x14ac:dyDescent="0.25">
      <c r="A2107" t="s">
        <v>341</v>
      </c>
      <c r="B2107" s="4">
        <v>45741</v>
      </c>
      <c r="C2107" s="9">
        <f t="shared" si="136"/>
        <v>3</v>
      </c>
      <c r="D2107">
        <f t="shared" si="137"/>
        <v>2025</v>
      </c>
      <c r="E2107">
        <f t="shared" si="138"/>
        <v>1</v>
      </c>
      <c r="F2107" t="s">
        <v>1196</v>
      </c>
      <c r="G2107" t="s">
        <v>101</v>
      </c>
      <c r="H2107" t="s">
        <v>153</v>
      </c>
      <c r="I2107">
        <v>1</v>
      </c>
      <c r="J2107">
        <v>15</v>
      </c>
      <c r="K2107">
        <f t="shared" si="139"/>
        <v>75</v>
      </c>
      <c r="R2107" t="s">
        <v>1348</v>
      </c>
    </row>
    <row r="2108" spans="1:18" x14ac:dyDescent="0.25">
      <c r="A2108" t="s">
        <v>341</v>
      </c>
      <c r="B2108" s="4">
        <v>45743</v>
      </c>
      <c r="C2108" s="9">
        <f t="shared" si="136"/>
        <v>3</v>
      </c>
      <c r="D2108">
        <f t="shared" si="137"/>
        <v>2025</v>
      </c>
      <c r="E2108">
        <f t="shared" si="138"/>
        <v>1</v>
      </c>
      <c r="F2108" t="s">
        <v>1196</v>
      </c>
      <c r="G2108" t="s">
        <v>493</v>
      </c>
      <c r="H2108" t="s">
        <v>1223</v>
      </c>
      <c r="I2108">
        <v>1</v>
      </c>
      <c r="J2108">
        <v>20</v>
      </c>
      <c r="K2108">
        <f t="shared" si="139"/>
        <v>80</v>
      </c>
      <c r="L2108" t="s">
        <v>1235</v>
      </c>
      <c r="R2108" t="s">
        <v>1349</v>
      </c>
    </row>
    <row r="2109" spans="1:18" x14ac:dyDescent="0.25">
      <c r="A2109" t="s">
        <v>341</v>
      </c>
      <c r="B2109" s="4">
        <v>45744</v>
      </c>
      <c r="C2109" s="9">
        <f t="shared" si="136"/>
        <v>3</v>
      </c>
      <c r="D2109">
        <f t="shared" si="137"/>
        <v>2025</v>
      </c>
      <c r="E2109">
        <f t="shared" si="138"/>
        <v>1</v>
      </c>
      <c r="F2109" t="s">
        <v>1196</v>
      </c>
      <c r="G2109" t="s">
        <v>1224</v>
      </c>
      <c r="H2109" t="s">
        <v>1225</v>
      </c>
      <c r="J2109">
        <v>52</v>
      </c>
      <c r="K2109">
        <f t="shared" si="139"/>
        <v>52</v>
      </c>
      <c r="L2109" t="s">
        <v>1235</v>
      </c>
      <c r="R2109" t="s">
        <v>1349</v>
      </c>
    </row>
    <row r="2110" spans="1:18" x14ac:dyDescent="0.25">
      <c r="A2110" t="s">
        <v>341</v>
      </c>
      <c r="B2110" s="4">
        <v>45745</v>
      </c>
      <c r="C2110" s="9">
        <f t="shared" si="136"/>
        <v>3</v>
      </c>
      <c r="D2110">
        <f t="shared" si="137"/>
        <v>2025</v>
      </c>
      <c r="E2110">
        <f t="shared" si="138"/>
        <v>1</v>
      </c>
      <c r="F2110" t="s">
        <v>1196</v>
      </c>
      <c r="G2110" t="s">
        <v>493</v>
      </c>
      <c r="H2110" t="s">
        <v>498</v>
      </c>
      <c r="J2110">
        <v>31</v>
      </c>
      <c r="K2110">
        <f t="shared" si="139"/>
        <v>31</v>
      </c>
      <c r="L2110" t="s">
        <v>1235</v>
      </c>
      <c r="R2110" t="s">
        <v>1349</v>
      </c>
    </row>
    <row r="2111" spans="1:18" x14ac:dyDescent="0.25">
      <c r="A2111" t="s">
        <v>341</v>
      </c>
      <c r="B2111" s="4">
        <v>45746</v>
      </c>
      <c r="C2111" s="9">
        <f t="shared" si="136"/>
        <v>3</v>
      </c>
      <c r="D2111">
        <f t="shared" si="137"/>
        <v>2025</v>
      </c>
      <c r="E2111">
        <f t="shared" si="138"/>
        <v>1</v>
      </c>
      <c r="F2111" t="s">
        <v>1196</v>
      </c>
      <c r="G2111" t="s">
        <v>935</v>
      </c>
      <c r="H2111" t="s">
        <v>1226</v>
      </c>
      <c r="I2111">
        <v>1</v>
      </c>
      <c r="J2111">
        <v>32</v>
      </c>
      <c r="K2111">
        <f t="shared" si="139"/>
        <v>92</v>
      </c>
      <c r="L2111" t="s">
        <v>1235</v>
      </c>
      <c r="R2111" t="s">
        <v>1349</v>
      </c>
    </row>
    <row r="2112" spans="1:18" x14ac:dyDescent="0.25">
      <c r="A2112" t="s">
        <v>341</v>
      </c>
      <c r="B2112" s="4">
        <v>45747</v>
      </c>
      <c r="C2112" s="9">
        <f t="shared" si="136"/>
        <v>3</v>
      </c>
      <c r="D2112">
        <f t="shared" si="137"/>
        <v>2025</v>
      </c>
      <c r="E2112">
        <f t="shared" si="138"/>
        <v>1</v>
      </c>
      <c r="F2112" t="s">
        <v>1196</v>
      </c>
      <c r="G2112" t="s">
        <v>935</v>
      </c>
      <c r="H2112" t="s">
        <v>1226</v>
      </c>
      <c r="I2112">
        <v>1</v>
      </c>
      <c r="J2112">
        <v>54</v>
      </c>
      <c r="K2112">
        <f t="shared" si="139"/>
        <v>114</v>
      </c>
      <c r="L2112" t="s">
        <v>1235</v>
      </c>
      <c r="R2112" t="s">
        <v>1349</v>
      </c>
    </row>
    <row r="2113" spans="1:19" x14ac:dyDescent="0.25">
      <c r="A2113" t="s">
        <v>341</v>
      </c>
      <c r="B2113" s="4">
        <v>45748</v>
      </c>
      <c r="C2113" s="9">
        <f t="shared" si="136"/>
        <v>4</v>
      </c>
      <c r="D2113">
        <f t="shared" si="137"/>
        <v>2025</v>
      </c>
      <c r="E2113">
        <f t="shared" si="138"/>
        <v>1</v>
      </c>
      <c r="F2113" t="s">
        <v>1196</v>
      </c>
      <c r="G2113" t="s">
        <v>935</v>
      </c>
      <c r="H2113" t="s">
        <v>1227</v>
      </c>
      <c r="J2113">
        <v>30</v>
      </c>
      <c r="K2113">
        <f t="shared" si="139"/>
        <v>30</v>
      </c>
      <c r="L2113" t="s">
        <v>1235</v>
      </c>
      <c r="R2113" t="s">
        <v>1349</v>
      </c>
    </row>
    <row r="2114" spans="1:19" x14ac:dyDescent="0.25">
      <c r="A2114" t="s">
        <v>341</v>
      </c>
      <c r="B2114" s="4">
        <v>45749</v>
      </c>
      <c r="C2114" s="9">
        <f t="shared" si="136"/>
        <v>4</v>
      </c>
      <c r="D2114">
        <f t="shared" si="137"/>
        <v>2025</v>
      </c>
      <c r="E2114">
        <f t="shared" si="138"/>
        <v>1</v>
      </c>
      <c r="F2114" t="s">
        <v>1196</v>
      </c>
      <c r="G2114" t="s">
        <v>493</v>
      </c>
      <c r="H2114" t="s">
        <v>493</v>
      </c>
      <c r="J2114">
        <v>12</v>
      </c>
      <c r="K2114">
        <f t="shared" si="139"/>
        <v>12</v>
      </c>
      <c r="L2114" t="s">
        <v>1235</v>
      </c>
      <c r="R2114" t="s">
        <v>1349</v>
      </c>
      <c r="S2114" t="s">
        <v>1367</v>
      </c>
    </row>
    <row r="2115" spans="1:19" x14ac:dyDescent="0.25">
      <c r="A2115" t="s">
        <v>341</v>
      </c>
      <c r="B2115" s="4">
        <v>45749</v>
      </c>
      <c r="C2115" s="9">
        <f t="shared" si="136"/>
        <v>4</v>
      </c>
      <c r="D2115">
        <f t="shared" si="137"/>
        <v>2025</v>
      </c>
      <c r="E2115">
        <f t="shared" si="138"/>
        <v>0</v>
      </c>
      <c r="F2115" t="s">
        <v>1196</v>
      </c>
      <c r="G2115" t="s">
        <v>493</v>
      </c>
      <c r="H2115" t="s">
        <v>493</v>
      </c>
      <c r="J2115">
        <v>2</v>
      </c>
      <c r="K2115">
        <f t="shared" si="139"/>
        <v>2</v>
      </c>
      <c r="L2115" t="s">
        <v>1235</v>
      </c>
      <c r="R2115" t="s">
        <v>1349</v>
      </c>
      <c r="S2115" t="s">
        <v>1367</v>
      </c>
    </row>
    <row r="2116" spans="1:19" x14ac:dyDescent="0.25">
      <c r="A2116" t="s">
        <v>341</v>
      </c>
      <c r="B2116" s="4">
        <v>45749</v>
      </c>
      <c r="C2116" s="9">
        <f t="shared" si="136"/>
        <v>4</v>
      </c>
      <c r="D2116">
        <f t="shared" si="137"/>
        <v>2025</v>
      </c>
      <c r="E2116">
        <f t="shared" si="138"/>
        <v>0</v>
      </c>
      <c r="F2116" t="s">
        <v>1196</v>
      </c>
      <c r="G2116" t="s">
        <v>493</v>
      </c>
      <c r="H2116" t="s">
        <v>493</v>
      </c>
      <c r="J2116">
        <v>1</v>
      </c>
      <c r="K2116">
        <f t="shared" si="139"/>
        <v>1</v>
      </c>
      <c r="L2116" t="s">
        <v>1235</v>
      </c>
      <c r="R2116" t="s">
        <v>1349</v>
      </c>
      <c r="S2116" t="s">
        <v>1367</v>
      </c>
    </row>
    <row r="2117" spans="1:19" x14ac:dyDescent="0.25">
      <c r="A2117" t="s">
        <v>341</v>
      </c>
      <c r="B2117" s="4">
        <v>45749</v>
      </c>
      <c r="C2117" s="9">
        <f t="shared" si="136"/>
        <v>4</v>
      </c>
      <c r="D2117">
        <f t="shared" si="137"/>
        <v>2025</v>
      </c>
      <c r="E2117">
        <f t="shared" si="138"/>
        <v>0</v>
      </c>
      <c r="F2117" t="s">
        <v>1196</v>
      </c>
      <c r="G2117" t="s">
        <v>493</v>
      </c>
      <c r="H2117" t="s">
        <v>493</v>
      </c>
      <c r="J2117">
        <v>18</v>
      </c>
      <c r="K2117">
        <f t="shared" si="139"/>
        <v>18</v>
      </c>
      <c r="L2117" t="s">
        <v>1235</v>
      </c>
      <c r="R2117" t="s">
        <v>1349</v>
      </c>
    </row>
    <row r="2118" spans="1:19" x14ac:dyDescent="0.25">
      <c r="A2118" t="s">
        <v>341</v>
      </c>
      <c r="B2118" s="4">
        <v>45749</v>
      </c>
      <c r="C2118" s="9">
        <f t="shared" si="136"/>
        <v>4</v>
      </c>
      <c r="D2118">
        <f t="shared" si="137"/>
        <v>2025</v>
      </c>
      <c r="E2118">
        <f t="shared" si="138"/>
        <v>0</v>
      </c>
      <c r="F2118" t="s">
        <v>1196</v>
      </c>
      <c r="G2118" t="s">
        <v>493</v>
      </c>
      <c r="H2118" t="s">
        <v>493</v>
      </c>
      <c r="J2118">
        <v>33</v>
      </c>
      <c r="K2118">
        <f t="shared" si="139"/>
        <v>33</v>
      </c>
      <c r="L2118" t="s">
        <v>1235</v>
      </c>
      <c r="R2118" t="s">
        <v>1349</v>
      </c>
    </row>
    <row r="2119" spans="1:19" x14ac:dyDescent="0.25">
      <c r="A2119" t="s">
        <v>341</v>
      </c>
      <c r="B2119" s="4">
        <v>45749</v>
      </c>
      <c r="C2119" s="9">
        <f t="shared" si="136"/>
        <v>4</v>
      </c>
      <c r="D2119">
        <f t="shared" si="137"/>
        <v>2025</v>
      </c>
      <c r="E2119">
        <f t="shared" si="138"/>
        <v>0</v>
      </c>
      <c r="F2119" t="s">
        <v>1196</v>
      </c>
      <c r="G2119" t="s">
        <v>493</v>
      </c>
      <c r="H2119" t="s">
        <v>498</v>
      </c>
      <c r="J2119">
        <v>30</v>
      </c>
      <c r="K2119">
        <f t="shared" si="139"/>
        <v>30</v>
      </c>
      <c r="L2119" t="s">
        <v>1235</v>
      </c>
      <c r="R2119" t="s">
        <v>1349</v>
      </c>
    </row>
    <row r="2120" spans="1:19" x14ac:dyDescent="0.25">
      <c r="A2120" t="s">
        <v>341</v>
      </c>
      <c r="B2120" s="4">
        <v>45750</v>
      </c>
      <c r="C2120" s="9">
        <f t="shared" si="136"/>
        <v>4</v>
      </c>
      <c r="D2120">
        <f t="shared" si="137"/>
        <v>2025</v>
      </c>
      <c r="E2120">
        <f t="shared" si="138"/>
        <v>1</v>
      </c>
      <c r="F2120" t="s">
        <v>1196</v>
      </c>
      <c r="G2120" t="s">
        <v>1129</v>
      </c>
      <c r="H2120" t="s">
        <v>1228</v>
      </c>
      <c r="I2120">
        <v>1</v>
      </c>
      <c r="J2120">
        <v>9</v>
      </c>
      <c r="K2120">
        <f t="shared" si="139"/>
        <v>69</v>
      </c>
      <c r="L2120" t="s">
        <v>1236</v>
      </c>
      <c r="R2120" t="s">
        <v>1349</v>
      </c>
    </row>
    <row r="2121" spans="1:19" x14ac:dyDescent="0.25">
      <c r="A2121" t="s">
        <v>341</v>
      </c>
      <c r="B2121" s="4">
        <v>45751</v>
      </c>
      <c r="C2121" s="9">
        <f t="shared" si="136"/>
        <v>4</v>
      </c>
      <c r="D2121">
        <f t="shared" si="137"/>
        <v>2025</v>
      </c>
      <c r="E2121">
        <f t="shared" si="138"/>
        <v>1</v>
      </c>
      <c r="F2121" t="s">
        <v>1196</v>
      </c>
      <c r="G2121" t="s">
        <v>1129</v>
      </c>
      <c r="H2121" t="s">
        <v>1228</v>
      </c>
      <c r="I2121">
        <v>2</v>
      </c>
      <c r="J2121">
        <v>16</v>
      </c>
      <c r="K2121">
        <f t="shared" si="139"/>
        <v>136</v>
      </c>
      <c r="L2121" t="s">
        <v>1236</v>
      </c>
      <c r="R2121" t="s">
        <v>1349</v>
      </c>
    </row>
    <row r="2122" spans="1:19" x14ac:dyDescent="0.25">
      <c r="A2122" t="s">
        <v>341</v>
      </c>
      <c r="B2122" s="4">
        <v>45751</v>
      </c>
      <c r="C2122" s="9">
        <f t="shared" si="136"/>
        <v>4</v>
      </c>
      <c r="D2122">
        <f t="shared" si="137"/>
        <v>2025</v>
      </c>
      <c r="E2122">
        <f t="shared" si="138"/>
        <v>0</v>
      </c>
      <c r="F2122" t="s">
        <v>1196</v>
      </c>
      <c r="G2122" t="s">
        <v>1129</v>
      </c>
      <c r="H2122" t="s">
        <v>1228</v>
      </c>
      <c r="I2122">
        <v>1</v>
      </c>
      <c r="J2122">
        <v>58</v>
      </c>
      <c r="K2122">
        <f t="shared" si="139"/>
        <v>118</v>
      </c>
      <c r="L2122" t="s">
        <v>1236</v>
      </c>
      <c r="R2122" t="s">
        <v>1349</v>
      </c>
    </row>
    <row r="2123" spans="1:19" x14ac:dyDescent="0.25">
      <c r="A2123" t="s">
        <v>341</v>
      </c>
      <c r="B2123" s="4">
        <v>45752</v>
      </c>
      <c r="C2123" s="9">
        <f t="shared" si="136"/>
        <v>4</v>
      </c>
      <c r="D2123">
        <f t="shared" si="137"/>
        <v>2025</v>
      </c>
      <c r="E2123">
        <f t="shared" si="138"/>
        <v>1</v>
      </c>
      <c r="F2123" t="s">
        <v>1196</v>
      </c>
      <c r="G2123" t="s">
        <v>1230</v>
      </c>
      <c r="H2123" t="s">
        <v>1229</v>
      </c>
      <c r="I2123">
        <v>2</v>
      </c>
      <c r="J2123">
        <v>2</v>
      </c>
      <c r="K2123">
        <f t="shared" si="139"/>
        <v>122</v>
      </c>
      <c r="L2123" t="s">
        <v>1236</v>
      </c>
      <c r="R2123" t="s">
        <v>1349</v>
      </c>
    </row>
    <row r="2124" spans="1:19" x14ac:dyDescent="0.25">
      <c r="A2124" t="s">
        <v>341</v>
      </c>
      <c r="B2124" s="4">
        <v>45754</v>
      </c>
      <c r="C2124" s="9">
        <f t="shared" si="136"/>
        <v>4</v>
      </c>
      <c r="D2124">
        <f t="shared" si="137"/>
        <v>2025</v>
      </c>
      <c r="E2124">
        <f t="shared" si="138"/>
        <v>1</v>
      </c>
      <c r="F2124" t="s">
        <v>1196</v>
      </c>
      <c r="G2124" t="s">
        <v>1129</v>
      </c>
      <c r="H2124" t="s">
        <v>1228</v>
      </c>
      <c r="I2124">
        <v>1</v>
      </c>
      <c r="J2124">
        <v>36</v>
      </c>
      <c r="K2124">
        <f t="shared" si="139"/>
        <v>96</v>
      </c>
      <c r="L2124" t="s">
        <v>1236</v>
      </c>
      <c r="R2124" t="s">
        <v>1349</v>
      </c>
    </row>
    <row r="2125" spans="1:19" x14ac:dyDescent="0.25">
      <c r="A2125" t="s">
        <v>341</v>
      </c>
      <c r="B2125" s="4">
        <v>45754</v>
      </c>
      <c r="C2125" s="9">
        <f t="shared" si="136"/>
        <v>4</v>
      </c>
      <c r="D2125">
        <f t="shared" si="137"/>
        <v>2025</v>
      </c>
      <c r="E2125">
        <f t="shared" si="138"/>
        <v>0</v>
      </c>
      <c r="F2125" t="s">
        <v>1196</v>
      </c>
      <c r="G2125" t="s">
        <v>1129</v>
      </c>
      <c r="H2125" t="s">
        <v>1228</v>
      </c>
      <c r="I2125">
        <v>1</v>
      </c>
      <c r="J2125">
        <v>43</v>
      </c>
      <c r="K2125">
        <f t="shared" si="139"/>
        <v>103</v>
      </c>
      <c r="L2125" t="s">
        <v>1236</v>
      </c>
      <c r="R2125" t="s">
        <v>1349</v>
      </c>
    </row>
    <row r="2126" spans="1:19" x14ac:dyDescent="0.25">
      <c r="A2126" t="s">
        <v>341</v>
      </c>
      <c r="B2126" s="4">
        <v>45755</v>
      </c>
      <c r="C2126" s="9">
        <f t="shared" si="136"/>
        <v>4</v>
      </c>
      <c r="D2126">
        <f t="shared" si="137"/>
        <v>2025</v>
      </c>
      <c r="E2126">
        <f t="shared" si="138"/>
        <v>1</v>
      </c>
      <c r="F2126" t="s">
        <v>1196</v>
      </c>
      <c r="G2126" t="s">
        <v>1231</v>
      </c>
      <c r="H2126" t="s">
        <v>1232</v>
      </c>
      <c r="I2126">
        <v>1</v>
      </c>
      <c r="J2126">
        <v>15</v>
      </c>
      <c r="K2126">
        <f t="shared" si="139"/>
        <v>75</v>
      </c>
      <c r="L2126" t="s">
        <v>1236</v>
      </c>
      <c r="R2126" t="s">
        <v>1349</v>
      </c>
    </row>
    <row r="2127" spans="1:19" x14ac:dyDescent="0.25">
      <c r="A2127" t="s">
        <v>341</v>
      </c>
      <c r="B2127" s="4">
        <v>45756</v>
      </c>
      <c r="C2127" s="9">
        <f t="shared" ref="C2127:C2190" si="140">MONTH(B2127)</f>
        <v>4</v>
      </c>
      <c r="D2127">
        <f t="shared" ref="D2127:D2190" si="141">YEAR(B2127)</f>
        <v>2025</v>
      </c>
      <c r="E2127">
        <f t="shared" ref="E2127:E2190" si="142">IF(OR(A2127 = "GS",A2127 = "BP"),IF( OR(A2126="GS",A2126="BP"),IF(B2126=B2127,0,1),1),0)</f>
        <v>1</v>
      </c>
      <c r="F2127" t="s">
        <v>1196</v>
      </c>
      <c r="G2127" t="s">
        <v>1233</v>
      </c>
      <c r="H2127" t="s">
        <v>1234</v>
      </c>
      <c r="I2127">
        <v>3</v>
      </c>
      <c r="J2127">
        <v>12</v>
      </c>
      <c r="K2127">
        <f t="shared" ref="K2127:K2190" si="143">I2127*60+J2127</f>
        <v>192</v>
      </c>
      <c r="L2127" t="s">
        <v>1236</v>
      </c>
      <c r="N2127">
        <v>8</v>
      </c>
      <c r="R2127" t="s">
        <v>1349</v>
      </c>
    </row>
    <row r="2128" spans="1:19" x14ac:dyDescent="0.25">
      <c r="A2128" t="s">
        <v>341</v>
      </c>
      <c r="B2128" s="4">
        <v>45758</v>
      </c>
      <c r="C2128" s="9">
        <f t="shared" si="140"/>
        <v>4</v>
      </c>
      <c r="D2128">
        <f t="shared" si="141"/>
        <v>2025</v>
      </c>
      <c r="E2128">
        <f t="shared" si="142"/>
        <v>1</v>
      </c>
      <c r="F2128" t="s">
        <v>1196</v>
      </c>
      <c r="G2128" t="s">
        <v>101</v>
      </c>
      <c r="H2128" t="s">
        <v>244</v>
      </c>
      <c r="I2128">
        <v>1</v>
      </c>
      <c r="J2128">
        <v>22</v>
      </c>
      <c r="K2128">
        <f t="shared" si="143"/>
        <v>82</v>
      </c>
      <c r="R2128" t="s">
        <v>1348</v>
      </c>
    </row>
    <row r="2129" spans="1:18" x14ac:dyDescent="0.25">
      <c r="A2129" t="s">
        <v>341</v>
      </c>
      <c r="B2129" s="4">
        <v>45768</v>
      </c>
      <c r="C2129" s="9">
        <f t="shared" si="140"/>
        <v>4</v>
      </c>
      <c r="D2129">
        <f t="shared" si="141"/>
        <v>2025</v>
      </c>
      <c r="E2129">
        <f t="shared" si="142"/>
        <v>1</v>
      </c>
      <c r="F2129" t="s">
        <v>1196</v>
      </c>
      <c r="G2129" t="s">
        <v>101</v>
      </c>
      <c r="H2129" t="s">
        <v>741</v>
      </c>
      <c r="J2129">
        <v>26</v>
      </c>
      <c r="K2129">
        <f t="shared" si="143"/>
        <v>26</v>
      </c>
      <c r="R2129" t="s">
        <v>1348</v>
      </c>
    </row>
    <row r="2130" spans="1:18" x14ac:dyDescent="0.25">
      <c r="A2130" t="s">
        <v>341</v>
      </c>
      <c r="B2130" s="4">
        <v>45769</v>
      </c>
      <c r="C2130" s="9">
        <f t="shared" si="140"/>
        <v>4</v>
      </c>
      <c r="D2130">
        <f t="shared" si="141"/>
        <v>2025</v>
      </c>
      <c r="E2130">
        <f t="shared" si="142"/>
        <v>1</v>
      </c>
      <c r="F2130" t="s">
        <v>1196</v>
      </c>
      <c r="G2130" t="s">
        <v>1144</v>
      </c>
      <c r="H2130" t="s">
        <v>741</v>
      </c>
      <c r="I2130">
        <v>1</v>
      </c>
      <c r="J2130">
        <v>45</v>
      </c>
      <c r="K2130">
        <f t="shared" si="143"/>
        <v>105</v>
      </c>
      <c r="R2130" t="s">
        <v>1348</v>
      </c>
    </row>
    <row r="2131" spans="1:18" x14ac:dyDescent="0.25">
      <c r="A2131" t="s">
        <v>341</v>
      </c>
      <c r="B2131" s="4">
        <v>45773</v>
      </c>
      <c r="C2131" s="9">
        <f t="shared" si="140"/>
        <v>4</v>
      </c>
      <c r="D2131">
        <f t="shared" si="141"/>
        <v>2025</v>
      </c>
      <c r="E2131">
        <f t="shared" si="142"/>
        <v>1</v>
      </c>
      <c r="F2131" t="s">
        <v>1196</v>
      </c>
      <c r="G2131" t="s">
        <v>101</v>
      </c>
      <c r="H2131" t="s">
        <v>244</v>
      </c>
      <c r="I2131">
        <v>2</v>
      </c>
      <c r="J2131">
        <v>24</v>
      </c>
      <c r="K2131">
        <f t="shared" si="143"/>
        <v>144</v>
      </c>
      <c r="R2131" t="s">
        <v>1348</v>
      </c>
    </row>
    <row r="2132" spans="1:18" x14ac:dyDescent="0.25">
      <c r="A2132" t="s">
        <v>341</v>
      </c>
      <c r="B2132" s="4">
        <v>45774</v>
      </c>
      <c r="C2132" s="9">
        <f t="shared" si="140"/>
        <v>4</v>
      </c>
      <c r="D2132">
        <f t="shared" si="141"/>
        <v>2025</v>
      </c>
      <c r="E2132">
        <f t="shared" si="142"/>
        <v>1</v>
      </c>
      <c r="F2132" t="s">
        <v>1196</v>
      </c>
      <c r="G2132" t="s">
        <v>101</v>
      </c>
      <c r="H2132" t="s">
        <v>244</v>
      </c>
      <c r="J2132">
        <v>19</v>
      </c>
      <c r="K2132">
        <f t="shared" si="143"/>
        <v>19</v>
      </c>
      <c r="R2132" t="s">
        <v>1348</v>
      </c>
    </row>
    <row r="2133" spans="1:18" x14ac:dyDescent="0.25">
      <c r="A2133" t="s">
        <v>341</v>
      </c>
      <c r="B2133" s="4">
        <v>45775</v>
      </c>
      <c r="C2133" s="9">
        <f t="shared" si="140"/>
        <v>4</v>
      </c>
      <c r="D2133">
        <f t="shared" si="141"/>
        <v>2025</v>
      </c>
      <c r="E2133">
        <f t="shared" si="142"/>
        <v>1</v>
      </c>
      <c r="F2133" t="s">
        <v>1196</v>
      </c>
      <c r="G2133" t="s">
        <v>1144</v>
      </c>
      <c r="H2133" t="s">
        <v>534</v>
      </c>
      <c r="I2133">
        <v>1</v>
      </c>
      <c r="J2133">
        <v>2</v>
      </c>
      <c r="K2133">
        <f t="shared" si="143"/>
        <v>62</v>
      </c>
      <c r="R2133" t="s">
        <v>1348</v>
      </c>
    </row>
    <row r="2134" spans="1:18" x14ac:dyDescent="0.25">
      <c r="A2134" t="s">
        <v>341</v>
      </c>
      <c r="B2134" s="4">
        <v>45776</v>
      </c>
      <c r="C2134" s="9">
        <f t="shared" si="140"/>
        <v>4</v>
      </c>
      <c r="D2134">
        <f t="shared" si="141"/>
        <v>2025</v>
      </c>
      <c r="E2134">
        <f t="shared" si="142"/>
        <v>1</v>
      </c>
      <c r="F2134" t="s">
        <v>1196</v>
      </c>
      <c r="G2134" t="s">
        <v>101</v>
      </c>
      <c r="H2134" t="s">
        <v>741</v>
      </c>
      <c r="I2134">
        <v>1</v>
      </c>
      <c r="J2134">
        <v>32</v>
      </c>
      <c r="K2134">
        <f t="shared" si="143"/>
        <v>92</v>
      </c>
      <c r="R2134" t="s">
        <v>1348</v>
      </c>
    </row>
    <row r="2135" spans="1:18" x14ac:dyDescent="0.25">
      <c r="A2135" t="s">
        <v>341</v>
      </c>
      <c r="B2135" s="4">
        <v>45778</v>
      </c>
      <c r="C2135" s="9">
        <f t="shared" si="140"/>
        <v>5</v>
      </c>
      <c r="D2135">
        <f t="shared" si="141"/>
        <v>2025</v>
      </c>
      <c r="E2135">
        <f t="shared" si="142"/>
        <v>1</v>
      </c>
      <c r="F2135" t="s">
        <v>1196</v>
      </c>
      <c r="G2135" t="s">
        <v>101</v>
      </c>
      <c r="H2135" t="s">
        <v>244</v>
      </c>
      <c r="I2135">
        <v>2</v>
      </c>
      <c r="J2135">
        <v>29</v>
      </c>
      <c r="K2135">
        <f t="shared" si="143"/>
        <v>149</v>
      </c>
      <c r="R2135" t="s">
        <v>1348</v>
      </c>
    </row>
    <row r="2136" spans="1:18" x14ac:dyDescent="0.25">
      <c r="A2136" t="s">
        <v>341</v>
      </c>
      <c r="B2136" s="4">
        <v>45779</v>
      </c>
      <c r="C2136" s="9">
        <f t="shared" si="140"/>
        <v>5</v>
      </c>
      <c r="D2136">
        <f t="shared" si="141"/>
        <v>2025</v>
      </c>
      <c r="E2136">
        <f t="shared" si="142"/>
        <v>1</v>
      </c>
      <c r="F2136" t="s">
        <v>1196</v>
      </c>
      <c r="G2136" t="s">
        <v>101</v>
      </c>
      <c r="H2136" t="s">
        <v>741</v>
      </c>
      <c r="I2136">
        <v>1</v>
      </c>
      <c r="J2136">
        <v>36</v>
      </c>
      <c r="K2136">
        <f t="shared" si="143"/>
        <v>96</v>
      </c>
      <c r="R2136" t="s">
        <v>1348</v>
      </c>
    </row>
    <row r="2137" spans="1:18" x14ac:dyDescent="0.25">
      <c r="A2137" t="s">
        <v>341</v>
      </c>
      <c r="B2137" s="4">
        <v>45787</v>
      </c>
      <c r="C2137" s="9">
        <f t="shared" si="140"/>
        <v>5</v>
      </c>
      <c r="D2137">
        <f t="shared" si="141"/>
        <v>2025</v>
      </c>
      <c r="E2137">
        <f t="shared" si="142"/>
        <v>1</v>
      </c>
      <c r="F2137" t="s">
        <v>1196</v>
      </c>
      <c r="G2137" t="s">
        <v>101</v>
      </c>
      <c r="H2137" t="s">
        <v>741</v>
      </c>
      <c r="I2137">
        <v>1</v>
      </c>
      <c r="J2137">
        <v>30</v>
      </c>
      <c r="K2137">
        <f t="shared" si="143"/>
        <v>90</v>
      </c>
      <c r="R2137" t="s">
        <v>1348</v>
      </c>
    </row>
    <row r="2138" spans="1:18" x14ac:dyDescent="0.25">
      <c r="A2138" t="s">
        <v>341</v>
      </c>
      <c r="B2138" s="4">
        <v>45788</v>
      </c>
      <c r="C2138" s="9">
        <f t="shared" si="140"/>
        <v>5</v>
      </c>
      <c r="D2138">
        <f t="shared" si="141"/>
        <v>2025</v>
      </c>
      <c r="E2138">
        <f t="shared" si="142"/>
        <v>1</v>
      </c>
      <c r="F2138" t="s">
        <v>1196</v>
      </c>
      <c r="G2138" t="s">
        <v>101</v>
      </c>
      <c r="H2138" t="s">
        <v>741</v>
      </c>
      <c r="J2138">
        <v>53</v>
      </c>
      <c r="K2138">
        <f t="shared" si="143"/>
        <v>53</v>
      </c>
      <c r="R2138" t="s">
        <v>1348</v>
      </c>
    </row>
    <row r="2139" spans="1:18" x14ac:dyDescent="0.25">
      <c r="A2139" t="s">
        <v>341</v>
      </c>
      <c r="B2139" s="4">
        <v>45791</v>
      </c>
      <c r="C2139" s="9">
        <f t="shared" si="140"/>
        <v>5</v>
      </c>
      <c r="D2139">
        <f t="shared" si="141"/>
        <v>2025</v>
      </c>
      <c r="E2139">
        <f t="shared" si="142"/>
        <v>1</v>
      </c>
      <c r="F2139" t="s">
        <v>1196</v>
      </c>
      <c r="G2139" t="s">
        <v>1144</v>
      </c>
      <c r="H2139" t="s">
        <v>741</v>
      </c>
      <c r="I2139">
        <v>1</v>
      </c>
      <c r="J2139">
        <v>30</v>
      </c>
      <c r="K2139">
        <f t="shared" si="143"/>
        <v>90</v>
      </c>
      <c r="R2139" t="s">
        <v>1348</v>
      </c>
    </row>
    <row r="2140" spans="1:18" x14ac:dyDescent="0.25">
      <c r="A2140" t="s">
        <v>341</v>
      </c>
      <c r="B2140" s="4">
        <v>45794</v>
      </c>
      <c r="C2140" s="9">
        <f t="shared" si="140"/>
        <v>5</v>
      </c>
      <c r="D2140">
        <f t="shared" si="141"/>
        <v>2025</v>
      </c>
      <c r="E2140">
        <f t="shared" si="142"/>
        <v>1</v>
      </c>
      <c r="F2140" t="s">
        <v>1196</v>
      </c>
      <c r="G2140" t="s">
        <v>101</v>
      </c>
      <c r="H2140" t="s">
        <v>244</v>
      </c>
      <c r="J2140">
        <v>22</v>
      </c>
      <c r="K2140">
        <f t="shared" si="143"/>
        <v>22</v>
      </c>
      <c r="R2140" t="s">
        <v>1348</v>
      </c>
    </row>
    <row r="2141" spans="1:18" x14ac:dyDescent="0.25">
      <c r="A2141" t="s">
        <v>341</v>
      </c>
      <c r="B2141" s="4">
        <v>45795</v>
      </c>
      <c r="C2141" s="9">
        <f t="shared" si="140"/>
        <v>5</v>
      </c>
      <c r="D2141">
        <f t="shared" si="141"/>
        <v>2025</v>
      </c>
      <c r="E2141">
        <f t="shared" si="142"/>
        <v>1</v>
      </c>
      <c r="F2141" t="s">
        <v>1196</v>
      </c>
      <c r="G2141" t="s">
        <v>101</v>
      </c>
      <c r="H2141" t="s">
        <v>741</v>
      </c>
      <c r="I2141">
        <v>1</v>
      </c>
      <c r="J2141">
        <v>6</v>
      </c>
      <c r="K2141">
        <f t="shared" si="143"/>
        <v>66</v>
      </c>
      <c r="R2141" t="s">
        <v>1348</v>
      </c>
    </row>
    <row r="2142" spans="1:18" x14ac:dyDescent="0.25">
      <c r="A2142" t="s">
        <v>341</v>
      </c>
      <c r="B2142" s="4">
        <v>45796</v>
      </c>
      <c r="C2142" s="9">
        <f t="shared" si="140"/>
        <v>5</v>
      </c>
      <c r="D2142">
        <f t="shared" si="141"/>
        <v>2025</v>
      </c>
      <c r="E2142">
        <f t="shared" si="142"/>
        <v>1</v>
      </c>
      <c r="F2142" t="s">
        <v>1196</v>
      </c>
      <c r="G2142" t="s">
        <v>1144</v>
      </c>
      <c r="H2142" t="s">
        <v>244</v>
      </c>
      <c r="J2142">
        <v>56</v>
      </c>
      <c r="K2142">
        <f t="shared" si="143"/>
        <v>56</v>
      </c>
      <c r="R2142" t="s">
        <v>1348</v>
      </c>
    </row>
    <row r="2143" spans="1:18" x14ac:dyDescent="0.25">
      <c r="A2143" t="s">
        <v>341</v>
      </c>
      <c r="B2143" s="4">
        <v>45798</v>
      </c>
      <c r="C2143" s="9">
        <f t="shared" si="140"/>
        <v>5</v>
      </c>
      <c r="D2143">
        <f t="shared" si="141"/>
        <v>2025</v>
      </c>
      <c r="E2143">
        <f t="shared" si="142"/>
        <v>1</v>
      </c>
      <c r="F2143" t="s">
        <v>948</v>
      </c>
      <c r="G2143" t="s">
        <v>1237</v>
      </c>
      <c r="H2143" t="s">
        <v>1237</v>
      </c>
      <c r="J2143">
        <v>9</v>
      </c>
      <c r="K2143">
        <f t="shared" si="143"/>
        <v>9</v>
      </c>
      <c r="L2143" t="s">
        <v>1146</v>
      </c>
      <c r="R2143" t="s">
        <v>1354</v>
      </c>
    </row>
    <row r="2144" spans="1:18" x14ac:dyDescent="0.25">
      <c r="A2144" t="s">
        <v>341</v>
      </c>
      <c r="B2144" s="4">
        <v>45799</v>
      </c>
      <c r="C2144" s="9">
        <f t="shared" si="140"/>
        <v>5</v>
      </c>
      <c r="D2144">
        <f t="shared" si="141"/>
        <v>2025</v>
      </c>
      <c r="E2144">
        <f t="shared" si="142"/>
        <v>1</v>
      </c>
      <c r="F2144" t="s">
        <v>948</v>
      </c>
      <c r="G2144" t="s">
        <v>1238</v>
      </c>
      <c r="H2144" t="s">
        <v>657</v>
      </c>
      <c r="I2144">
        <v>1</v>
      </c>
      <c r="J2144">
        <v>43</v>
      </c>
      <c r="K2144">
        <f t="shared" si="143"/>
        <v>103</v>
      </c>
      <c r="L2144" t="s">
        <v>1146</v>
      </c>
      <c r="R2144" t="s">
        <v>1354</v>
      </c>
    </row>
    <row r="2145" spans="1:18" x14ac:dyDescent="0.25">
      <c r="A2145" t="s">
        <v>341</v>
      </c>
      <c r="B2145" s="4">
        <v>45800</v>
      </c>
      <c r="C2145" s="9">
        <f t="shared" si="140"/>
        <v>5</v>
      </c>
      <c r="D2145">
        <f t="shared" si="141"/>
        <v>2025</v>
      </c>
      <c r="E2145">
        <f t="shared" si="142"/>
        <v>1</v>
      </c>
      <c r="F2145" t="s">
        <v>948</v>
      </c>
      <c r="G2145" t="s">
        <v>1145</v>
      </c>
      <c r="H2145" t="s">
        <v>1147</v>
      </c>
      <c r="J2145">
        <v>18</v>
      </c>
      <c r="K2145">
        <f t="shared" si="143"/>
        <v>18</v>
      </c>
      <c r="L2145" t="s">
        <v>1146</v>
      </c>
      <c r="R2145" t="s">
        <v>1354</v>
      </c>
    </row>
    <row r="2146" spans="1:18" x14ac:dyDescent="0.25">
      <c r="A2146" t="s">
        <v>341</v>
      </c>
      <c r="B2146" s="4">
        <v>45801</v>
      </c>
      <c r="C2146" s="9">
        <f t="shared" si="140"/>
        <v>5</v>
      </c>
      <c r="D2146">
        <f t="shared" si="141"/>
        <v>2025</v>
      </c>
      <c r="E2146">
        <f t="shared" si="142"/>
        <v>1</v>
      </c>
      <c r="F2146" t="s">
        <v>948</v>
      </c>
      <c r="G2146" t="s">
        <v>1151</v>
      </c>
      <c r="H2146" t="s">
        <v>1239</v>
      </c>
      <c r="I2146">
        <v>2</v>
      </c>
      <c r="J2146">
        <v>8</v>
      </c>
      <c r="K2146">
        <f t="shared" si="143"/>
        <v>128</v>
      </c>
      <c r="L2146" t="s">
        <v>1146</v>
      </c>
      <c r="R2146" t="s">
        <v>1354</v>
      </c>
    </row>
    <row r="2147" spans="1:18" x14ac:dyDescent="0.25">
      <c r="A2147" t="s">
        <v>341</v>
      </c>
      <c r="B2147" s="4">
        <v>45802</v>
      </c>
      <c r="C2147" s="9">
        <f t="shared" si="140"/>
        <v>5</v>
      </c>
      <c r="D2147">
        <f t="shared" si="141"/>
        <v>2025</v>
      </c>
      <c r="E2147">
        <f t="shared" si="142"/>
        <v>1</v>
      </c>
      <c r="F2147" t="s">
        <v>948</v>
      </c>
      <c r="G2147" t="s">
        <v>1151</v>
      </c>
      <c r="H2147" t="s">
        <v>657</v>
      </c>
      <c r="I2147">
        <v>2</v>
      </c>
      <c r="J2147">
        <v>18</v>
      </c>
      <c r="K2147">
        <f t="shared" si="143"/>
        <v>138</v>
      </c>
      <c r="L2147" t="s">
        <v>1146</v>
      </c>
      <c r="R2147" t="s">
        <v>1354</v>
      </c>
    </row>
    <row r="2148" spans="1:18" x14ac:dyDescent="0.25">
      <c r="A2148" t="s">
        <v>341</v>
      </c>
      <c r="B2148" s="4">
        <v>45804</v>
      </c>
      <c r="C2148" s="9">
        <f t="shared" si="140"/>
        <v>5</v>
      </c>
      <c r="D2148">
        <f t="shared" si="141"/>
        <v>2025</v>
      </c>
      <c r="E2148">
        <f t="shared" si="142"/>
        <v>1</v>
      </c>
      <c r="F2148" t="s">
        <v>948</v>
      </c>
      <c r="G2148" t="s">
        <v>1048</v>
      </c>
      <c r="H2148" t="s">
        <v>1240</v>
      </c>
      <c r="I2148">
        <v>1</v>
      </c>
      <c r="J2148">
        <v>43</v>
      </c>
      <c r="K2148">
        <f t="shared" si="143"/>
        <v>103</v>
      </c>
      <c r="L2148" t="s">
        <v>1146</v>
      </c>
      <c r="R2148" t="s">
        <v>1355</v>
      </c>
    </row>
    <row r="2149" spans="1:18" x14ac:dyDescent="0.25">
      <c r="A2149" t="s">
        <v>341</v>
      </c>
      <c r="B2149" s="4">
        <v>45805</v>
      </c>
      <c r="C2149" s="9">
        <f t="shared" si="140"/>
        <v>5</v>
      </c>
      <c r="D2149">
        <f t="shared" si="141"/>
        <v>2025</v>
      </c>
      <c r="E2149">
        <f t="shared" si="142"/>
        <v>1</v>
      </c>
      <c r="F2149" t="s">
        <v>948</v>
      </c>
      <c r="G2149" t="s">
        <v>508</v>
      </c>
      <c r="H2149" t="s">
        <v>1241</v>
      </c>
      <c r="I2149">
        <v>1</v>
      </c>
      <c r="J2149">
        <v>49</v>
      </c>
      <c r="K2149">
        <f t="shared" si="143"/>
        <v>109</v>
      </c>
      <c r="L2149" t="s">
        <v>1146</v>
      </c>
      <c r="R2149" t="s">
        <v>1355</v>
      </c>
    </row>
    <row r="2150" spans="1:18" x14ac:dyDescent="0.25">
      <c r="A2150" t="s">
        <v>341</v>
      </c>
      <c r="B2150" s="4">
        <v>45805</v>
      </c>
      <c r="C2150" s="9">
        <f t="shared" si="140"/>
        <v>5</v>
      </c>
      <c r="D2150">
        <f t="shared" si="141"/>
        <v>2025</v>
      </c>
      <c r="E2150">
        <f t="shared" si="142"/>
        <v>0</v>
      </c>
      <c r="F2150" t="s">
        <v>948</v>
      </c>
      <c r="G2150" t="s">
        <v>508</v>
      </c>
      <c r="H2150" t="s">
        <v>508</v>
      </c>
      <c r="J2150">
        <v>30</v>
      </c>
      <c r="K2150">
        <f t="shared" si="143"/>
        <v>30</v>
      </c>
      <c r="L2150" t="s">
        <v>1146</v>
      </c>
      <c r="R2150" t="s">
        <v>1355</v>
      </c>
    </row>
    <row r="2151" spans="1:18" x14ac:dyDescent="0.25">
      <c r="A2151" t="s">
        <v>341</v>
      </c>
      <c r="B2151" s="4">
        <v>45806</v>
      </c>
      <c r="C2151" s="9">
        <f t="shared" si="140"/>
        <v>5</v>
      </c>
      <c r="D2151">
        <f t="shared" si="141"/>
        <v>2025</v>
      </c>
      <c r="E2151">
        <f t="shared" si="142"/>
        <v>1</v>
      </c>
      <c r="F2151" t="s">
        <v>948</v>
      </c>
      <c r="G2151" t="s">
        <v>1155</v>
      </c>
      <c r="H2151" t="s">
        <v>1155</v>
      </c>
      <c r="J2151">
        <v>22</v>
      </c>
      <c r="K2151">
        <f t="shared" si="143"/>
        <v>22</v>
      </c>
      <c r="L2151" t="s">
        <v>1146</v>
      </c>
      <c r="R2151" t="s">
        <v>1355</v>
      </c>
    </row>
    <row r="2152" spans="1:18" x14ac:dyDescent="0.25">
      <c r="A2152" t="s">
        <v>341</v>
      </c>
      <c r="B2152" s="4">
        <v>45806</v>
      </c>
      <c r="C2152" s="9">
        <f t="shared" si="140"/>
        <v>5</v>
      </c>
      <c r="D2152">
        <f t="shared" si="141"/>
        <v>2025</v>
      </c>
      <c r="E2152">
        <f t="shared" si="142"/>
        <v>0</v>
      </c>
      <c r="F2152" t="s">
        <v>948</v>
      </c>
      <c r="G2152" t="s">
        <v>1155</v>
      </c>
      <c r="H2152" t="s">
        <v>1155</v>
      </c>
      <c r="J2152">
        <v>11</v>
      </c>
      <c r="K2152">
        <f t="shared" si="143"/>
        <v>11</v>
      </c>
      <c r="L2152" t="s">
        <v>1146</v>
      </c>
      <c r="R2152" t="s">
        <v>1355</v>
      </c>
    </row>
    <row r="2153" spans="1:18" x14ac:dyDescent="0.25">
      <c r="A2153" t="s">
        <v>341</v>
      </c>
      <c r="B2153" s="4">
        <v>45806</v>
      </c>
      <c r="C2153" s="9">
        <f t="shared" si="140"/>
        <v>5</v>
      </c>
      <c r="D2153">
        <f t="shared" si="141"/>
        <v>2025</v>
      </c>
      <c r="E2153">
        <f t="shared" si="142"/>
        <v>0</v>
      </c>
      <c r="F2153" t="s">
        <v>948</v>
      </c>
      <c r="G2153" t="s">
        <v>1155</v>
      </c>
      <c r="H2153" t="s">
        <v>1155</v>
      </c>
      <c r="I2153">
        <v>1</v>
      </c>
      <c r="J2153">
        <v>5</v>
      </c>
      <c r="K2153">
        <f t="shared" si="143"/>
        <v>65</v>
      </c>
      <c r="L2153" t="s">
        <v>1146</v>
      </c>
      <c r="R2153" t="s">
        <v>1355</v>
      </c>
    </row>
    <row r="2154" spans="1:18" x14ac:dyDescent="0.25">
      <c r="A2154" t="s">
        <v>341</v>
      </c>
      <c r="B2154" s="4">
        <v>45808</v>
      </c>
      <c r="C2154" s="9">
        <f t="shared" si="140"/>
        <v>5</v>
      </c>
      <c r="D2154">
        <f t="shared" si="141"/>
        <v>2025</v>
      </c>
      <c r="E2154">
        <f t="shared" si="142"/>
        <v>1</v>
      </c>
      <c r="F2154" t="s">
        <v>948</v>
      </c>
      <c r="G2154" t="s">
        <v>101</v>
      </c>
      <c r="H2154" t="s">
        <v>153</v>
      </c>
      <c r="I2154">
        <v>1</v>
      </c>
      <c r="J2154">
        <v>29</v>
      </c>
      <c r="K2154">
        <f t="shared" si="143"/>
        <v>89</v>
      </c>
      <c r="R2154" t="s">
        <v>1348</v>
      </c>
    </row>
    <row r="2155" spans="1:18" x14ac:dyDescent="0.25">
      <c r="A2155" t="s">
        <v>341</v>
      </c>
      <c r="B2155" s="4">
        <v>45826</v>
      </c>
      <c r="C2155" s="9">
        <f t="shared" si="140"/>
        <v>6</v>
      </c>
      <c r="D2155">
        <f t="shared" si="141"/>
        <v>2025</v>
      </c>
      <c r="E2155">
        <f t="shared" si="142"/>
        <v>1</v>
      </c>
      <c r="F2155" t="s">
        <v>1196</v>
      </c>
      <c r="G2155" t="s">
        <v>101</v>
      </c>
      <c r="H2155" t="s">
        <v>153</v>
      </c>
      <c r="I2155">
        <v>1</v>
      </c>
      <c r="J2155">
        <v>21</v>
      </c>
      <c r="K2155">
        <f t="shared" si="143"/>
        <v>81</v>
      </c>
      <c r="R2155" t="s">
        <v>1348</v>
      </c>
    </row>
    <row r="2156" spans="1:18" x14ac:dyDescent="0.25">
      <c r="A2156" t="s">
        <v>341</v>
      </c>
      <c r="B2156" s="4">
        <v>45827</v>
      </c>
      <c r="C2156" s="9">
        <f t="shared" si="140"/>
        <v>6</v>
      </c>
      <c r="D2156">
        <f t="shared" si="141"/>
        <v>2025</v>
      </c>
      <c r="E2156">
        <f t="shared" si="142"/>
        <v>1</v>
      </c>
      <c r="F2156" t="s">
        <v>1196</v>
      </c>
      <c r="G2156" t="s">
        <v>101</v>
      </c>
      <c r="H2156" t="s">
        <v>244</v>
      </c>
      <c r="I2156">
        <v>2</v>
      </c>
      <c r="J2156">
        <v>2</v>
      </c>
      <c r="K2156">
        <f t="shared" si="143"/>
        <v>122</v>
      </c>
      <c r="R2156" t="s">
        <v>1348</v>
      </c>
    </row>
    <row r="2157" spans="1:18" x14ac:dyDescent="0.25">
      <c r="A2157" t="s">
        <v>341</v>
      </c>
      <c r="B2157" s="4">
        <v>45810</v>
      </c>
      <c r="C2157" s="9">
        <f t="shared" si="140"/>
        <v>6</v>
      </c>
      <c r="D2157">
        <f t="shared" si="141"/>
        <v>2025</v>
      </c>
      <c r="E2157">
        <f t="shared" si="142"/>
        <v>1</v>
      </c>
      <c r="F2157" t="s">
        <v>1196</v>
      </c>
      <c r="G2157" t="s">
        <v>101</v>
      </c>
      <c r="H2157" t="s">
        <v>153</v>
      </c>
      <c r="I2157">
        <v>1</v>
      </c>
      <c r="J2157">
        <v>32</v>
      </c>
      <c r="K2157">
        <f t="shared" si="143"/>
        <v>92</v>
      </c>
      <c r="R2157" t="s">
        <v>1348</v>
      </c>
    </row>
    <row r="2158" spans="1:18" x14ac:dyDescent="0.25">
      <c r="A2158" t="s">
        <v>341</v>
      </c>
      <c r="B2158" s="4">
        <v>45829</v>
      </c>
      <c r="C2158" s="9">
        <f t="shared" si="140"/>
        <v>6</v>
      </c>
      <c r="D2158">
        <f t="shared" si="141"/>
        <v>2025</v>
      </c>
      <c r="E2158">
        <f t="shared" si="142"/>
        <v>1</v>
      </c>
      <c r="F2158" t="s">
        <v>1196</v>
      </c>
      <c r="G2158" t="s">
        <v>101</v>
      </c>
      <c r="H2158" t="s">
        <v>244</v>
      </c>
      <c r="J2158">
        <v>20</v>
      </c>
      <c r="K2158">
        <f t="shared" si="143"/>
        <v>20</v>
      </c>
      <c r="R2158" t="s">
        <v>1348</v>
      </c>
    </row>
    <row r="2159" spans="1:18" x14ac:dyDescent="0.25">
      <c r="A2159" t="s">
        <v>341</v>
      </c>
      <c r="B2159" s="4">
        <v>45830</v>
      </c>
      <c r="C2159" s="9">
        <f t="shared" si="140"/>
        <v>6</v>
      </c>
      <c r="D2159">
        <f t="shared" si="141"/>
        <v>2025</v>
      </c>
      <c r="E2159">
        <f t="shared" si="142"/>
        <v>1</v>
      </c>
      <c r="F2159" t="s">
        <v>1196</v>
      </c>
      <c r="G2159" t="s">
        <v>101</v>
      </c>
      <c r="H2159" t="s">
        <v>244</v>
      </c>
      <c r="I2159">
        <v>2</v>
      </c>
      <c r="J2159">
        <v>39</v>
      </c>
      <c r="K2159">
        <f t="shared" si="143"/>
        <v>159</v>
      </c>
      <c r="R2159" t="s">
        <v>1348</v>
      </c>
    </row>
    <row r="2160" spans="1:18" x14ac:dyDescent="0.25">
      <c r="A2160" t="s">
        <v>341</v>
      </c>
      <c r="B2160" s="4">
        <v>45832</v>
      </c>
      <c r="C2160" s="9">
        <f t="shared" si="140"/>
        <v>6</v>
      </c>
      <c r="D2160">
        <f t="shared" si="141"/>
        <v>2025</v>
      </c>
      <c r="E2160">
        <f t="shared" si="142"/>
        <v>1</v>
      </c>
      <c r="F2160" t="s">
        <v>1196</v>
      </c>
      <c r="G2160" t="s">
        <v>101</v>
      </c>
      <c r="H2160" t="s">
        <v>153</v>
      </c>
      <c r="I2160">
        <v>1</v>
      </c>
      <c r="J2160">
        <v>23</v>
      </c>
      <c r="K2160">
        <f t="shared" si="143"/>
        <v>83</v>
      </c>
      <c r="R2160" t="s">
        <v>1348</v>
      </c>
    </row>
    <row r="2161" spans="1:18" x14ac:dyDescent="0.25">
      <c r="A2161" t="s">
        <v>341</v>
      </c>
      <c r="B2161" s="4">
        <v>45833</v>
      </c>
      <c r="C2161" s="9">
        <f t="shared" si="140"/>
        <v>6</v>
      </c>
      <c r="D2161">
        <f t="shared" si="141"/>
        <v>2025</v>
      </c>
      <c r="E2161">
        <f t="shared" si="142"/>
        <v>1</v>
      </c>
      <c r="F2161" t="s">
        <v>1196</v>
      </c>
      <c r="G2161" t="s">
        <v>101</v>
      </c>
      <c r="H2161" t="s">
        <v>153</v>
      </c>
      <c r="I2161">
        <v>1</v>
      </c>
      <c r="J2161">
        <v>26</v>
      </c>
      <c r="K2161">
        <f t="shared" si="143"/>
        <v>86</v>
      </c>
      <c r="R2161" t="s">
        <v>1348</v>
      </c>
    </row>
    <row r="2162" spans="1:18" x14ac:dyDescent="0.25">
      <c r="A2162" t="s">
        <v>341</v>
      </c>
      <c r="B2162" s="4">
        <v>45835</v>
      </c>
      <c r="C2162" s="9">
        <f t="shared" si="140"/>
        <v>6</v>
      </c>
      <c r="D2162">
        <f t="shared" si="141"/>
        <v>2025</v>
      </c>
      <c r="E2162">
        <f t="shared" si="142"/>
        <v>1</v>
      </c>
      <c r="F2162" t="s">
        <v>1196</v>
      </c>
      <c r="G2162" t="s">
        <v>101</v>
      </c>
      <c r="H2162" t="s">
        <v>741</v>
      </c>
      <c r="J2162">
        <v>58</v>
      </c>
      <c r="K2162">
        <f t="shared" si="143"/>
        <v>58</v>
      </c>
      <c r="R2162" t="s">
        <v>1348</v>
      </c>
    </row>
    <row r="2163" spans="1:18" x14ac:dyDescent="0.25">
      <c r="A2163" t="s">
        <v>341</v>
      </c>
      <c r="B2163" s="4">
        <v>45836</v>
      </c>
      <c r="C2163" s="9">
        <f t="shared" si="140"/>
        <v>6</v>
      </c>
      <c r="D2163">
        <f t="shared" si="141"/>
        <v>2025</v>
      </c>
      <c r="E2163">
        <f t="shared" si="142"/>
        <v>1</v>
      </c>
      <c r="F2163" t="s">
        <v>1196</v>
      </c>
      <c r="G2163" t="s">
        <v>101</v>
      </c>
      <c r="H2163" t="s">
        <v>153</v>
      </c>
      <c r="I2163">
        <v>1</v>
      </c>
      <c r="J2163">
        <v>0</v>
      </c>
      <c r="K2163">
        <f t="shared" si="143"/>
        <v>60</v>
      </c>
      <c r="R2163" t="s">
        <v>1348</v>
      </c>
    </row>
    <row r="2164" spans="1:18" x14ac:dyDescent="0.25">
      <c r="A2164" t="s">
        <v>341</v>
      </c>
      <c r="B2164" s="4">
        <v>45837</v>
      </c>
      <c r="C2164" s="9">
        <f t="shared" si="140"/>
        <v>6</v>
      </c>
      <c r="D2164">
        <f t="shared" si="141"/>
        <v>2025</v>
      </c>
      <c r="E2164">
        <f t="shared" si="142"/>
        <v>1</v>
      </c>
      <c r="F2164" t="s">
        <v>1196</v>
      </c>
      <c r="G2164" t="s">
        <v>406</v>
      </c>
      <c r="H2164" t="s">
        <v>244</v>
      </c>
      <c r="I2164">
        <v>2</v>
      </c>
      <c r="J2164">
        <v>59</v>
      </c>
      <c r="K2164">
        <f t="shared" si="143"/>
        <v>179</v>
      </c>
      <c r="R2164" t="s">
        <v>1348</v>
      </c>
    </row>
    <row r="2165" spans="1:18" x14ac:dyDescent="0.25">
      <c r="A2165" t="s">
        <v>341</v>
      </c>
      <c r="B2165" s="4">
        <v>45839</v>
      </c>
      <c r="C2165" s="9">
        <f t="shared" si="140"/>
        <v>7</v>
      </c>
      <c r="D2165">
        <f t="shared" si="141"/>
        <v>2025</v>
      </c>
      <c r="E2165">
        <f t="shared" si="142"/>
        <v>1</v>
      </c>
      <c r="F2165" t="s">
        <v>1196</v>
      </c>
      <c r="G2165" t="s">
        <v>101</v>
      </c>
      <c r="H2165" t="s">
        <v>153</v>
      </c>
      <c r="I2165">
        <v>1</v>
      </c>
      <c r="J2165">
        <v>24</v>
      </c>
      <c r="K2165">
        <f t="shared" si="143"/>
        <v>84</v>
      </c>
      <c r="R2165" t="s">
        <v>1348</v>
      </c>
    </row>
    <row r="2166" spans="1:18" x14ac:dyDescent="0.25">
      <c r="A2166" t="s">
        <v>341</v>
      </c>
      <c r="B2166" s="4">
        <v>45840</v>
      </c>
      <c r="C2166" s="9">
        <f t="shared" si="140"/>
        <v>7</v>
      </c>
      <c r="D2166">
        <f t="shared" si="141"/>
        <v>2025</v>
      </c>
      <c r="E2166">
        <f t="shared" si="142"/>
        <v>1</v>
      </c>
      <c r="F2166" t="s">
        <v>1196</v>
      </c>
      <c r="G2166" t="s">
        <v>101</v>
      </c>
      <c r="H2166" t="s">
        <v>741</v>
      </c>
      <c r="J2166">
        <v>42</v>
      </c>
      <c r="K2166">
        <f t="shared" si="143"/>
        <v>42</v>
      </c>
      <c r="R2166" t="s">
        <v>1348</v>
      </c>
    </row>
    <row r="2167" spans="1:18" x14ac:dyDescent="0.25">
      <c r="A2167" t="s">
        <v>341</v>
      </c>
      <c r="B2167" s="4">
        <v>45841</v>
      </c>
      <c r="C2167" s="9">
        <f t="shared" si="140"/>
        <v>7</v>
      </c>
      <c r="D2167">
        <f t="shared" si="141"/>
        <v>2025</v>
      </c>
      <c r="E2167">
        <f t="shared" si="142"/>
        <v>1</v>
      </c>
      <c r="F2167" t="s">
        <v>1196</v>
      </c>
      <c r="G2167" t="s">
        <v>101</v>
      </c>
      <c r="H2167" t="s">
        <v>244</v>
      </c>
      <c r="J2167">
        <v>22</v>
      </c>
      <c r="K2167">
        <f t="shared" si="143"/>
        <v>22</v>
      </c>
      <c r="R2167" t="s">
        <v>1348</v>
      </c>
    </row>
    <row r="2168" spans="1:18" x14ac:dyDescent="0.25">
      <c r="A2168" t="s">
        <v>341</v>
      </c>
      <c r="B2168" s="4">
        <v>45843</v>
      </c>
      <c r="C2168" s="9">
        <f t="shared" si="140"/>
        <v>7</v>
      </c>
      <c r="D2168">
        <f t="shared" si="141"/>
        <v>2025</v>
      </c>
      <c r="E2168">
        <f t="shared" si="142"/>
        <v>1</v>
      </c>
      <c r="F2168" t="s">
        <v>1196</v>
      </c>
      <c r="G2168" t="s">
        <v>101</v>
      </c>
      <c r="H2168" t="s">
        <v>153</v>
      </c>
      <c r="J2168">
        <v>45</v>
      </c>
      <c r="K2168">
        <f t="shared" si="143"/>
        <v>45</v>
      </c>
      <c r="R2168" t="s">
        <v>1348</v>
      </c>
    </row>
    <row r="2169" spans="1:18" x14ac:dyDescent="0.25">
      <c r="A2169" t="s">
        <v>341</v>
      </c>
      <c r="B2169" s="4">
        <v>45844</v>
      </c>
      <c r="C2169" s="9">
        <f t="shared" si="140"/>
        <v>7</v>
      </c>
      <c r="D2169">
        <f t="shared" si="141"/>
        <v>2025</v>
      </c>
      <c r="E2169">
        <f t="shared" si="142"/>
        <v>1</v>
      </c>
      <c r="F2169" t="s">
        <v>613</v>
      </c>
      <c r="G2169" t="s">
        <v>1242</v>
      </c>
      <c r="H2169" t="s">
        <v>741</v>
      </c>
      <c r="J2169">
        <v>5</v>
      </c>
      <c r="K2169">
        <f t="shared" si="143"/>
        <v>5</v>
      </c>
      <c r="M2169" t="s">
        <v>1243</v>
      </c>
      <c r="R2169" t="s">
        <v>1348</v>
      </c>
    </row>
    <row r="2170" spans="1:18" x14ac:dyDescent="0.25">
      <c r="A2170" t="s">
        <v>341</v>
      </c>
      <c r="B2170" s="4">
        <v>45848</v>
      </c>
      <c r="C2170" s="9">
        <f t="shared" si="140"/>
        <v>7</v>
      </c>
      <c r="D2170">
        <f t="shared" si="141"/>
        <v>2025</v>
      </c>
      <c r="E2170">
        <f t="shared" si="142"/>
        <v>1</v>
      </c>
      <c r="F2170" t="s">
        <v>1196</v>
      </c>
      <c r="G2170" t="s">
        <v>406</v>
      </c>
      <c r="H2170" t="s">
        <v>153</v>
      </c>
      <c r="I2170">
        <v>1</v>
      </c>
      <c r="J2170">
        <v>15</v>
      </c>
      <c r="K2170">
        <f t="shared" si="143"/>
        <v>75</v>
      </c>
      <c r="R2170" t="s">
        <v>1348</v>
      </c>
    </row>
    <row r="2171" spans="1:18" x14ac:dyDescent="0.25">
      <c r="A2171" t="s">
        <v>341</v>
      </c>
      <c r="B2171" s="4">
        <v>45849</v>
      </c>
      <c r="C2171" s="9">
        <f t="shared" si="140"/>
        <v>7</v>
      </c>
      <c r="D2171">
        <f t="shared" si="141"/>
        <v>2025</v>
      </c>
      <c r="E2171">
        <f t="shared" si="142"/>
        <v>1</v>
      </c>
      <c r="F2171" t="s">
        <v>1196</v>
      </c>
      <c r="G2171" t="s">
        <v>406</v>
      </c>
      <c r="H2171" t="s">
        <v>741</v>
      </c>
      <c r="I2171">
        <v>1</v>
      </c>
      <c r="J2171">
        <v>4</v>
      </c>
      <c r="K2171">
        <f t="shared" si="143"/>
        <v>64</v>
      </c>
      <c r="R2171" t="s">
        <v>1348</v>
      </c>
    </row>
    <row r="2172" spans="1:18" x14ac:dyDescent="0.25">
      <c r="A2172" t="s">
        <v>341</v>
      </c>
      <c r="B2172" s="4">
        <v>45850</v>
      </c>
      <c r="C2172" s="9">
        <f t="shared" si="140"/>
        <v>7</v>
      </c>
      <c r="D2172">
        <f t="shared" si="141"/>
        <v>2025</v>
      </c>
      <c r="E2172">
        <f t="shared" si="142"/>
        <v>1</v>
      </c>
      <c r="F2172" t="s">
        <v>1196</v>
      </c>
      <c r="G2172" t="s">
        <v>101</v>
      </c>
      <c r="H2172" t="s">
        <v>153</v>
      </c>
      <c r="J2172">
        <v>59</v>
      </c>
      <c r="K2172">
        <f t="shared" si="143"/>
        <v>59</v>
      </c>
      <c r="R2172" t="s">
        <v>1348</v>
      </c>
    </row>
    <row r="2173" spans="1:18" x14ac:dyDescent="0.25">
      <c r="A2173" t="s">
        <v>341</v>
      </c>
      <c r="B2173" s="4">
        <v>45856</v>
      </c>
      <c r="C2173" s="9">
        <f t="shared" si="140"/>
        <v>7</v>
      </c>
      <c r="D2173">
        <f t="shared" si="141"/>
        <v>2025</v>
      </c>
      <c r="E2173">
        <f t="shared" si="142"/>
        <v>1</v>
      </c>
      <c r="F2173" t="s">
        <v>1196</v>
      </c>
      <c r="G2173" t="s">
        <v>406</v>
      </c>
      <c r="H2173" t="s">
        <v>153</v>
      </c>
      <c r="I2173">
        <v>1</v>
      </c>
      <c r="J2173">
        <v>48</v>
      </c>
      <c r="K2173">
        <f t="shared" si="143"/>
        <v>108</v>
      </c>
      <c r="R2173" t="s">
        <v>1348</v>
      </c>
    </row>
    <row r="2174" spans="1:18" x14ac:dyDescent="0.25">
      <c r="A2174" t="s">
        <v>341</v>
      </c>
      <c r="B2174" s="4">
        <v>45858</v>
      </c>
      <c r="C2174" s="9">
        <f t="shared" si="140"/>
        <v>7</v>
      </c>
      <c r="D2174">
        <f t="shared" si="141"/>
        <v>2025</v>
      </c>
      <c r="E2174">
        <f t="shared" si="142"/>
        <v>1</v>
      </c>
      <c r="F2174" t="s">
        <v>1196</v>
      </c>
      <c r="G2174" t="s">
        <v>556</v>
      </c>
      <c r="H2174" t="s">
        <v>1244</v>
      </c>
      <c r="J2174">
        <v>36</v>
      </c>
      <c r="K2174">
        <f t="shared" si="143"/>
        <v>36</v>
      </c>
      <c r="L2174" t="s">
        <v>1248</v>
      </c>
      <c r="R2174" t="s">
        <v>1249</v>
      </c>
    </row>
    <row r="2175" spans="1:18" x14ac:dyDescent="0.25">
      <c r="A2175" t="s">
        <v>341</v>
      </c>
      <c r="B2175" s="4">
        <v>45859</v>
      </c>
      <c r="C2175" s="9">
        <f t="shared" si="140"/>
        <v>7</v>
      </c>
      <c r="D2175">
        <f t="shared" si="141"/>
        <v>2025</v>
      </c>
      <c r="E2175">
        <f t="shared" si="142"/>
        <v>1</v>
      </c>
      <c r="F2175" t="s">
        <v>1196</v>
      </c>
      <c r="G2175" t="s">
        <v>556</v>
      </c>
      <c r="H2175" t="s">
        <v>1244</v>
      </c>
      <c r="J2175">
        <v>15</v>
      </c>
      <c r="K2175">
        <f t="shared" si="143"/>
        <v>15</v>
      </c>
      <c r="L2175" t="s">
        <v>1248</v>
      </c>
      <c r="R2175" t="s">
        <v>1249</v>
      </c>
    </row>
    <row r="2176" spans="1:18" x14ac:dyDescent="0.25">
      <c r="A2176" t="s">
        <v>341</v>
      </c>
      <c r="B2176" s="4">
        <v>45860</v>
      </c>
      <c r="C2176" s="9">
        <f t="shared" si="140"/>
        <v>7</v>
      </c>
      <c r="D2176">
        <f t="shared" si="141"/>
        <v>2025</v>
      </c>
      <c r="E2176">
        <f t="shared" si="142"/>
        <v>1</v>
      </c>
      <c r="F2176" t="s">
        <v>1196</v>
      </c>
      <c r="G2176" t="s">
        <v>1245</v>
      </c>
      <c r="H2176" t="s">
        <v>1245</v>
      </c>
      <c r="J2176">
        <v>55</v>
      </c>
      <c r="K2176">
        <f t="shared" si="143"/>
        <v>55</v>
      </c>
      <c r="L2176" t="s">
        <v>1248</v>
      </c>
      <c r="R2176" t="s">
        <v>1249</v>
      </c>
    </row>
    <row r="2177" spans="1:18" x14ac:dyDescent="0.25">
      <c r="A2177" t="s">
        <v>341</v>
      </c>
      <c r="B2177" s="4">
        <v>45861</v>
      </c>
      <c r="C2177" s="9">
        <f t="shared" si="140"/>
        <v>7</v>
      </c>
      <c r="D2177">
        <f t="shared" si="141"/>
        <v>2025</v>
      </c>
      <c r="E2177">
        <f t="shared" si="142"/>
        <v>1</v>
      </c>
      <c r="F2177" t="s">
        <v>1196</v>
      </c>
      <c r="G2177" t="s">
        <v>557</v>
      </c>
      <c r="H2177" t="s">
        <v>557</v>
      </c>
      <c r="I2177">
        <v>2</v>
      </c>
      <c r="J2177">
        <v>36</v>
      </c>
      <c r="K2177">
        <f t="shared" si="143"/>
        <v>156</v>
      </c>
      <c r="L2177" t="s">
        <v>1248</v>
      </c>
      <c r="R2177" t="s">
        <v>1249</v>
      </c>
    </row>
    <row r="2178" spans="1:18" x14ac:dyDescent="0.25">
      <c r="A2178" t="s">
        <v>341</v>
      </c>
      <c r="B2178" s="4">
        <v>45861</v>
      </c>
      <c r="C2178" s="9">
        <f t="shared" si="140"/>
        <v>7</v>
      </c>
      <c r="D2178">
        <f t="shared" si="141"/>
        <v>2025</v>
      </c>
      <c r="E2178">
        <f t="shared" si="142"/>
        <v>0</v>
      </c>
      <c r="F2178" t="s">
        <v>1196</v>
      </c>
      <c r="G2178" t="s">
        <v>1246</v>
      </c>
      <c r="H2178" t="s">
        <v>1247</v>
      </c>
      <c r="J2178">
        <v>25</v>
      </c>
      <c r="K2178">
        <f t="shared" si="143"/>
        <v>25</v>
      </c>
      <c r="L2178" t="s">
        <v>1248</v>
      </c>
      <c r="R2178" t="s">
        <v>1249</v>
      </c>
    </row>
    <row r="2179" spans="1:18" x14ac:dyDescent="0.25">
      <c r="A2179" t="s">
        <v>341</v>
      </c>
      <c r="B2179" s="4">
        <v>45868</v>
      </c>
      <c r="C2179" s="9">
        <f t="shared" si="140"/>
        <v>7</v>
      </c>
      <c r="D2179">
        <f t="shared" si="141"/>
        <v>2025</v>
      </c>
      <c r="E2179">
        <f t="shared" si="142"/>
        <v>1</v>
      </c>
      <c r="F2179" t="s">
        <v>1196</v>
      </c>
      <c r="G2179" t="s">
        <v>101</v>
      </c>
      <c r="H2179" t="s">
        <v>153</v>
      </c>
      <c r="I2179">
        <v>1</v>
      </c>
      <c r="J2179">
        <v>5</v>
      </c>
      <c r="K2179">
        <f t="shared" si="143"/>
        <v>65</v>
      </c>
      <c r="R2179" t="s">
        <v>1348</v>
      </c>
    </row>
    <row r="2180" spans="1:18" x14ac:dyDescent="0.25">
      <c r="A2180" t="s">
        <v>341</v>
      </c>
      <c r="B2180" s="4">
        <v>45869</v>
      </c>
      <c r="C2180" s="9">
        <f t="shared" si="140"/>
        <v>7</v>
      </c>
      <c r="D2180">
        <f t="shared" si="141"/>
        <v>2025</v>
      </c>
      <c r="E2180">
        <f t="shared" si="142"/>
        <v>1</v>
      </c>
      <c r="F2180" t="s">
        <v>1196</v>
      </c>
      <c r="G2180" t="s">
        <v>101</v>
      </c>
      <c r="H2180" t="s">
        <v>741</v>
      </c>
      <c r="J2180">
        <v>43</v>
      </c>
      <c r="K2180">
        <f t="shared" si="143"/>
        <v>43</v>
      </c>
      <c r="R2180" t="s">
        <v>1348</v>
      </c>
    </row>
    <row r="2181" spans="1:18" x14ac:dyDescent="0.25">
      <c r="A2181" t="s">
        <v>341</v>
      </c>
      <c r="B2181" s="4">
        <v>45872</v>
      </c>
      <c r="C2181" s="9">
        <f t="shared" si="140"/>
        <v>8</v>
      </c>
      <c r="D2181">
        <f t="shared" si="141"/>
        <v>2025</v>
      </c>
      <c r="E2181">
        <f t="shared" si="142"/>
        <v>1</v>
      </c>
      <c r="F2181" t="s">
        <v>1196</v>
      </c>
      <c r="G2181" t="s">
        <v>101</v>
      </c>
      <c r="H2181" t="s">
        <v>741</v>
      </c>
      <c r="J2181">
        <v>51</v>
      </c>
      <c r="K2181">
        <f t="shared" si="143"/>
        <v>51</v>
      </c>
      <c r="R2181" t="s">
        <v>1348</v>
      </c>
    </row>
    <row r="2182" spans="1:18" x14ac:dyDescent="0.25">
      <c r="A2182" t="s">
        <v>341</v>
      </c>
      <c r="B2182" s="4">
        <v>45874</v>
      </c>
      <c r="C2182" s="9">
        <f t="shared" si="140"/>
        <v>8</v>
      </c>
      <c r="D2182">
        <f t="shared" si="141"/>
        <v>2025</v>
      </c>
      <c r="E2182">
        <f t="shared" si="142"/>
        <v>1</v>
      </c>
      <c r="F2182" t="s">
        <v>1196</v>
      </c>
      <c r="G2182" t="s">
        <v>101</v>
      </c>
      <c r="H2182" t="s">
        <v>741</v>
      </c>
      <c r="I2182">
        <v>2</v>
      </c>
      <c r="J2182">
        <v>16</v>
      </c>
      <c r="K2182">
        <f t="shared" si="143"/>
        <v>136</v>
      </c>
      <c r="R2182" t="s">
        <v>1348</v>
      </c>
    </row>
    <row r="2183" spans="1:18" x14ac:dyDescent="0.25">
      <c r="A2183" t="s">
        <v>341</v>
      </c>
      <c r="B2183" s="4">
        <v>45875</v>
      </c>
      <c r="C2183" s="9">
        <f t="shared" si="140"/>
        <v>8</v>
      </c>
      <c r="D2183">
        <f t="shared" si="141"/>
        <v>2025</v>
      </c>
      <c r="E2183">
        <f t="shared" si="142"/>
        <v>1</v>
      </c>
      <c r="F2183" t="s">
        <v>1196</v>
      </c>
      <c r="G2183" t="s">
        <v>101</v>
      </c>
      <c r="H2183" t="s">
        <v>244</v>
      </c>
      <c r="J2183">
        <v>14</v>
      </c>
      <c r="K2183">
        <f t="shared" si="143"/>
        <v>14</v>
      </c>
      <c r="R2183" t="s">
        <v>1348</v>
      </c>
    </row>
    <row r="2184" spans="1:18" x14ac:dyDescent="0.25">
      <c r="A2184" t="s">
        <v>341</v>
      </c>
      <c r="B2184" s="4">
        <v>45876</v>
      </c>
      <c r="C2184" s="9">
        <f t="shared" si="140"/>
        <v>8</v>
      </c>
      <c r="D2184">
        <f t="shared" si="141"/>
        <v>2025</v>
      </c>
      <c r="E2184">
        <f t="shared" si="142"/>
        <v>1</v>
      </c>
      <c r="F2184" t="s">
        <v>1196</v>
      </c>
      <c r="G2184" t="s">
        <v>101</v>
      </c>
      <c r="H2184" t="s">
        <v>153</v>
      </c>
      <c r="J2184">
        <v>51</v>
      </c>
      <c r="K2184">
        <f t="shared" si="143"/>
        <v>51</v>
      </c>
      <c r="R2184" t="s">
        <v>1348</v>
      </c>
    </row>
    <row r="2185" spans="1:18" x14ac:dyDescent="0.25">
      <c r="A2185" t="s">
        <v>341</v>
      </c>
      <c r="B2185" s="4">
        <v>45877</v>
      </c>
      <c r="C2185" s="9">
        <f t="shared" si="140"/>
        <v>8</v>
      </c>
      <c r="D2185">
        <f t="shared" si="141"/>
        <v>2025</v>
      </c>
      <c r="E2185">
        <f t="shared" si="142"/>
        <v>1</v>
      </c>
      <c r="F2185" t="s">
        <v>1196</v>
      </c>
      <c r="G2185" t="s">
        <v>101</v>
      </c>
      <c r="H2185" t="s">
        <v>153</v>
      </c>
      <c r="I2185">
        <v>1</v>
      </c>
      <c r="J2185">
        <v>31</v>
      </c>
      <c r="K2185">
        <f t="shared" si="143"/>
        <v>91</v>
      </c>
      <c r="R2185" t="s">
        <v>1348</v>
      </c>
    </row>
    <row r="2186" spans="1:18" x14ac:dyDescent="0.25">
      <c r="A2186" t="s">
        <v>341</v>
      </c>
      <c r="B2186" s="4">
        <v>45878</v>
      </c>
      <c r="C2186" s="9">
        <f t="shared" si="140"/>
        <v>8</v>
      </c>
      <c r="D2186">
        <f t="shared" si="141"/>
        <v>2025</v>
      </c>
      <c r="E2186">
        <f t="shared" si="142"/>
        <v>1</v>
      </c>
      <c r="F2186" t="s">
        <v>1196</v>
      </c>
      <c r="G2186" t="s">
        <v>101</v>
      </c>
      <c r="H2186" t="s">
        <v>741</v>
      </c>
      <c r="I2186">
        <v>1</v>
      </c>
      <c r="J2186">
        <v>53</v>
      </c>
      <c r="K2186">
        <f t="shared" si="143"/>
        <v>113</v>
      </c>
      <c r="R2186" t="s">
        <v>1348</v>
      </c>
    </row>
    <row r="2187" spans="1:18" x14ac:dyDescent="0.25">
      <c r="A2187" t="s">
        <v>341</v>
      </c>
      <c r="B2187" s="4">
        <v>45879</v>
      </c>
      <c r="C2187" s="9">
        <f t="shared" si="140"/>
        <v>8</v>
      </c>
      <c r="D2187">
        <f t="shared" si="141"/>
        <v>2025</v>
      </c>
      <c r="E2187">
        <f t="shared" si="142"/>
        <v>1</v>
      </c>
      <c r="F2187" t="s">
        <v>1196</v>
      </c>
      <c r="G2187" t="s">
        <v>406</v>
      </c>
      <c r="H2187" t="s">
        <v>741</v>
      </c>
      <c r="I2187">
        <v>2</v>
      </c>
      <c r="J2187">
        <v>17</v>
      </c>
      <c r="K2187">
        <f t="shared" si="143"/>
        <v>137</v>
      </c>
      <c r="R2187" t="s">
        <v>1348</v>
      </c>
    </row>
    <row r="2188" spans="1:18" x14ac:dyDescent="0.25">
      <c r="A2188" t="s">
        <v>341</v>
      </c>
      <c r="B2188" s="4">
        <v>45880</v>
      </c>
      <c r="C2188" s="9">
        <f t="shared" si="140"/>
        <v>8</v>
      </c>
      <c r="D2188">
        <f t="shared" si="141"/>
        <v>2025</v>
      </c>
      <c r="E2188">
        <f t="shared" si="142"/>
        <v>1</v>
      </c>
      <c r="F2188" t="s">
        <v>1196</v>
      </c>
      <c r="G2188" t="s">
        <v>101</v>
      </c>
      <c r="H2188" t="s">
        <v>244</v>
      </c>
      <c r="I2188">
        <v>2</v>
      </c>
      <c r="J2188">
        <v>12</v>
      </c>
      <c r="K2188">
        <f t="shared" si="143"/>
        <v>132</v>
      </c>
      <c r="R2188" t="s">
        <v>1348</v>
      </c>
    </row>
    <row r="2189" spans="1:18" x14ac:dyDescent="0.25">
      <c r="A2189" t="s">
        <v>341</v>
      </c>
      <c r="B2189" s="4">
        <v>45881</v>
      </c>
      <c r="C2189" s="9">
        <f t="shared" si="140"/>
        <v>8</v>
      </c>
      <c r="D2189">
        <f t="shared" si="141"/>
        <v>2025</v>
      </c>
      <c r="E2189">
        <f t="shared" si="142"/>
        <v>1</v>
      </c>
      <c r="F2189" t="s">
        <v>1196</v>
      </c>
      <c r="G2189" t="s">
        <v>101</v>
      </c>
      <c r="H2189" t="s">
        <v>153</v>
      </c>
      <c r="I2189">
        <v>1</v>
      </c>
      <c r="J2189">
        <v>25</v>
      </c>
      <c r="K2189">
        <f t="shared" si="143"/>
        <v>85</v>
      </c>
      <c r="R2189" t="s">
        <v>1348</v>
      </c>
    </row>
    <row r="2190" spans="1:18" x14ac:dyDescent="0.25">
      <c r="A2190" t="s">
        <v>341</v>
      </c>
      <c r="B2190" s="4">
        <v>45882</v>
      </c>
      <c r="C2190" s="9">
        <f t="shared" si="140"/>
        <v>8</v>
      </c>
      <c r="D2190">
        <f t="shared" si="141"/>
        <v>2025</v>
      </c>
      <c r="E2190">
        <f t="shared" si="142"/>
        <v>1</v>
      </c>
      <c r="F2190" t="s">
        <v>1196</v>
      </c>
      <c r="G2190" t="s">
        <v>101</v>
      </c>
      <c r="H2190" t="s">
        <v>244</v>
      </c>
      <c r="I2190">
        <v>1</v>
      </c>
      <c r="J2190">
        <v>38</v>
      </c>
      <c r="K2190">
        <f t="shared" si="143"/>
        <v>98</v>
      </c>
      <c r="R2190" t="s">
        <v>1348</v>
      </c>
    </row>
    <row r="2191" spans="1:18" x14ac:dyDescent="0.25">
      <c r="A2191" t="s">
        <v>341</v>
      </c>
      <c r="B2191" s="4">
        <v>45885</v>
      </c>
      <c r="C2191" s="9">
        <f t="shared" ref="C2191:C2254" si="144">MONTH(B2191)</f>
        <v>8</v>
      </c>
      <c r="D2191">
        <f t="shared" ref="D2191:D2254" si="145">YEAR(B2191)</f>
        <v>2025</v>
      </c>
      <c r="E2191">
        <f t="shared" ref="E2191:E2254" si="146">IF(OR(A2191 = "GS",A2191 = "BP"),IF( OR(A2190="GS",A2190="BP"),IF(B2190=B2191,0,1),1),0)</f>
        <v>1</v>
      </c>
      <c r="F2191" t="s">
        <v>1196</v>
      </c>
      <c r="G2191" t="s">
        <v>101</v>
      </c>
      <c r="H2191" t="s">
        <v>741</v>
      </c>
      <c r="I2191">
        <v>1</v>
      </c>
      <c r="J2191">
        <v>5</v>
      </c>
      <c r="K2191">
        <f t="shared" ref="K2191:K2254" si="147">I2191*60+J2191</f>
        <v>65</v>
      </c>
      <c r="R2191" t="s">
        <v>1348</v>
      </c>
    </row>
    <row r="2192" spans="1:18" x14ac:dyDescent="0.25">
      <c r="A2192" t="s">
        <v>341</v>
      </c>
      <c r="B2192" s="4">
        <v>45886</v>
      </c>
      <c r="C2192" s="9">
        <f t="shared" si="144"/>
        <v>8</v>
      </c>
      <c r="D2192">
        <f t="shared" si="145"/>
        <v>2025</v>
      </c>
      <c r="E2192">
        <f t="shared" si="146"/>
        <v>1</v>
      </c>
      <c r="F2192" t="s">
        <v>1196</v>
      </c>
      <c r="G2192" t="s">
        <v>409</v>
      </c>
      <c r="H2192" t="s">
        <v>741</v>
      </c>
      <c r="J2192">
        <v>48</v>
      </c>
      <c r="K2192">
        <f t="shared" si="147"/>
        <v>48</v>
      </c>
      <c r="R2192" t="s">
        <v>1348</v>
      </c>
    </row>
    <row r="2193" spans="1:18" x14ac:dyDescent="0.25">
      <c r="A2193" t="s">
        <v>341</v>
      </c>
      <c r="B2193" s="4">
        <v>45887</v>
      </c>
      <c r="C2193" s="9">
        <f t="shared" si="144"/>
        <v>8</v>
      </c>
      <c r="D2193">
        <f t="shared" si="145"/>
        <v>2025</v>
      </c>
      <c r="E2193">
        <f t="shared" si="146"/>
        <v>1</v>
      </c>
      <c r="F2193" t="s">
        <v>1196</v>
      </c>
      <c r="G2193" t="s">
        <v>406</v>
      </c>
      <c r="H2193" t="s">
        <v>1063</v>
      </c>
      <c r="I2193">
        <v>3</v>
      </c>
      <c r="J2193">
        <v>47</v>
      </c>
      <c r="K2193">
        <f t="shared" si="147"/>
        <v>227</v>
      </c>
      <c r="R2193" t="s">
        <v>1348</v>
      </c>
    </row>
    <row r="2194" spans="1:18" x14ac:dyDescent="0.25">
      <c r="A2194" t="s">
        <v>341</v>
      </c>
      <c r="B2194" s="4">
        <v>45888</v>
      </c>
      <c r="C2194" s="9">
        <f t="shared" si="144"/>
        <v>8</v>
      </c>
      <c r="D2194">
        <f t="shared" si="145"/>
        <v>2025</v>
      </c>
      <c r="E2194">
        <f t="shared" si="146"/>
        <v>1</v>
      </c>
      <c r="F2194" t="s">
        <v>1196</v>
      </c>
      <c r="G2194" t="s">
        <v>101</v>
      </c>
      <c r="H2194" t="s">
        <v>153</v>
      </c>
      <c r="I2194">
        <v>1</v>
      </c>
      <c r="J2194">
        <v>1</v>
      </c>
      <c r="K2194">
        <f t="shared" si="147"/>
        <v>61</v>
      </c>
      <c r="R2194" t="s">
        <v>1348</v>
      </c>
    </row>
    <row r="2195" spans="1:18" x14ac:dyDescent="0.25">
      <c r="A2195" t="s">
        <v>341</v>
      </c>
      <c r="B2195" s="4">
        <v>45891</v>
      </c>
      <c r="C2195" s="9">
        <f t="shared" si="144"/>
        <v>8</v>
      </c>
      <c r="D2195">
        <f t="shared" si="145"/>
        <v>2025</v>
      </c>
      <c r="E2195">
        <f t="shared" si="146"/>
        <v>1</v>
      </c>
      <c r="F2195" t="s">
        <v>1196</v>
      </c>
      <c r="G2195" t="s">
        <v>101</v>
      </c>
      <c r="H2195" t="s">
        <v>741</v>
      </c>
      <c r="J2195">
        <v>54</v>
      </c>
      <c r="K2195">
        <f t="shared" si="147"/>
        <v>54</v>
      </c>
      <c r="R2195" t="s">
        <v>1348</v>
      </c>
    </row>
    <row r="2196" spans="1:18" x14ac:dyDescent="0.25">
      <c r="A2196" t="s">
        <v>341</v>
      </c>
      <c r="B2196" s="4">
        <v>45892</v>
      </c>
      <c r="C2196" s="9">
        <f t="shared" si="144"/>
        <v>8</v>
      </c>
      <c r="D2196">
        <f t="shared" si="145"/>
        <v>2025</v>
      </c>
      <c r="E2196">
        <f t="shared" si="146"/>
        <v>1</v>
      </c>
      <c r="F2196" t="s">
        <v>1196</v>
      </c>
      <c r="G2196" t="s">
        <v>101</v>
      </c>
      <c r="H2196" t="s">
        <v>153</v>
      </c>
      <c r="J2196">
        <v>46</v>
      </c>
      <c r="K2196">
        <f t="shared" si="147"/>
        <v>46</v>
      </c>
      <c r="R2196" t="s">
        <v>1348</v>
      </c>
    </row>
    <row r="2197" spans="1:18" x14ac:dyDescent="0.25">
      <c r="A2197" t="s">
        <v>341</v>
      </c>
      <c r="B2197" s="4">
        <v>45893</v>
      </c>
      <c r="C2197" s="9">
        <f t="shared" si="144"/>
        <v>8</v>
      </c>
      <c r="D2197">
        <f t="shared" si="145"/>
        <v>2025</v>
      </c>
      <c r="E2197">
        <f t="shared" si="146"/>
        <v>1</v>
      </c>
      <c r="F2197" t="s">
        <v>1196</v>
      </c>
      <c r="G2197" t="s">
        <v>406</v>
      </c>
      <c r="H2197" t="s">
        <v>244</v>
      </c>
      <c r="I2197">
        <v>1</v>
      </c>
      <c r="J2197">
        <v>15</v>
      </c>
      <c r="K2197">
        <f t="shared" si="147"/>
        <v>75</v>
      </c>
      <c r="R2197" t="s">
        <v>1348</v>
      </c>
    </row>
    <row r="2198" spans="1:18" x14ac:dyDescent="0.25">
      <c r="A2198" t="s">
        <v>341</v>
      </c>
      <c r="B2198" s="4">
        <v>45894</v>
      </c>
      <c r="C2198" s="9">
        <f t="shared" si="144"/>
        <v>8</v>
      </c>
      <c r="D2198">
        <f t="shared" si="145"/>
        <v>2025</v>
      </c>
      <c r="E2198">
        <f t="shared" si="146"/>
        <v>1</v>
      </c>
      <c r="F2198" t="s">
        <v>1196</v>
      </c>
      <c r="G2198" t="s">
        <v>101</v>
      </c>
      <c r="H2198" t="s">
        <v>912</v>
      </c>
      <c r="I2198">
        <v>1</v>
      </c>
      <c r="J2198">
        <v>17</v>
      </c>
      <c r="K2198">
        <f t="shared" si="147"/>
        <v>77</v>
      </c>
      <c r="R2198" t="s">
        <v>1348</v>
      </c>
    </row>
    <row r="2199" spans="1:18" x14ac:dyDescent="0.25">
      <c r="A2199" t="s">
        <v>341</v>
      </c>
      <c r="B2199" s="4">
        <v>45895</v>
      </c>
      <c r="C2199" s="9">
        <f t="shared" si="144"/>
        <v>8</v>
      </c>
      <c r="D2199">
        <f t="shared" si="145"/>
        <v>2025</v>
      </c>
      <c r="E2199">
        <f t="shared" si="146"/>
        <v>1</v>
      </c>
      <c r="F2199" t="s">
        <v>1196</v>
      </c>
      <c r="G2199" t="s">
        <v>101</v>
      </c>
      <c r="H2199" t="s">
        <v>153</v>
      </c>
      <c r="I2199">
        <v>1</v>
      </c>
      <c r="J2199">
        <v>18</v>
      </c>
      <c r="K2199">
        <f t="shared" si="147"/>
        <v>78</v>
      </c>
      <c r="R2199" t="s">
        <v>1348</v>
      </c>
    </row>
    <row r="2200" spans="1:18" x14ac:dyDescent="0.25">
      <c r="A2200" t="s">
        <v>341</v>
      </c>
      <c r="B2200" s="4">
        <v>45899</v>
      </c>
      <c r="C2200" s="9">
        <f t="shared" si="144"/>
        <v>8</v>
      </c>
      <c r="D2200">
        <f t="shared" si="145"/>
        <v>2025</v>
      </c>
      <c r="E2200">
        <f t="shared" si="146"/>
        <v>1</v>
      </c>
      <c r="F2200" t="s">
        <v>1196</v>
      </c>
      <c r="G2200" t="s">
        <v>698</v>
      </c>
      <c r="H2200" t="s">
        <v>698</v>
      </c>
      <c r="I2200">
        <v>1</v>
      </c>
      <c r="J2200">
        <v>8</v>
      </c>
      <c r="K2200">
        <f t="shared" si="147"/>
        <v>68</v>
      </c>
      <c r="L2200" t="s">
        <v>696</v>
      </c>
      <c r="R2200" t="s">
        <v>1354</v>
      </c>
    </row>
    <row r="2201" spans="1:18" x14ac:dyDescent="0.25">
      <c r="A2201" t="s">
        <v>341</v>
      </c>
      <c r="B2201" s="4">
        <v>45900</v>
      </c>
      <c r="C2201" s="9">
        <f t="shared" si="144"/>
        <v>8</v>
      </c>
      <c r="D2201">
        <f t="shared" si="145"/>
        <v>2025</v>
      </c>
      <c r="E2201">
        <f t="shared" si="146"/>
        <v>1</v>
      </c>
      <c r="F2201" t="s">
        <v>1196</v>
      </c>
      <c r="G2201" t="s">
        <v>698</v>
      </c>
      <c r="H2201" t="s">
        <v>699</v>
      </c>
      <c r="I2201">
        <v>1</v>
      </c>
      <c r="J2201">
        <v>23</v>
      </c>
      <c r="K2201">
        <f t="shared" si="147"/>
        <v>83</v>
      </c>
      <c r="L2201" t="s">
        <v>696</v>
      </c>
      <c r="R2201" t="s">
        <v>1354</v>
      </c>
    </row>
    <row r="2202" spans="1:18" x14ac:dyDescent="0.25">
      <c r="A2202" t="s">
        <v>341</v>
      </c>
      <c r="B2202" s="4">
        <v>45901</v>
      </c>
      <c r="C2202" s="9">
        <f t="shared" si="144"/>
        <v>9</v>
      </c>
      <c r="D2202">
        <f t="shared" si="145"/>
        <v>2025</v>
      </c>
      <c r="E2202">
        <f t="shared" si="146"/>
        <v>1</v>
      </c>
      <c r="F2202" t="s">
        <v>1196</v>
      </c>
      <c r="G2202" t="s">
        <v>707</v>
      </c>
      <c r="H2202" t="s">
        <v>707</v>
      </c>
      <c r="I2202">
        <v>1</v>
      </c>
      <c r="J2202">
        <v>18</v>
      </c>
      <c r="K2202">
        <f t="shared" si="147"/>
        <v>78</v>
      </c>
      <c r="L2202" t="s">
        <v>696</v>
      </c>
      <c r="R2202" t="s">
        <v>1354</v>
      </c>
    </row>
    <row r="2203" spans="1:18" x14ac:dyDescent="0.25">
      <c r="A2203" t="s">
        <v>341</v>
      </c>
      <c r="B2203" s="4">
        <v>45901</v>
      </c>
      <c r="C2203" s="9">
        <f t="shared" si="144"/>
        <v>9</v>
      </c>
      <c r="D2203">
        <f t="shared" si="145"/>
        <v>2025</v>
      </c>
      <c r="E2203">
        <f t="shared" si="146"/>
        <v>0</v>
      </c>
      <c r="F2203" t="s">
        <v>1196</v>
      </c>
      <c r="G2203" t="s">
        <v>707</v>
      </c>
      <c r="H2203" t="s">
        <v>700</v>
      </c>
      <c r="I2203">
        <v>1</v>
      </c>
      <c r="J2203">
        <v>33</v>
      </c>
      <c r="K2203">
        <f t="shared" si="147"/>
        <v>93</v>
      </c>
      <c r="L2203" t="s">
        <v>696</v>
      </c>
      <c r="R2203" t="s">
        <v>1354</v>
      </c>
    </row>
    <row r="2204" spans="1:18" x14ac:dyDescent="0.25">
      <c r="A2204" t="s">
        <v>341</v>
      </c>
      <c r="B2204" s="4">
        <v>45902</v>
      </c>
      <c r="C2204" s="9">
        <f t="shared" si="144"/>
        <v>9</v>
      </c>
      <c r="D2204">
        <f t="shared" si="145"/>
        <v>2025</v>
      </c>
      <c r="E2204">
        <f t="shared" si="146"/>
        <v>1</v>
      </c>
      <c r="F2204" t="s">
        <v>1196</v>
      </c>
      <c r="G2204" t="s">
        <v>707</v>
      </c>
      <c r="H2204" t="s">
        <v>700</v>
      </c>
      <c r="I2204">
        <v>2</v>
      </c>
      <c r="J2204">
        <v>1</v>
      </c>
      <c r="K2204">
        <f t="shared" si="147"/>
        <v>121</v>
      </c>
      <c r="L2204" t="s">
        <v>696</v>
      </c>
      <c r="R2204" t="s">
        <v>1354</v>
      </c>
    </row>
    <row r="2205" spans="1:18" x14ac:dyDescent="0.25">
      <c r="A2205" t="s">
        <v>341</v>
      </c>
      <c r="B2205" s="4">
        <v>45903</v>
      </c>
      <c r="C2205" s="9">
        <f t="shared" si="144"/>
        <v>9</v>
      </c>
      <c r="D2205">
        <f t="shared" si="145"/>
        <v>2025</v>
      </c>
      <c r="E2205">
        <f t="shared" si="146"/>
        <v>1</v>
      </c>
      <c r="F2205" t="s">
        <v>1196</v>
      </c>
      <c r="G2205" t="s">
        <v>1250</v>
      </c>
      <c r="H2205" t="s">
        <v>1251</v>
      </c>
      <c r="J2205">
        <v>53</v>
      </c>
      <c r="K2205">
        <f t="shared" si="147"/>
        <v>53</v>
      </c>
      <c r="L2205" t="s">
        <v>696</v>
      </c>
      <c r="R2205" t="s">
        <v>1354</v>
      </c>
    </row>
    <row r="2206" spans="1:18" x14ac:dyDescent="0.25">
      <c r="A2206" t="s">
        <v>341</v>
      </c>
      <c r="B2206" s="4">
        <v>45904</v>
      </c>
      <c r="C2206" s="9">
        <f t="shared" si="144"/>
        <v>9</v>
      </c>
      <c r="D2206">
        <f t="shared" si="145"/>
        <v>2025</v>
      </c>
      <c r="E2206">
        <f t="shared" si="146"/>
        <v>1</v>
      </c>
      <c r="F2206" t="s">
        <v>1196</v>
      </c>
      <c r="G2206" t="s">
        <v>791</v>
      </c>
      <c r="H2206" t="s">
        <v>791</v>
      </c>
      <c r="I2206">
        <v>1</v>
      </c>
      <c r="J2206">
        <v>8</v>
      </c>
      <c r="K2206">
        <f t="shared" si="147"/>
        <v>68</v>
      </c>
      <c r="L2206" t="s">
        <v>696</v>
      </c>
      <c r="R2206" t="s">
        <v>1354</v>
      </c>
    </row>
    <row r="2207" spans="1:18" x14ac:dyDescent="0.25">
      <c r="A2207" t="s">
        <v>341</v>
      </c>
      <c r="B2207" s="4">
        <v>45905</v>
      </c>
      <c r="C2207" s="9">
        <f t="shared" si="144"/>
        <v>9</v>
      </c>
      <c r="D2207">
        <f t="shared" si="145"/>
        <v>2025</v>
      </c>
      <c r="E2207">
        <f t="shared" si="146"/>
        <v>1</v>
      </c>
      <c r="F2207" t="s">
        <v>1196</v>
      </c>
      <c r="G2207" t="s">
        <v>1252</v>
      </c>
      <c r="H2207" t="s">
        <v>1253</v>
      </c>
      <c r="I2207">
        <v>1</v>
      </c>
      <c r="J2207">
        <v>11</v>
      </c>
      <c r="K2207">
        <f t="shared" si="147"/>
        <v>71</v>
      </c>
      <c r="L2207" t="s">
        <v>696</v>
      </c>
      <c r="R2207" t="s">
        <v>1354</v>
      </c>
    </row>
    <row r="2208" spans="1:18" x14ac:dyDescent="0.25">
      <c r="A2208" t="s">
        <v>341</v>
      </c>
      <c r="B2208" s="4">
        <v>45907</v>
      </c>
      <c r="C2208" s="9">
        <f t="shared" si="144"/>
        <v>9</v>
      </c>
      <c r="D2208">
        <f t="shared" si="145"/>
        <v>2025</v>
      </c>
      <c r="E2208">
        <f t="shared" si="146"/>
        <v>1</v>
      </c>
      <c r="F2208" t="s">
        <v>1196</v>
      </c>
      <c r="G2208" t="s">
        <v>1254</v>
      </c>
      <c r="H2208" t="s">
        <v>1254</v>
      </c>
      <c r="J2208">
        <v>24</v>
      </c>
      <c r="K2208">
        <f t="shared" si="147"/>
        <v>24</v>
      </c>
      <c r="L2208" t="s">
        <v>787</v>
      </c>
      <c r="R2208" t="s">
        <v>1354</v>
      </c>
    </row>
    <row r="2209" spans="1:18" x14ac:dyDescent="0.25">
      <c r="A2209" t="s">
        <v>341</v>
      </c>
      <c r="B2209" s="4">
        <v>45907</v>
      </c>
      <c r="C2209" s="9">
        <f t="shared" si="144"/>
        <v>9</v>
      </c>
      <c r="D2209">
        <f t="shared" si="145"/>
        <v>2025</v>
      </c>
      <c r="E2209">
        <f t="shared" si="146"/>
        <v>0</v>
      </c>
      <c r="F2209" t="s">
        <v>1196</v>
      </c>
      <c r="G2209" t="s">
        <v>1254</v>
      </c>
      <c r="H2209" t="s">
        <v>1254</v>
      </c>
      <c r="J2209">
        <v>52</v>
      </c>
      <c r="K2209">
        <f t="shared" si="147"/>
        <v>52</v>
      </c>
      <c r="L2209" t="s">
        <v>787</v>
      </c>
      <c r="R2209" t="s">
        <v>1354</v>
      </c>
    </row>
    <row r="2210" spans="1:18" x14ac:dyDescent="0.25">
      <c r="A2210" t="s">
        <v>341</v>
      </c>
      <c r="B2210" s="4">
        <v>45907</v>
      </c>
      <c r="C2210" s="9">
        <f t="shared" si="144"/>
        <v>9</v>
      </c>
      <c r="D2210">
        <f t="shared" si="145"/>
        <v>2025</v>
      </c>
      <c r="E2210">
        <f t="shared" si="146"/>
        <v>0</v>
      </c>
      <c r="F2210" t="s">
        <v>1196</v>
      </c>
      <c r="G2210" t="s">
        <v>1255</v>
      </c>
      <c r="H2210" t="s">
        <v>1255</v>
      </c>
      <c r="I2210">
        <v>1</v>
      </c>
      <c r="J2210">
        <v>9</v>
      </c>
      <c r="K2210">
        <f t="shared" si="147"/>
        <v>69</v>
      </c>
      <c r="L2210" t="s">
        <v>787</v>
      </c>
      <c r="R2210" t="s">
        <v>1354</v>
      </c>
    </row>
    <row r="2211" spans="1:18" x14ac:dyDescent="0.25">
      <c r="A2211" t="s">
        <v>341</v>
      </c>
      <c r="B2211" s="4">
        <v>45908</v>
      </c>
      <c r="C2211" s="9">
        <f t="shared" si="144"/>
        <v>9</v>
      </c>
      <c r="D2211">
        <f t="shared" si="145"/>
        <v>2025</v>
      </c>
      <c r="E2211">
        <f t="shared" si="146"/>
        <v>1</v>
      </c>
      <c r="F2211" t="s">
        <v>1196</v>
      </c>
      <c r="G2211" t="s">
        <v>798</v>
      </c>
      <c r="H2211" t="s">
        <v>1256</v>
      </c>
      <c r="I2211">
        <v>1</v>
      </c>
      <c r="J2211">
        <v>47</v>
      </c>
      <c r="K2211">
        <f t="shared" si="147"/>
        <v>107</v>
      </c>
      <c r="L2211" t="s">
        <v>787</v>
      </c>
      <c r="R2211" t="s">
        <v>1354</v>
      </c>
    </row>
    <row r="2212" spans="1:18" x14ac:dyDescent="0.25">
      <c r="A2212" t="s">
        <v>341</v>
      </c>
      <c r="B2212" s="4">
        <v>45909</v>
      </c>
      <c r="C2212" s="9">
        <f t="shared" si="144"/>
        <v>9</v>
      </c>
      <c r="D2212">
        <f t="shared" si="145"/>
        <v>2025</v>
      </c>
      <c r="E2212">
        <f t="shared" si="146"/>
        <v>1</v>
      </c>
      <c r="F2212" t="s">
        <v>1196</v>
      </c>
      <c r="G2212" t="s">
        <v>798</v>
      </c>
      <c r="H2212" t="s">
        <v>1257</v>
      </c>
      <c r="I2212">
        <v>4</v>
      </c>
      <c r="J2212">
        <v>22</v>
      </c>
      <c r="K2212">
        <f t="shared" si="147"/>
        <v>262</v>
      </c>
      <c r="L2212" t="s">
        <v>787</v>
      </c>
      <c r="R2212" t="s">
        <v>1354</v>
      </c>
    </row>
    <row r="2213" spans="1:18" x14ac:dyDescent="0.25">
      <c r="A2213" t="s">
        <v>341</v>
      </c>
      <c r="B2213" s="4">
        <v>45911</v>
      </c>
      <c r="C2213" s="9">
        <f t="shared" si="144"/>
        <v>9</v>
      </c>
      <c r="D2213">
        <f t="shared" si="145"/>
        <v>2025</v>
      </c>
      <c r="E2213">
        <f t="shared" si="146"/>
        <v>1</v>
      </c>
      <c r="F2213" t="s">
        <v>1196</v>
      </c>
      <c r="G2213" t="s">
        <v>1082</v>
      </c>
      <c r="H2213" t="s">
        <v>790</v>
      </c>
      <c r="J2213">
        <v>44</v>
      </c>
      <c r="K2213">
        <f t="shared" si="147"/>
        <v>44</v>
      </c>
      <c r="L2213" t="s">
        <v>787</v>
      </c>
      <c r="R2213" t="s">
        <v>1354</v>
      </c>
    </row>
    <row r="2214" spans="1:18" x14ac:dyDescent="0.25">
      <c r="A2214" t="s">
        <v>341</v>
      </c>
      <c r="B2214" s="4">
        <v>45911</v>
      </c>
      <c r="C2214" s="9">
        <f t="shared" si="144"/>
        <v>9</v>
      </c>
      <c r="D2214">
        <f t="shared" si="145"/>
        <v>2025</v>
      </c>
      <c r="E2214">
        <f t="shared" si="146"/>
        <v>0</v>
      </c>
      <c r="F2214" t="s">
        <v>1196</v>
      </c>
      <c r="G2214" t="s">
        <v>1082</v>
      </c>
      <c r="H2214" t="s">
        <v>1258</v>
      </c>
      <c r="J2214">
        <v>55</v>
      </c>
      <c r="K2214">
        <f t="shared" si="147"/>
        <v>55</v>
      </c>
      <c r="L2214" t="s">
        <v>787</v>
      </c>
      <c r="R2214" t="s">
        <v>1354</v>
      </c>
    </row>
    <row r="2215" spans="1:18" x14ac:dyDescent="0.25">
      <c r="A2215" t="s">
        <v>341</v>
      </c>
      <c r="B2215" s="4">
        <v>45912</v>
      </c>
      <c r="C2215" s="9">
        <f t="shared" si="144"/>
        <v>9</v>
      </c>
      <c r="D2215">
        <f t="shared" si="145"/>
        <v>2025</v>
      </c>
      <c r="E2215">
        <f t="shared" si="146"/>
        <v>1</v>
      </c>
      <c r="F2215" t="s">
        <v>1196</v>
      </c>
      <c r="G2215" t="s">
        <v>1082</v>
      </c>
      <c r="H2215" t="s">
        <v>1259</v>
      </c>
      <c r="I2215">
        <v>1</v>
      </c>
      <c r="J2215">
        <v>37</v>
      </c>
      <c r="K2215">
        <f t="shared" si="147"/>
        <v>97</v>
      </c>
      <c r="L2215" t="s">
        <v>787</v>
      </c>
      <c r="R2215" t="s">
        <v>1354</v>
      </c>
    </row>
    <row r="2216" spans="1:18" x14ac:dyDescent="0.25">
      <c r="A2216" t="s">
        <v>341</v>
      </c>
      <c r="B2216" s="4">
        <v>45918</v>
      </c>
      <c r="C2216" s="9">
        <f t="shared" si="144"/>
        <v>9</v>
      </c>
      <c r="D2216">
        <f t="shared" si="145"/>
        <v>2025</v>
      </c>
      <c r="E2216">
        <f t="shared" si="146"/>
        <v>1</v>
      </c>
      <c r="F2216" t="s">
        <v>1196</v>
      </c>
      <c r="G2216" t="s">
        <v>101</v>
      </c>
      <c r="H2216" t="s">
        <v>153</v>
      </c>
      <c r="I2216">
        <v>1</v>
      </c>
      <c r="J2216">
        <v>19</v>
      </c>
      <c r="K2216">
        <f t="shared" si="147"/>
        <v>79</v>
      </c>
      <c r="R2216" t="s">
        <v>1348</v>
      </c>
    </row>
    <row r="2217" spans="1:18" x14ac:dyDescent="0.25">
      <c r="A2217" t="s">
        <v>341</v>
      </c>
      <c r="B2217" s="4">
        <v>45919</v>
      </c>
      <c r="C2217" s="9">
        <f t="shared" si="144"/>
        <v>9</v>
      </c>
      <c r="D2217">
        <f t="shared" si="145"/>
        <v>2025</v>
      </c>
      <c r="E2217">
        <f t="shared" si="146"/>
        <v>1</v>
      </c>
      <c r="F2217" t="s">
        <v>1196</v>
      </c>
      <c r="G2217" t="s">
        <v>101</v>
      </c>
      <c r="H2217" t="s">
        <v>153</v>
      </c>
      <c r="I2217">
        <v>1</v>
      </c>
      <c r="J2217">
        <v>7</v>
      </c>
      <c r="K2217">
        <f t="shared" si="147"/>
        <v>67</v>
      </c>
      <c r="R2217" t="s">
        <v>1348</v>
      </c>
    </row>
    <row r="2218" spans="1:18" x14ac:dyDescent="0.25">
      <c r="A2218" t="s">
        <v>341</v>
      </c>
      <c r="B2218" s="4">
        <v>45928</v>
      </c>
      <c r="C2218" s="9">
        <f t="shared" si="144"/>
        <v>9</v>
      </c>
      <c r="D2218">
        <f t="shared" si="145"/>
        <v>2025</v>
      </c>
      <c r="E2218">
        <f t="shared" si="146"/>
        <v>1</v>
      </c>
      <c r="F2218" t="s">
        <v>1196</v>
      </c>
      <c r="G2218" t="s">
        <v>101</v>
      </c>
      <c r="H2218" t="s">
        <v>741</v>
      </c>
      <c r="I2218">
        <v>1</v>
      </c>
      <c r="J2218">
        <v>34</v>
      </c>
      <c r="K2218">
        <f t="shared" si="147"/>
        <v>94</v>
      </c>
      <c r="R2218" t="s">
        <v>1348</v>
      </c>
    </row>
    <row r="2219" spans="1:18" x14ac:dyDescent="0.25">
      <c r="A2219" t="s">
        <v>341</v>
      </c>
      <c r="B2219" s="4">
        <v>45929</v>
      </c>
      <c r="C2219" s="9">
        <f t="shared" si="144"/>
        <v>9</v>
      </c>
      <c r="D2219">
        <f t="shared" si="145"/>
        <v>2025</v>
      </c>
      <c r="E2219">
        <f t="shared" si="146"/>
        <v>1</v>
      </c>
      <c r="F2219" t="s">
        <v>948</v>
      </c>
      <c r="G2219" t="s">
        <v>101</v>
      </c>
      <c r="H2219" t="s">
        <v>912</v>
      </c>
      <c r="I2219">
        <v>1</v>
      </c>
      <c r="J2219">
        <v>25</v>
      </c>
      <c r="K2219">
        <f t="shared" si="147"/>
        <v>85</v>
      </c>
      <c r="R2219" t="s">
        <v>1348</v>
      </c>
    </row>
    <row r="2220" spans="1:18" x14ac:dyDescent="0.25">
      <c r="A2220" t="s">
        <v>341</v>
      </c>
      <c r="B2220" s="4">
        <v>45932</v>
      </c>
      <c r="C2220" s="9">
        <f t="shared" si="144"/>
        <v>10</v>
      </c>
      <c r="D2220">
        <f t="shared" si="145"/>
        <v>2025</v>
      </c>
      <c r="E2220">
        <f t="shared" si="146"/>
        <v>1</v>
      </c>
      <c r="F2220" t="s">
        <v>948</v>
      </c>
      <c r="G2220" t="s">
        <v>101</v>
      </c>
      <c r="H2220" t="s">
        <v>153</v>
      </c>
      <c r="J2220">
        <v>55</v>
      </c>
      <c r="K2220">
        <f t="shared" si="147"/>
        <v>55</v>
      </c>
      <c r="R2220" t="s">
        <v>1348</v>
      </c>
    </row>
    <row r="2221" spans="1:18" x14ac:dyDescent="0.25">
      <c r="A2221" t="s">
        <v>341</v>
      </c>
      <c r="B2221" s="4">
        <v>45934</v>
      </c>
      <c r="C2221" s="9">
        <f t="shared" si="144"/>
        <v>10</v>
      </c>
      <c r="D2221">
        <f t="shared" si="145"/>
        <v>2025</v>
      </c>
      <c r="E2221">
        <f t="shared" si="146"/>
        <v>1</v>
      </c>
      <c r="F2221" t="s">
        <v>948</v>
      </c>
      <c r="G2221" t="s">
        <v>497</v>
      </c>
      <c r="H2221" t="s">
        <v>1261</v>
      </c>
      <c r="J2221">
        <v>32</v>
      </c>
      <c r="K2221">
        <f t="shared" si="147"/>
        <v>32</v>
      </c>
      <c r="L2221" t="s">
        <v>1260</v>
      </c>
      <c r="R2221" t="s">
        <v>1349</v>
      </c>
    </row>
    <row r="2222" spans="1:18" x14ac:dyDescent="0.25">
      <c r="A2222" t="s">
        <v>341</v>
      </c>
      <c r="B2222" s="4">
        <v>45936</v>
      </c>
      <c r="C2222" s="9">
        <f t="shared" si="144"/>
        <v>10</v>
      </c>
      <c r="D2222">
        <f t="shared" si="145"/>
        <v>2025</v>
      </c>
      <c r="E2222">
        <f t="shared" si="146"/>
        <v>1</v>
      </c>
      <c r="F2222" t="s">
        <v>948</v>
      </c>
      <c r="G2222" t="s">
        <v>1262</v>
      </c>
      <c r="H2222" t="s">
        <v>1263</v>
      </c>
      <c r="I2222">
        <v>1</v>
      </c>
      <c r="J2222">
        <v>36</v>
      </c>
      <c r="K2222">
        <f t="shared" si="147"/>
        <v>96</v>
      </c>
      <c r="L2222" t="s">
        <v>1260</v>
      </c>
      <c r="R2222" t="s">
        <v>1349</v>
      </c>
    </row>
    <row r="2223" spans="1:18" x14ac:dyDescent="0.25">
      <c r="A2223" t="s">
        <v>341</v>
      </c>
      <c r="B2223" s="4">
        <v>45936</v>
      </c>
      <c r="C2223" s="9">
        <f t="shared" si="144"/>
        <v>10</v>
      </c>
      <c r="D2223">
        <f t="shared" si="145"/>
        <v>2025</v>
      </c>
      <c r="E2223">
        <f t="shared" si="146"/>
        <v>0</v>
      </c>
      <c r="F2223" t="s">
        <v>948</v>
      </c>
      <c r="G2223" t="s">
        <v>1262</v>
      </c>
      <c r="H2223" t="s">
        <v>1263</v>
      </c>
      <c r="I2223">
        <v>1</v>
      </c>
      <c r="J2223">
        <v>13</v>
      </c>
      <c r="K2223">
        <f t="shared" si="147"/>
        <v>73</v>
      </c>
      <c r="L2223" t="s">
        <v>1260</v>
      </c>
      <c r="R2223" t="s">
        <v>1349</v>
      </c>
    </row>
    <row r="2224" spans="1:18" x14ac:dyDescent="0.25">
      <c r="A2224" t="s">
        <v>341</v>
      </c>
      <c r="B2224" s="4">
        <v>45937</v>
      </c>
      <c r="C2224" s="9">
        <f t="shared" si="144"/>
        <v>10</v>
      </c>
      <c r="D2224">
        <f t="shared" si="145"/>
        <v>2025</v>
      </c>
      <c r="E2224">
        <f t="shared" si="146"/>
        <v>1</v>
      </c>
      <c r="F2224" t="s">
        <v>948</v>
      </c>
      <c r="G2224" t="s">
        <v>1262</v>
      </c>
      <c r="H2224" t="s">
        <v>1263</v>
      </c>
      <c r="J2224">
        <v>48</v>
      </c>
      <c r="K2224">
        <f t="shared" si="147"/>
        <v>48</v>
      </c>
      <c r="L2224" t="s">
        <v>1260</v>
      </c>
      <c r="R2224" t="s">
        <v>1349</v>
      </c>
    </row>
    <row r="2225" spans="1:18" x14ac:dyDescent="0.25">
      <c r="A2225" t="s">
        <v>341</v>
      </c>
      <c r="B2225" s="4">
        <v>45937</v>
      </c>
      <c r="C2225" s="9">
        <f t="shared" si="144"/>
        <v>10</v>
      </c>
      <c r="D2225">
        <f t="shared" si="145"/>
        <v>2025</v>
      </c>
      <c r="E2225">
        <f t="shared" si="146"/>
        <v>0</v>
      </c>
      <c r="F2225" t="s">
        <v>948</v>
      </c>
      <c r="G2225" t="s">
        <v>1262</v>
      </c>
      <c r="H2225" t="s">
        <v>1263</v>
      </c>
      <c r="I2225">
        <v>1</v>
      </c>
      <c r="J2225">
        <v>32</v>
      </c>
      <c r="K2225">
        <f t="shared" si="147"/>
        <v>92</v>
      </c>
      <c r="L2225" t="s">
        <v>1260</v>
      </c>
      <c r="R2225" t="s">
        <v>1349</v>
      </c>
    </row>
    <row r="2226" spans="1:18" x14ac:dyDescent="0.25">
      <c r="A2226" t="s">
        <v>341</v>
      </c>
      <c r="B2226" s="4">
        <v>45938</v>
      </c>
      <c r="C2226" s="9">
        <f t="shared" si="144"/>
        <v>10</v>
      </c>
      <c r="D2226">
        <f t="shared" si="145"/>
        <v>2025</v>
      </c>
      <c r="E2226">
        <f t="shared" si="146"/>
        <v>1</v>
      </c>
      <c r="F2226" t="s">
        <v>948</v>
      </c>
      <c r="G2226" t="s">
        <v>1264</v>
      </c>
      <c r="H2226" t="s">
        <v>1264</v>
      </c>
      <c r="I2226">
        <v>1</v>
      </c>
      <c r="J2226">
        <v>1</v>
      </c>
      <c r="K2226">
        <f t="shared" si="147"/>
        <v>61</v>
      </c>
      <c r="L2226" t="s">
        <v>1260</v>
      </c>
      <c r="R2226" t="s">
        <v>1349</v>
      </c>
    </row>
    <row r="2227" spans="1:18" x14ac:dyDescent="0.25">
      <c r="A2227" t="s">
        <v>341</v>
      </c>
      <c r="B2227" s="4">
        <v>45938</v>
      </c>
      <c r="C2227" s="9">
        <f t="shared" si="144"/>
        <v>10</v>
      </c>
      <c r="D2227">
        <f t="shared" si="145"/>
        <v>2025</v>
      </c>
      <c r="E2227">
        <f t="shared" si="146"/>
        <v>0</v>
      </c>
      <c r="F2227" t="s">
        <v>948</v>
      </c>
      <c r="G2227" t="s">
        <v>1264</v>
      </c>
      <c r="H2227" t="s">
        <v>1264</v>
      </c>
      <c r="I2227">
        <v>1</v>
      </c>
      <c r="J2227">
        <v>15</v>
      </c>
      <c r="K2227">
        <f t="shared" si="147"/>
        <v>75</v>
      </c>
      <c r="L2227" t="s">
        <v>1260</v>
      </c>
      <c r="R2227" t="s">
        <v>1349</v>
      </c>
    </row>
    <row r="2228" spans="1:18" x14ac:dyDescent="0.25">
      <c r="A2228" t="s">
        <v>341</v>
      </c>
      <c r="B2228" s="4">
        <v>45938</v>
      </c>
      <c r="C2228" s="9">
        <f t="shared" si="144"/>
        <v>10</v>
      </c>
      <c r="D2228">
        <f t="shared" si="145"/>
        <v>2025</v>
      </c>
      <c r="E2228">
        <f t="shared" si="146"/>
        <v>0</v>
      </c>
      <c r="F2228" t="s">
        <v>948</v>
      </c>
      <c r="G2228" t="s">
        <v>1264</v>
      </c>
      <c r="H2228" t="s">
        <v>1265</v>
      </c>
      <c r="J2228">
        <v>19</v>
      </c>
      <c r="K2228">
        <f t="shared" si="147"/>
        <v>19</v>
      </c>
      <c r="L2228" t="s">
        <v>1260</v>
      </c>
      <c r="R2228" t="s">
        <v>1349</v>
      </c>
    </row>
    <row r="2229" spans="1:18" x14ac:dyDescent="0.25">
      <c r="A2229" t="s">
        <v>341</v>
      </c>
      <c r="B2229" s="4">
        <v>45939</v>
      </c>
      <c r="C2229" s="9">
        <f t="shared" si="144"/>
        <v>10</v>
      </c>
      <c r="D2229">
        <f t="shared" si="145"/>
        <v>2025</v>
      </c>
      <c r="E2229">
        <f t="shared" si="146"/>
        <v>1</v>
      </c>
      <c r="F2229" t="s">
        <v>948</v>
      </c>
      <c r="G2229" t="s">
        <v>1264</v>
      </c>
      <c r="H2229" t="s">
        <v>1264</v>
      </c>
      <c r="I2229">
        <v>1</v>
      </c>
      <c r="J2229">
        <v>17</v>
      </c>
      <c r="K2229">
        <f t="shared" si="147"/>
        <v>77</v>
      </c>
      <c r="L2229" t="s">
        <v>1260</v>
      </c>
      <c r="R2229" t="s">
        <v>1349</v>
      </c>
    </row>
    <row r="2230" spans="1:18" x14ac:dyDescent="0.25">
      <c r="A2230" t="s">
        <v>341</v>
      </c>
      <c r="B2230" s="4">
        <v>45939</v>
      </c>
      <c r="C2230" s="9">
        <f t="shared" si="144"/>
        <v>10</v>
      </c>
      <c r="D2230">
        <f t="shared" si="145"/>
        <v>2025</v>
      </c>
      <c r="E2230">
        <f t="shared" si="146"/>
        <v>0</v>
      </c>
      <c r="F2230" t="s">
        <v>948</v>
      </c>
      <c r="G2230" t="s">
        <v>1264</v>
      </c>
      <c r="H2230" t="s">
        <v>1265</v>
      </c>
      <c r="J2230">
        <v>53</v>
      </c>
      <c r="K2230">
        <f t="shared" si="147"/>
        <v>53</v>
      </c>
      <c r="L2230" t="s">
        <v>1260</v>
      </c>
      <c r="R2230" t="s">
        <v>1349</v>
      </c>
    </row>
    <row r="2231" spans="1:18" x14ac:dyDescent="0.25">
      <c r="A2231" t="s">
        <v>341</v>
      </c>
      <c r="B2231" s="4">
        <v>45943</v>
      </c>
      <c r="C2231" s="9">
        <f t="shared" si="144"/>
        <v>10</v>
      </c>
      <c r="D2231">
        <f t="shared" si="145"/>
        <v>2025</v>
      </c>
      <c r="E2231">
        <f t="shared" si="146"/>
        <v>1</v>
      </c>
      <c r="F2231" t="s">
        <v>948</v>
      </c>
      <c r="G2231" t="s">
        <v>101</v>
      </c>
      <c r="H2231" t="s">
        <v>244</v>
      </c>
      <c r="I2231">
        <v>1</v>
      </c>
      <c r="J2231">
        <v>0</v>
      </c>
      <c r="K2231">
        <f t="shared" si="147"/>
        <v>60</v>
      </c>
      <c r="R2231" t="s">
        <v>1348</v>
      </c>
    </row>
    <row r="2232" spans="1:18" x14ac:dyDescent="0.25">
      <c r="A2232" t="s">
        <v>341</v>
      </c>
      <c r="B2232" s="4">
        <v>45944</v>
      </c>
      <c r="C2232" s="9">
        <f t="shared" si="144"/>
        <v>10</v>
      </c>
      <c r="D2232">
        <f t="shared" si="145"/>
        <v>2025</v>
      </c>
      <c r="E2232">
        <f t="shared" si="146"/>
        <v>1</v>
      </c>
      <c r="F2232" t="s">
        <v>948</v>
      </c>
      <c r="G2232" t="s">
        <v>1266</v>
      </c>
      <c r="H2232" t="s">
        <v>153</v>
      </c>
      <c r="I2232">
        <v>1</v>
      </c>
      <c r="J2232">
        <v>13</v>
      </c>
      <c r="K2232">
        <f t="shared" si="147"/>
        <v>73</v>
      </c>
      <c r="R2232" t="s">
        <v>1348</v>
      </c>
    </row>
    <row r="2233" spans="1:18" x14ac:dyDescent="0.25">
      <c r="A2233" t="s">
        <v>341</v>
      </c>
      <c r="B2233" s="4">
        <v>45945</v>
      </c>
      <c r="C2233" s="9">
        <f t="shared" si="144"/>
        <v>10</v>
      </c>
      <c r="D2233">
        <f t="shared" si="145"/>
        <v>2025</v>
      </c>
      <c r="E2233">
        <f t="shared" si="146"/>
        <v>1</v>
      </c>
      <c r="F2233" t="s">
        <v>948</v>
      </c>
      <c r="G2233" t="s">
        <v>1266</v>
      </c>
      <c r="H2233" t="s">
        <v>1267</v>
      </c>
      <c r="I2233">
        <v>1</v>
      </c>
      <c r="J2233">
        <v>57</v>
      </c>
      <c r="K2233">
        <f t="shared" si="147"/>
        <v>117</v>
      </c>
      <c r="R2233" t="s">
        <v>1348</v>
      </c>
    </row>
    <row r="2234" spans="1:18" x14ac:dyDescent="0.25">
      <c r="A2234" t="s">
        <v>341</v>
      </c>
      <c r="B2234" s="4">
        <v>45946</v>
      </c>
      <c r="C2234" s="9">
        <f t="shared" si="144"/>
        <v>10</v>
      </c>
      <c r="D2234">
        <f t="shared" si="145"/>
        <v>2025</v>
      </c>
      <c r="E2234">
        <f t="shared" si="146"/>
        <v>1</v>
      </c>
      <c r="F2234" t="s">
        <v>948</v>
      </c>
      <c r="G2234" t="s">
        <v>1266</v>
      </c>
      <c r="H2234" t="s">
        <v>153</v>
      </c>
      <c r="J2234">
        <v>57</v>
      </c>
      <c r="K2234">
        <f t="shared" si="147"/>
        <v>57</v>
      </c>
      <c r="R2234" t="s">
        <v>1348</v>
      </c>
    </row>
    <row r="2235" spans="1:18" x14ac:dyDescent="0.25">
      <c r="A2235" t="s">
        <v>341</v>
      </c>
      <c r="B2235" s="4">
        <v>45947</v>
      </c>
      <c r="C2235" s="9">
        <f t="shared" si="144"/>
        <v>10</v>
      </c>
      <c r="D2235">
        <f t="shared" si="145"/>
        <v>2025</v>
      </c>
      <c r="E2235">
        <f t="shared" si="146"/>
        <v>1</v>
      </c>
      <c r="F2235" t="s">
        <v>948</v>
      </c>
      <c r="G2235" t="s">
        <v>1266</v>
      </c>
      <c r="H2235" t="s">
        <v>153</v>
      </c>
      <c r="I2235">
        <v>1</v>
      </c>
      <c r="J2235">
        <v>14</v>
      </c>
      <c r="K2235">
        <f t="shared" si="147"/>
        <v>74</v>
      </c>
      <c r="R2235" t="s">
        <v>1348</v>
      </c>
    </row>
    <row r="2236" spans="1:18" x14ac:dyDescent="0.25">
      <c r="A2236" t="s">
        <v>341</v>
      </c>
      <c r="B2236" s="4">
        <v>45948</v>
      </c>
      <c r="C2236" s="9">
        <f t="shared" si="144"/>
        <v>10</v>
      </c>
      <c r="D2236">
        <f t="shared" si="145"/>
        <v>2025</v>
      </c>
      <c r="E2236">
        <f t="shared" si="146"/>
        <v>1</v>
      </c>
      <c r="F2236" t="s">
        <v>948</v>
      </c>
      <c r="G2236" t="s">
        <v>406</v>
      </c>
      <c r="H2236" t="s">
        <v>741</v>
      </c>
      <c r="I2236">
        <v>1</v>
      </c>
      <c r="J2236">
        <v>11</v>
      </c>
      <c r="K2236">
        <f t="shared" si="147"/>
        <v>71</v>
      </c>
      <c r="M2236" t="s">
        <v>1268</v>
      </c>
      <c r="R2236" t="s">
        <v>1348</v>
      </c>
    </row>
    <row r="2237" spans="1:18" x14ac:dyDescent="0.25">
      <c r="A2237" t="s">
        <v>341</v>
      </c>
      <c r="B2237" s="4">
        <v>45965</v>
      </c>
      <c r="C2237" s="9">
        <f t="shared" si="144"/>
        <v>11</v>
      </c>
      <c r="D2237">
        <f t="shared" si="145"/>
        <v>2025</v>
      </c>
      <c r="E2237">
        <f t="shared" si="146"/>
        <v>1</v>
      </c>
      <c r="F2237" t="s">
        <v>948</v>
      </c>
      <c r="G2237" t="s">
        <v>358</v>
      </c>
      <c r="H2237" t="s">
        <v>244</v>
      </c>
      <c r="I2237">
        <v>1</v>
      </c>
      <c r="J2237">
        <v>5</v>
      </c>
      <c r="K2237">
        <f t="shared" si="147"/>
        <v>65</v>
      </c>
      <c r="R2237" t="s">
        <v>1348</v>
      </c>
    </row>
    <row r="2238" spans="1:18" x14ac:dyDescent="0.25">
      <c r="A2238" t="s">
        <v>341</v>
      </c>
      <c r="B2238" s="4">
        <v>45969</v>
      </c>
      <c r="C2238" s="9">
        <f t="shared" si="144"/>
        <v>11</v>
      </c>
      <c r="D2238">
        <f t="shared" si="145"/>
        <v>2025</v>
      </c>
      <c r="E2238">
        <f t="shared" si="146"/>
        <v>1</v>
      </c>
      <c r="F2238" t="s">
        <v>948</v>
      </c>
      <c r="G2238" t="s">
        <v>358</v>
      </c>
      <c r="H2238" t="s">
        <v>244</v>
      </c>
      <c r="J2238">
        <v>26</v>
      </c>
      <c r="K2238">
        <f t="shared" si="147"/>
        <v>26</v>
      </c>
      <c r="R2238" t="s">
        <v>1348</v>
      </c>
    </row>
    <row r="2239" spans="1:18" x14ac:dyDescent="0.25">
      <c r="A2239" t="s">
        <v>341</v>
      </c>
      <c r="B2239" s="4">
        <v>45971</v>
      </c>
      <c r="C2239" s="9">
        <f t="shared" si="144"/>
        <v>11</v>
      </c>
      <c r="D2239">
        <f t="shared" si="145"/>
        <v>2025</v>
      </c>
      <c r="E2239">
        <f t="shared" si="146"/>
        <v>1</v>
      </c>
      <c r="F2239" t="s">
        <v>948</v>
      </c>
      <c r="G2239" t="s">
        <v>101</v>
      </c>
      <c r="H2239" t="s">
        <v>912</v>
      </c>
      <c r="I2239">
        <v>1</v>
      </c>
      <c r="J2239">
        <v>10</v>
      </c>
      <c r="K2239">
        <f t="shared" si="147"/>
        <v>70</v>
      </c>
      <c r="R2239" t="s">
        <v>1348</v>
      </c>
    </row>
    <row r="2240" spans="1:18" x14ac:dyDescent="0.25">
      <c r="A2240" t="s">
        <v>341</v>
      </c>
      <c r="B2240" s="4">
        <v>45972</v>
      </c>
      <c r="C2240" s="9">
        <f t="shared" si="144"/>
        <v>11</v>
      </c>
      <c r="D2240">
        <f t="shared" si="145"/>
        <v>2025</v>
      </c>
      <c r="E2240">
        <f t="shared" si="146"/>
        <v>1</v>
      </c>
      <c r="F2240" t="s">
        <v>948</v>
      </c>
      <c r="G2240" t="s">
        <v>101</v>
      </c>
      <c r="H2240" t="s">
        <v>244</v>
      </c>
      <c r="J2240">
        <v>53</v>
      </c>
      <c r="K2240">
        <f t="shared" si="147"/>
        <v>53</v>
      </c>
      <c r="R2240" t="s">
        <v>1348</v>
      </c>
    </row>
    <row r="2241" spans="1:18" x14ac:dyDescent="0.25">
      <c r="A2241" t="s">
        <v>341</v>
      </c>
      <c r="B2241" s="4">
        <v>45973</v>
      </c>
      <c r="C2241" s="9">
        <f t="shared" si="144"/>
        <v>11</v>
      </c>
      <c r="D2241">
        <f t="shared" si="145"/>
        <v>2025</v>
      </c>
      <c r="E2241">
        <f t="shared" si="146"/>
        <v>1</v>
      </c>
      <c r="F2241" t="s">
        <v>948</v>
      </c>
      <c r="G2241" t="s">
        <v>101</v>
      </c>
      <c r="H2241" t="s">
        <v>244</v>
      </c>
      <c r="J2241">
        <v>38</v>
      </c>
      <c r="K2241">
        <f t="shared" si="147"/>
        <v>38</v>
      </c>
      <c r="R2241" t="s">
        <v>1348</v>
      </c>
    </row>
    <row r="2242" spans="1:18" x14ac:dyDescent="0.25">
      <c r="A2242" t="s">
        <v>341</v>
      </c>
      <c r="B2242" s="4">
        <v>46000</v>
      </c>
      <c r="C2242" s="9">
        <f t="shared" si="144"/>
        <v>12</v>
      </c>
      <c r="D2242">
        <f t="shared" si="145"/>
        <v>2025</v>
      </c>
      <c r="E2242">
        <f t="shared" si="146"/>
        <v>1</v>
      </c>
      <c r="F2242" t="s">
        <v>948</v>
      </c>
      <c r="G2242" t="s">
        <v>101</v>
      </c>
      <c r="H2242" t="s">
        <v>741</v>
      </c>
      <c r="I2242">
        <v>1</v>
      </c>
      <c r="J2242">
        <v>1</v>
      </c>
      <c r="K2242">
        <f t="shared" si="147"/>
        <v>61</v>
      </c>
      <c r="R2242" t="s">
        <v>1348</v>
      </c>
    </row>
    <row r="2243" spans="1:18" x14ac:dyDescent="0.25">
      <c r="A2243" t="s">
        <v>341</v>
      </c>
      <c r="B2243" s="4">
        <v>46003</v>
      </c>
      <c r="C2243" s="9">
        <f t="shared" si="144"/>
        <v>12</v>
      </c>
      <c r="D2243">
        <f t="shared" si="145"/>
        <v>2025</v>
      </c>
      <c r="E2243">
        <f t="shared" si="146"/>
        <v>1</v>
      </c>
      <c r="F2243" t="s">
        <v>948</v>
      </c>
      <c r="G2243" t="s">
        <v>101</v>
      </c>
      <c r="H2243" t="s">
        <v>244</v>
      </c>
      <c r="I2243">
        <v>1</v>
      </c>
      <c r="J2243">
        <v>4</v>
      </c>
      <c r="K2243">
        <f t="shared" si="147"/>
        <v>64</v>
      </c>
      <c r="R2243" t="s">
        <v>1348</v>
      </c>
    </row>
    <row r="2244" spans="1:18" x14ac:dyDescent="0.25">
      <c r="A2244" t="s">
        <v>341</v>
      </c>
      <c r="B2244" s="4">
        <v>46004</v>
      </c>
      <c r="C2244" s="9">
        <f t="shared" si="144"/>
        <v>12</v>
      </c>
      <c r="D2244">
        <f t="shared" si="145"/>
        <v>2025</v>
      </c>
      <c r="E2244">
        <f t="shared" si="146"/>
        <v>1</v>
      </c>
      <c r="F2244" t="s">
        <v>948</v>
      </c>
      <c r="G2244" t="s">
        <v>101</v>
      </c>
      <c r="H2244" t="s">
        <v>741</v>
      </c>
      <c r="J2244">
        <v>38</v>
      </c>
      <c r="K2244">
        <f t="shared" si="147"/>
        <v>38</v>
      </c>
      <c r="R2244" t="s">
        <v>1348</v>
      </c>
    </row>
    <row r="2245" spans="1:18" x14ac:dyDescent="0.25">
      <c r="A2245" t="s">
        <v>341</v>
      </c>
      <c r="B2245" s="4">
        <v>46005</v>
      </c>
      <c r="C2245" s="9">
        <f t="shared" si="144"/>
        <v>12</v>
      </c>
      <c r="D2245">
        <f t="shared" si="145"/>
        <v>2025</v>
      </c>
      <c r="E2245">
        <f t="shared" si="146"/>
        <v>1</v>
      </c>
      <c r="F2245" t="s">
        <v>948</v>
      </c>
      <c r="G2245" t="s">
        <v>101</v>
      </c>
      <c r="H2245" t="s">
        <v>912</v>
      </c>
      <c r="I2245">
        <v>1</v>
      </c>
      <c r="J2245">
        <v>38</v>
      </c>
      <c r="K2245">
        <f t="shared" si="147"/>
        <v>98</v>
      </c>
      <c r="R2245" t="s">
        <v>1348</v>
      </c>
    </row>
    <row r="2246" spans="1:18" x14ac:dyDescent="0.25">
      <c r="A2246" t="s">
        <v>341</v>
      </c>
      <c r="B2246" s="4">
        <v>46010</v>
      </c>
      <c r="C2246" s="9">
        <f t="shared" si="144"/>
        <v>12</v>
      </c>
      <c r="D2246">
        <f t="shared" si="145"/>
        <v>2025</v>
      </c>
      <c r="E2246">
        <f t="shared" si="146"/>
        <v>1</v>
      </c>
      <c r="F2246" t="s">
        <v>948</v>
      </c>
      <c r="G2246" t="s">
        <v>101</v>
      </c>
      <c r="H2246" t="s">
        <v>153</v>
      </c>
      <c r="I2246">
        <v>1</v>
      </c>
      <c r="J2246">
        <v>7</v>
      </c>
      <c r="K2246">
        <f t="shared" si="147"/>
        <v>67</v>
      </c>
      <c r="R2246" t="s">
        <v>1348</v>
      </c>
    </row>
    <row r="2247" spans="1:18" x14ac:dyDescent="0.25">
      <c r="A2247" t="s">
        <v>341</v>
      </c>
      <c r="B2247" s="4">
        <v>46017</v>
      </c>
      <c r="C2247" s="9">
        <f t="shared" si="144"/>
        <v>12</v>
      </c>
      <c r="D2247">
        <f t="shared" si="145"/>
        <v>2025</v>
      </c>
      <c r="E2247">
        <f t="shared" si="146"/>
        <v>1</v>
      </c>
      <c r="F2247" t="s">
        <v>948</v>
      </c>
      <c r="G2247" t="s">
        <v>1269</v>
      </c>
      <c r="H2247" t="s">
        <v>1270</v>
      </c>
      <c r="J2247">
        <v>32</v>
      </c>
      <c r="K2247">
        <f t="shared" si="147"/>
        <v>32</v>
      </c>
      <c r="L2247" t="s">
        <v>1271</v>
      </c>
      <c r="R2247" t="s">
        <v>1354</v>
      </c>
    </row>
    <row r="2248" spans="1:18" x14ac:dyDescent="0.25">
      <c r="A2248" t="s">
        <v>341</v>
      </c>
      <c r="B2248" s="4">
        <v>46018</v>
      </c>
      <c r="C2248" s="9">
        <f t="shared" si="144"/>
        <v>12</v>
      </c>
      <c r="D2248">
        <f t="shared" si="145"/>
        <v>2025</v>
      </c>
      <c r="E2248">
        <f t="shared" si="146"/>
        <v>1</v>
      </c>
      <c r="F2248" t="s">
        <v>948</v>
      </c>
      <c r="G2248" t="s">
        <v>1272</v>
      </c>
      <c r="H2248" t="s">
        <v>1107</v>
      </c>
      <c r="I2248">
        <v>1</v>
      </c>
      <c r="J2248">
        <v>28</v>
      </c>
      <c r="K2248">
        <f t="shared" si="147"/>
        <v>88</v>
      </c>
      <c r="L2248" t="s">
        <v>1271</v>
      </c>
      <c r="R2248" t="s">
        <v>1354</v>
      </c>
    </row>
    <row r="2249" spans="1:18" x14ac:dyDescent="0.25">
      <c r="A2249" t="s">
        <v>341</v>
      </c>
      <c r="B2249" s="4">
        <v>46019</v>
      </c>
      <c r="C2249" s="9">
        <f t="shared" si="144"/>
        <v>12</v>
      </c>
      <c r="D2249">
        <f t="shared" si="145"/>
        <v>2025</v>
      </c>
      <c r="E2249">
        <f t="shared" si="146"/>
        <v>1</v>
      </c>
      <c r="F2249" t="s">
        <v>948</v>
      </c>
      <c r="G2249" t="s">
        <v>1273</v>
      </c>
      <c r="H2249" t="s">
        <v>1273</v>
      </c>
      <c r="J2249">
        <v>52</v>
      </c>
      <c r="K2249">
        <f t="shared" si="147"/>
        <v>52</v>
      </c>
      <c r="L2249" t="s">
        <v>1271</v>
      </c>
      <c r="R2249" t="s">
        <v>1354</v>
      </c>
    </row>
    <row r="2250" spans="1:18" x14ac:dyDescent="0.25">
      <c r="A2250" t="s">
        <v>341</v>
      </c>
      <c r="B2250" s="4">
        <v>46020</v>
      </c>
      <c r="C2250" s="9">
        <f t="shared" si="144"/>
        <v>12</v>
      </c>
      <c r="D2250">
        <f t="shared" si="145"/>
        <v>2025</v>
      </c>
      <c r="E2250">
        <f t="shared" si="146"/>
        <v>1</v>
      </c>
      <c r="F2250" t="s">
        <v>948</v>
      </c>
      <c r="G2250" t="s">
        <v>659</v>
      </c>
      <c r="H2250" t="s">
        <v>659</v>
      </c>
      <c r="I2250">
        <v>1</v>
      </c>
      <c r="J2250">
        <v>33</v>
      </c>
      <c r="K2250">
        <f t="shared" si="147"/>
        <v>93</v>
      </c>
      <c r="L2250" t="s">
        <v>1271</v>
      </c>
      <c r="R2250" t="s">
        <v>1354</v>
      </c>
    </row>
    <row r="2251" spans="1:18" x14ac:dyDescent="0.25">
      <c r="A2251" t="s">
        <v>341</v>
      </c>
      <c r="B2251" s="4">
        <v>46021</v>
      </c>
      <c r="C2251" s="9">
        <f t="shared" si="144"/>
        <v>12</v>
      </c>
      <c r="D2251">
        <f t="shared" si="145"/>
        <v>2025</v>
      </c>
      <c r="E2251">
        <f t="shared" si="146"/>
        <v>1</v>
      </c>
      <c r="F2251" t="s">
        <v>948</v>
      </c>
      <c r="G2251" t="s">
        <v>1100</v>
      </c>
      <c r="H2251" t="s">
        <v>1274</v>
      </c>
      <c r="I2251">
        <v>1</v>
      </c>
      <c r="J2251">
        <v>31</v>
      </c>
      <c r="K2251">
        <f t="shared" si="147"/>
        <v>91</v>
      </c>
      <c r="L2251" t="s">
        <v>1271</v>
      </c>
      <c r="R2251" t="s">
        <v>1354</v>
      </c>
    </row>
    <row r="2252" spans="1:18" x14ac:dyDescent="0.25">
      <c r="A2252" t="s">
        <v>341</v>
      </c>
      <c r="B2252" s="4">
        <v>46022</v>
      </c>
      <c r="C2252" s="9">
        <f t="shared" si="144"/>
        <v>12</v>
      </c>
      <c r="D2252">
        <f t="shared" si="145"/>
        <v>2025</v>
      </c>
      <c r="E2252">
        <f t="shared" si="146"/>
        <v>1</v>
      </c>
      <c r="F2252" t="s">
        <v>948</v>
      </c>
      <c r="G2252" t="s">
        <v>1275</v>
      </c>
      <c r="H2252" t="s">
        <v>1276</v>
      </c>
      <c r="J2252">
        <v>58</v>
      </c>
      <c r="K2252">
        <f t="shared" si="147"/>
        <v>58</v>
      </c>
      <c r="L2252" t="s">
        <v>1271</v>
      </c>
      <c r="R2252" t="s">
        <v>1354</v>
      </c>
    </row>
    <row r="2253" spans="1:18" x14ac:dyDescent="0.25">
      <c r="A2253" t="s">
        <v>341</v>
      </c>
      <c r="B2253" s="4">
        <v>46023</v>
      </c>
      <c r="C2253" s="9">
        <f t="shared" si="144"/>
        <v>1</v>
      </c>
      <c r="D2253">
        <f t="shared" si="145"/>
        <v>2026</v>
      </c>
      <c r="E2253">
        <f t="shared" si="146"/>
        <v>1</v>
      </c>
      <c r="F2253" t="s">
        <v>948</v>
      </c>
      <c r="G2253" t="s">
        <v>1277</v>
      </c>
      <c r="H2253" t="s">
        <v>1277</v>
      </c>
      <c r="I2253">
        <v>1</v>
      </c>
      <c r="J2253">
        <v>27</v>
      </c>
      <c r="K2253">
        <f t="shared" si="147"/>
        <v>87</v>
      </c>
      <c r="L2253" t="s">
        <v>1271</v>
      </c>
      <c r="R2253" t="s">
        <v>1354</v>
      </c>
    </row>
    <row r="2254" spans="1:18" x14ac:dyDescent="0.25">
      <c r="A2254" t="s">
        <v>341</v>
      </c>
      <c r="B2254" s="4">
        <v>46024</v>
      </c>
      <c r="C2254" s="9">
        <f t="shared" si="144"/>
        <v>1</v>
      </c>
      <c r="D2254">
        <f t="shared" si="145"/>
        <v>2026</v>
      </c>
      <c r="E2254">
        <f t="shared" si="146"/>
        <v>1</v>
      </c>
      <c r="F2254" t="s">
        <v>948</v>
      </c>
      <c r="G2254" t="s">
        <v>1278</v>
      </c>
      <c r="H2254" t="s">
        <v>1279</v>
      </c>
      <c r="I2254">
        <v>1</v>
      </c>
      <c r="J2254">
        <v>23</v>
      </c>
      <c r="K2254">
        <f t="shared" si="147"/>
        <v>83</v>
      </c>
      <c r="L2254" t="s">
        <v>1271</v>
      </c>
      <c r="R2254" t="s">
        <v>1354</v>
      </c>
    </row>
    <row r="2255" spans="1:18" x14ac:dyDescent="0.25">
      <c r="A2255" t="s">
        <v>341</v>
      </c>
      <c r="B2255" s="4">
        <v>46026</v>
      </c>
      <c r="C2255" s="9">
        <f t="shared" ref="C2255:C2318" si="148">MONTH(B2255)</f>
        <v>1</v>
      </c>
      <c r="D2255">
        <f t="shared" ref="D2255:D2318" si="149">YEAR(B2255)</f>
        <v>2026</v>
      </c>
      <c r="E2255">
        <f t="shared" ref="E2255:E2318" si="150">IF(OR(A2255 = "GS",A2255 = "BP"),IF( OR(A2254="GS",A2254="BP"),IF(B2254=B2255,0,1),1),0)</f>
        <v>1</v>
      </c>
      <c r="F2255" t="s">
        <v>948</v>
      </c>
      <c r="G2255" t="s">
        <v>101</v>
      </c>
      <c r="H2255" t="s">
        <v>244</v>
      </c>
      <c r="J2255">
        <v>38</v>
      </c>
      <c r="K2255">
        <f t="shared" ref="K2255:K2318" si="151">I2255*60+J2255</f>
        <v>38</v>
      </c>
      <c r="R2255" t="s">
        <v>1348</v>
      </c>
    </row>
    <row r="2256" spans="1:18" x14ac:dyDescent="0.25">
      <c r="A2256" t="s">
        <v>341</v>
      </c>
      <c r="B2256" s="4">
        <v>46027</v>
      </c>
      <c r="C2256" s="9">
        <f t="shared" si="148"/>
        <v>1</v>
      </c>
      <c r="D2256">
        <f t="shared" si="149"/>
        <v>2026</v>
      </c>
      <c r="E2256">
        <f t="shared" si="150"/>
        <v>1</v>
      </c>
      <c r="F2256" t="s">
        <v>948</v>
      </c>
      <c r="G2256" t="s">
        <v>101</v>
      </c>
      <c r="H2256" t="s">
        <v>244</v>
      </c>
      <c r="I2256">
        <v>1</v>
      </c>
      <c r="J2256">
        <v>19</v>
      </c>
      <c r="K2256">
        <f t="shared" si="151"/>
        <v>79</v>
      </c>
      <c r="R2256" t="s">
        <v>1348</v>
      </c>
    </row>
    <row r="2257" spans="1:18" x14ac:dyDescent="0.25">
      <c r="A2257" t="s">
        <v>341</v>
      </c>
      <c r="B2257" s="4">
        <v>46028</v>
      </c>
      <c r="C2257" s="9">
        <f t="shared" si="148"/>
        <v>1</v>
      </c>
      <c r="D2257">
        <f t="shared" si="149"/>
        <v>2026</v>
      </c>
      <c r="E2257">
        <f t="shared" si="150"/>
        <v>1</v>
      </c>
      <c r="F2257" t="s">
        <v>948</v>
      </c>
      <c r="G2257" t="s">
        <v>101</v>
      </c>
      <c r="H2257" t="s">
        <v>153</v>
      </c>
      <c r="I2257">
        <v>1</v>
      </c>
      <c r="J2257">
        <v>21</v>
      </c>
      <c r="K2257">
        <f t="shared" si="151"/>
        <v>81</v>
      </c>
      <c r="R2257" t="s">
        <v>1348</v>
      </c>
    </row>
    <row r="2258" spans="1:18" x14ac:dyDescent="0.25">
      <c r="A2258" t="s">
        <v>341</v>
      </c>
      <c r="B2258" s="4">
        <v>46029</v>
      </c>
      <c r="C2258" s="9">
        <f t="shared" si="148"/>
        <v>1</v>
      </c>
      <c r="D2258">
        <f t="shared" si="149"/>
        <v>2026</v>
      </c>
      <c r="E2258">
        <f t="shared" si="150"/>
        <v>1</v>
      </c>
      <c r="F2258" t="s">
        <v>948</v>
      </c>
      <c r="G2258" t="s">
        <v>101</v>
      </c>
      <c r="H2258" t="s">
        <v>244</v>
      </c>
      <c r="I2258">
        <v>1</v>
      </c>
      <c r="J2258">
        <v>6</v>
      </c>
      <c r="K2258">
        <f t="shared" si="151"/>
        <v>66</v>
      </c>
      <c r="R2258" t="s">
        <v>1348</v>
      </c>
    </row>
    <row r="2259" spans="1:18" x14ac:dyDescent="0.25">
      <c r="A2259" t="s">
        <v>341</v>
      </c>
      <c r="B2259" s="4">
        <v>46037</v>
      </c>
      <c r="C2259" s="9">
        <f t="shared" si="148"/>
        <v>1</v>
      </c>
      <c r="D2259">
        <f t="shared" si="149"/>
        <v>2026</v>
      </c>
      <c r="E2259">
        <f t="shared" si="150"/>
        <v>1</v>
      </c>
      <c r="F2259" t="s">
        <v>948</v>
      </c>
      <c r="G2259" t="s">
        <v>101</v>
      </c>
      <c r="H2259" t="s">
        <v>153</v>
      </c>
      <c r="J2259">
        <v>39</v>
      </c>
      <c r="K2259">
        <f t="shared" si="151"/>
        <v>39</v>
      </c>
      <c r="R2259" t="s">
        <v>1348</v>
      </c>
    </row>
    <row r="2260" spans="1:18" x14ac:dyDescent="0.25">
      <c r="A2260" t="s">
        <v>341</v>
      </c>
      <c r="B2260" s="4">
        <v>46043</v>
      </c>
      <c r="C2260" s="9">
        <f t="shared" si="148"/>
        <v>1</v>
      </c>
      <c r="D2260">
        <f t="shared" si="149"/>
        <v>2026</v>
      </c>
      <c r="E2260">
        <f t="shared" si="150"/>
        <v>1</v>
      </c>
      <c r="F2260" t="s">
        <v>948</v>
      </c>
      <c r="G2260" t="s">
        <v>101</v>
      </c>
      <c r="H2260" t="s">
        <v>153</v>
      </c>
      <c r="I2260">
        <v>1</v>
      </c>
      <c r="J2260">
        <v>31</v>
      </c>
      <c r="K2260">
        <f t="shared" si="151"/>
        <v>91</v>
      </c>
      <c r="R2260" t="s">
        <v>1348</v>
      </c>
    </row>
    <row r="2261" spans="1:18" x14ac:dyDescent="0.25">
      <c r="A2261" t="s">
        <v>341</v>
      </c>
      <c r="B2261" s="4">
        <v>46044</v>
      </c>
      <c r="C2261" s="9">
        <f t="shared" si="148"/>
        <v>1</v>
      </c>
      <c r="D2261">
        <f t="shared" si="149"/>
        <v>2026</v>
      </c>
      <c r="E2261">
        <f t="shared" si="150"/>
        <v>1</v>
      </c>
      <c r="F2261" t="s">
        <v>948</v>
      </c>
      <c r="G2261" t="s">
        <v>101</v>
      </c>
      <c r="H2261" t="s">
        <v>244</v>
      </c>
      <c r="J2261">
        <v>40</v>
      </c>
      <c r="K2261">
        <f t="shared" si="151"/>
        <v>40</v>
      </c>
      <c r="R2261" t="s">
        <v>1348</v>
      </c>
    </row>
    <row r="2262" spans="1:18" x14ac:dyDescent="0.25">
      <c r="A2262" t="s">
        <v>341</v>
      </c>
      <c r="B2262" s="4">
        <v>46054</v>
      </c>
      <c r="C2262" s="9">
        <f t="shared" si="148"/>
        <v>2</v>
      </c>
      <c r="D2262">
        <f t="shared" si="149"/>
        <v>2026</v>
      </c>
      <c r="E2262">
        <f t="shared" si="150"/>
        <v>1</v>
      </c>
      <c r="F2262" t="s">
        <v>948</v>
      </c>
      <c r="G2262" t="s">
        <v>101</v>
      </c>
      <c r="H2262" t="s">
        <v>912</v>
      </c>
      <c r="I2262">
        <v>1</v>
      </c>
      <c r="J2262">
        <v>20</v>
      </c>
      <c r="K2262">
        <f t="shared" si="151"/>
        <v>80</v>
      </c>
      <c r="R2262" t="s">
        <v>1348</v>
      </c>
    </row>
    <row r="2263" spans="1:18" x14ac:dyDescent="0.25">
      <c r="A2263" t="s">
        <v>341</v>
      </c>
      <c r="B2263" s="4">
        <v>46058</v>
      </c>
      <c r="C2263" s="9">
        <f t="shared" si="148"/>
        <v>2</v>
      </c>
      <c r="D2263">
        <f t="shared" si="149"/>
        <v>2026</v>
      </c>
      <c r="E2263">
        <f t="shared" si="150"/>
        <v>1</v>
      </c>
      <c r="F2263" t="s">
        <v>948</v>
      </c>
      <c r="G2263" t="s">
        <v>101</v>
      </c>
      <c r="H2263" t="s">
        <v>153</v>
      </c>
      <c r="I2263">
        <v>2</v>
      </c>
      <c r="J2263">
        <v>18</v>
      </c>
      <c r="K2263">
        <f t="shared" si="151"/>
        <v>138</v>
      </c>
      <c r="R2263" t="s">
        <v>1348</v>
      </c>
    </row>
    <row r="2264" spans="1:18" x14ac:dyDescent="0.25">
      <c r="A2264" t="s">
        <v>341</v>
      </c>
      <c r="B2264" s="4">
        <v>46060</v>
      </c>
      <c r="C2264" s="9">
        <f t="shared" si="148"/>
        <v>2</v>
      </c>
      <c r="D2264">
        <f t="shared" si="149"/>
        <v>2026</v>
      </c>
      <c r="E2264">
        <f t="shared" si="150"/>
        <v>1</v>
      </c>
      <c r="F2264" t="s">
        <v>948</v>
      </c>
      <c r="G2264" t="s">
        <v>101</v>
      </c>
      <c r="H2264" t="s">
        <v>153</v>
      </c>
      <c r="I2264">
        <v>1</v>
      </c>
      <c r="J2264">
        <v>18</v>
      </c>
      <c r="K2264">
        <f t="shared" si="151"/>
        <v>78</v>
      </c>
      <c r="R2264" t="s">
        <v>1348</v>
      </c>
    </row>
    <row r="2265" spans="1:18" x14ac:dyDescent="0.25">
      <c r="A2265" t="s">
        <v>341</v>
      </c>
      <c r="B2265" s="4">
        <v>46061</v>
      </c>
      <c r="C2265" s="9">
        <f t="shared" si="148"/>
        <v>2</v>
      </c>
      <c r="D2265">
        <f t="shared" si="149"/>
        <v>2026</v>
      </c>
      <c r="E2265">
        <f t="shared" si="150"/>
        <v>1</v>
      </c>
      <c r="F2265" t="s">
        <v>1196</v>
      </c>
      <c r="G2265" t="s">
        <v>101</v>
      </c>
      <c r="H2265" t="s">
        <v>153</v>
      </c>
      <c r="I2265">
        <v>1</v>
      </c>
      <c r="J2265">
        <v>21</v>
      </c>
      <c r="K2265">
        <f t="shared" si="151"/>
        <v>81</v>
      </c>
      <c r="R2265" t="s">
        <v>1348</v>
      </c>
    </row>
    <row r="2266" spans="1:18" x14ac:dyDescent="0.25">
      <c r="A2266" t="s">
        <v>341</v>
      </c>
      <c r="B2266" s="4">
        <v>46062</v>
      </c>
      <c r="C2266" s="9">
        <f t="shared" si="148"/>
        <v>2</v>
      </c>
      <c r="D2266">
        <f t="shared" si="149"/>
        <v>2026</v>
      </c>
      <c r="E2266">
        <f t="shared" si="150"/>
        <v>1</v>
      </c>
      <c r="F2266" t="s">
        <v>1196</v>
      </c>
      <c r="G2266" t="s">
        <v>101</v>
      </c>
      <c r="H2266" t="s">
        <v>912</v>
      </c>
      <c r="I2266">
        <v>1</v>
      </c>
      <c r="J2266">
        <v>17</v>
      </c>
      <c r="K2266">
        <f t="shared" si="151"/>
        <v>77</v>
      </c>
      <c r="M2266" t="s">
        <v>1280</v>
      </c>
      <c r="R2266" t="s">
        <v>1348</v>
      </c>
    </row>
    <row r="2267" spans="1:18" x14ac:dyDescent="0.25">
      <c r="A2267" t="s">
        <v>341</v>
      </c>
      <c r="B2267" s="4">
        <v>46068</v>
      </c>
      <c r="C2267" s="9">
        <f t="shared" si="148"/>
        <v>2</v>
      </c>
      <c r="D2267">
        <f t="shared" si="149"/>
        <v>2026</v>
      </c>
      <c r="E2267">
        <f t="shared" si="150"/>
        <v>1</v>
      </c>
      <c r="F2267" t="s">
        <v>1196</v>
      </c>
      <c r="G2267" t="s">
        <v>493</v>
      </c>
      <c r="H2267" t="s">
        <v>493</v>
      </c>
      <c r="I2267">
        <v>1</v>
      </c>
      <c r="J2267">
        <v>34</v>
      </c>
      <c r="K2267">
        <f t="shared" si="151"/>
        <v>94</v>
      </c>
      <c r="L2267" t="s">
        <v>1287</v>
      </c>
      <c r="R2267" t="s">
        <v>1349</v>
      </c>
    </row>
    <row r="2268" spans="1:18" x14ac:dyDescent="0.25">
      <c r="A2268" t="s">
        <v>341</v>
      </c>
      <c r="B2268" s="4">
        <v>46068</v>
      </c>
      <c r="C2268" s="9">
        <f t="shared" si="148"/>
        <v>2</v>
      </c>
      <c r="D2268">
        <f t="shared" si="149"/>
        <v>2026</v>
      </c>
      <c r="E2268">
        <f t="shared" si="150"/>
        <v>0</v>
      </c>
      <c r="F2268" t="s">
        <v>1196</v>
      </c>
      <c r="G2268" t="s">
        <v>493</v>
      </c>
      <c r="H2268" t="s">
        <v>498</v>
      </c>
      <c r="J2268">
        <v>47</v>
      </c>
      <c r="K2268">
        <f t="shared" si="151"/>
        <v>47</v>
      </c>
      <c r="L2268" t="s">
        <v>1287</v>
      </c>
      <c r="R2268" t="s">
        <v>1349</v>
      </c>
    </row>
    <row r="2269" spans="1:18" x14ac:dyDescent="0.25">
      <c r="A2269" t="s">
        <v>341</v>
      </c>
      <c r="B2269" s="4">
        <v>46069</v>
      </c>
      <c r="C2269" s="9">
        <f t="shared" si="148"/>
        <v>2</v>
      </c>
      <c r="D2269">
        <f t="shared" si="149"/>
        <v>2026</v>
      </c>
      <c r="E2269">
        <f t="shared" si="150"/>
        <v>1</v>
      </c>
      <c r="F2269" t="s">
        <v>1196</v>
      </c>
      <c r="G2269" t="s">
        <v>1281</v>
      </c>
      <c r="H2269" t="s">
        <v>1282</v>
      </c>
      <c r="J2269">
        <v>10</v>
      </c>
      <c r="K2269">
        <f t="shared" si="151"/>
        <v>10</v>
      </c>
      <c r="L2269" t="s">
        <v>1287</v>
      </c>
      <c r="R2269" t="s">
        <v>1349</v>
      </c>
    </row>
    <row r="2270" spans="1:18" x14ac:dyDescent="0.25">
      <c r="A2270" t="s">
        <v>341</v>
      </c>
      <c r="B2270" s="4">
        <v>46071</v>
      </c>
      <c r="C2270" s="9">
        <f t="shared" si="148"/>
        <v>2</v>
      </c>
      <c r="D2270">
        <f t="shared" si="149"/>
        <v>2026</v>
      </c>
      <c r="E2270">
        <f t="shared" si="150"/>
        <v>1</v>
      </c>
      <c r="F2270" t="s">
        <v>1196</v>
      </c>
      <c r="G2270" t="s">
        <v>1283</v>
      </c>
      <c r="H2270" t="s">
        <v>1284</v>
      </c>
      <c r="I2270">
        <v>2</v>
      </c>
      <c r="J2270">
        <v>12</v>
      </c>
      <c r="K2270">
        <f t="shared" si="151"/>
        <v>132</v>
      </c>
      <c r="L2270" t="s">
        <v>1287</v>
      </c>
      <c r="R2270" t="s">
        <v>1349</v>
      </c>
    </row>
    <row r="2271" spans="1:18" x14ac:dyDescent="0.25">
      <c r="A2271" t="s">
        <v>341</v>
      </c>
      <c r="B2271" s="4">
        <v>46071</v>
      </c>
      <c r="C2271" s="9">
        <f t="shared" si="148"/>
        <v>2</v>
      </c>
      <c r="D2271">
        <f t="shared" si="149"/>
        <v>2026</v>
      </c>
      <c r="E2271">
        <f t="shared" si="150"/>
        <v>0</v>
      </c>
      <c r="F2271" t="s">
        <v>1196</v>
      </c>
      <c r="G2271" t="s">
        <v>1283</v>
      </c>
      <c r="H2271" t="s">
        <v>1284</v>
      </c>
      <c r="I2271">
        <v>1</v>
      </c>
      <c r="J2271">
        <v>13</v>
      </c>
      <c r="K2271">
        <f t="shared" si="151"/>
        <v>73</v>
      </c>
      <c r="L2271" t="s">
        <v>1287</v>
      </c>
      <c r="R2271" t="s">
        <v>1349</v>
      </c>
    </row>
    <row r="2272" spans="1:18" x14ac:dyDescent="0.25">
      <c r="A2272" t="s">
        <v>341</v>
      </c>
      <c r="B2272" s="4">
        <v>46073</v>
      </c>
      <c r="C2272" s="9">
        <f t="shared" si="148"/>
        <v>2</v>
      </c>
      <c r="D2272">
        <f t="shared" si="149"/>
        <v>2026</v>
      </c>
      <c r="E2272">
        <f t="shared" si="150"/>
        <v>1</v>
      </c>
      <c r="F2272" t="s">
        <v>1196</v>
      </c>
      <c r="G2272" t="s">
        <v>1285</v>
      </c>
      <c r="H2272" t="s">
        <v>1286</v>
      </c>
      <c r="I2272">
        <v>1</v>
      </c>
      <c r="J2272">
        <v>3</v>
      </c>
      <c r="K2272">
        <f t="shared" si="151"/>
        <v>63</v>
      </c>
      <c r="L2272" t="s">
        <v>1287</v>
      </c>
      <c r="R2272" t="s">
        <v>1349</v>
      </c>
    </row>
    <row r="2273" spans="1:18" x14ac:dyDescent="0.25">
      <c r="A2273" t="s">
        <v>341</v>
      </c>
      <c r="B2273" s="4">
        <v>46078</v>
      </c>
      <c r="C2273" s="9">
        <f t="shared" si="148"/>
        <v>2</v>
      </c>
      <c r="D2273">
        <f t="shared" si="149"/>
        <v>2026</v>
      </c>
      <c r="E2273">
        <f t="shared" si="150"/>
        <v>1</v>
      </c>
      <c r="F2273" t="s">
        <v>1288</v>
      </c>
      <c r="G2273" t="s">
        <v>101</v>
      </c>
      <c r="H2273" t="s">
        <v>153</v>
      </c>
      <c r="I2273">
        <v>1</v>
      </c>
      <c r="J2273">
        <v>18</v>
      </c>
      <c r="K2273">
        <f t="shared" si="151"/>
        <v>78</v>
      </c>
      <c r="R2273" t="s">
        <v>1348</v>
      </c>
    </row>
    <row r="2274" spans="1:18" x14ac:dyDescent="0.25">
      <c r="A2274" t="s">
        <v>341</v>
      </c>
      <c r="B2274" s="4">
        <v>46082</v>
      </c>
      <c r="C2274" s="9">
        <f t="shared" si="148"/>
        <v>3</v>
      </c>
      <c r="D2274">
        <f t="shared" si="149"/>
        <v>2026</v>
      </c>
      <c r="E2274">
        <f t="shared" si="150"/>
        <v>1</v>
      </c>
      <c r="F2274" t="s">
        <v>948</v>
      </c>
      <c r="G2274" t="s">
        <v>1290</v>
      </c>
      <c r="H2274" t="s">
        <v>1291</v>
      </c>
      <c r="J2274">
        <v>33</v>
      </c>
      <c r="K2274">
        <f t="shared" si="151"/>
        <v>33</v>
      </c>
      <c r="L2274" t="s">
        <v>1292</v>
      </c>
      <c r="R2274" t="s">
        <v>1360</v>
      </c>
    </row>
    <row r="2275" spans="1:18" x14ac:dyDescent="0.25">
      <c r="A2275" t="s">
        <v>341</v>
      </c>
      <c r="B2275" s="4">
        <v>46083</v>
      </c>
      <c r="C2275" s="9">
        <f t="shared" si="148"/>
        <v>3</v>
      </c>
      <c r="D2275">
        <f t="shared" si="149"/>
        <v>2026</v>
      </c>
      <c r="E2275">
        <f t="shared" si="150"/>
        <v>1</v>
      </c>
      <c r="F2275" t="s">
        <v>948</v>
      </c>
      <c r="G2275" t="s">
        <v>1290</v>
      </c>
      <c r="H2275" t="s">
        <v>1293</v>
      </c>
      <c r="I2275">
        <v>1</v>
      </c>
      <c r="J2275">
        <v>54</v>
      </c>
      <c r="K2275">
        <f t="shared" si="151"/>
        <v>114</v>
      </c>
      <c r="L2275" t="s">
        <v>1292</v>
      </c>
      <c r="R2275" t="s">
        <v>1360</v>
      </c>
    </row>
    <row r="2276" spans="1:18" x14ac:dyDescent="0.25">
      <c r="A2276" t="s">
        <v>341</v>
      </c>
      <c r="B2276" s="4">
        <v>46084</v>
      </c>
      <c r="C2276" s="9">
        <f t="shared" si="148"/>
        <v>3</v>
      </c>
      <c r="D2276">
        <f t="shared" si="149"/>
        <v>2026</v>
      </c>
      <c r="E2276">
        <f t="shared" si="150"/>
        <v>1</v>
      </c>
      <c r="F2276" t="s">
        <v>948</v>
      </c>
      <c r="G2276" t="s">
        <v>1294</v>
      </c>
      <c r="H2276" t="s">
        <v>1293</v>
      </c>
      <c r="J2276">
        <v>13</v>
      </c>
      <c r="K2276">
        <f t="shared" si="151"/>
        <v>13</v>
      </c>
      <c r="L2276" t="s">
        <v>1292</v>
      </c>
      <c r="R2276" t="s">
        <v>1360</v>
      </c>
    </row>
    <row r="2277" spans="1:18" x14ac:dyDescent="0.25">
      <c r="A2277" t="s">
        <v>341</v>
      </c>
      <c r="B2277" s="4">
        <v>46085</v>
      </c>
      <c r="C2277" s="9">
        <f t="shared" si="148"/>
        <v>3</v>
      </c>
      <c r="D2277">
        <f t="shared" si="149"/>
        <v>2026</v>
      </c>
      <c r="E2277">
        <f t="shared" si="150"/>
        <v>1</v>
      </c>
      <c r="F2277" t="s">
        <v>948</v>
      </c>
      <c r="G2277" t="s">
        <v>1290</v>
      </c>
      <c r="H2277" t="s">
        <v>1291</v>
      </c>
      <c r="I2277">
        <v>1</v>
      </c>
      <c r="J2277">
        <v>48</v>
      </c>
      <c r="K2277">
        <f t="shared" si="151"/>
        <v>108</v>
      </c>
      <c r="L2277" t="s">
        <v>1292</v>
      </c>
      <c r="R2277" t="s">
        <v>1360</v>
      </c>
    </row>
    <row r="2278" spans="1:18" x14ac:dyDescent="0.25">
      <c r="A2278" t="s">
        <v>341</v>
      </c>
      <c r="B2278" s="4">
        <v>46086</v>
      </c>
      <c r="C2278" s="9">
        <f t="shared" si="148"/>
        <v>3</v>
      </c>
      <c r="D2278">
        <f t="shared" si="149"/>
        <v>2026</v>
      </c>
      <c r="E2278">
        <f t="shared" si="150"/>
        <v>1</v>
      </c>
      <c r="F2278" t="s">
        <v>948</v>
      </c>
      <c r="G2278" t="s">
        <v>1295</v>
      </c>
      <c r="H2278" t="s">
        <v>1296</v>
      </c>
      <c r="J2278">
        <v>49</v>
      </c>
      <c r="K2278">
        <f t="shared" si="151"/>
        <v>49</v>
      </c>
      <c r="L2278" t="s">
        <v>1292</v>
      </c>
      <c r="R2278" t="s">
        <v>1360</v>
      </c>
    </row>
    <row r="2279" spans="1:18" x14ac:dyDescent="0.25">
      <c r="A2279" t="s">
        <v>341</v>
      </c>
      <c r="B2279" s="4">
        <v>46087</v>
      </c>
      <c r="C2279" s="9">
        <f t="shared" si="148"/>
        <v>3</v>
      </c>
      <c r="D2279">
        <f t="shared" si="149"/>
        <v>2026</v>
      </c>
      <c r="E2279">
        <f t="shared" si="150"/>
        <v>1</v>
      </c>
      <c r="F2279" t="s">
        <v>948</v>
      </c>
      <c r="G2279" t="s">
        <v>1297</v>
      </c>
      <c r="H2279" t="s">
        <v>1298</v>
      </c>
      <c r="I2279">
        <v>2</v>
      </c>
      <c r="J2279">
        <v>26</v>
      </c>
      <c r="K2279">
        <f t="shared" si="151"/>
        <v>146</v>
      </c>
      <c r="L2279" t="s">
        <v>1292</v>
      </c>
      <c r="R2279" t="s">
        <v>1360</v>
      </c>
    </row>
    <row r="2280" spans="1:18" x14ac:dyDescent="0.25">
      <c r="A2280" t="s">
        <v>341</v>
      </c>
      <c r="B2280" s="4">
        <v>46088</v>
      </c>
      <c r="C2280" s="9">
        <f t="shared" si="148"/>
        <v>3</v>
      </c>
      <c r="D2280">
        <f t="shared" si="149"/>
        <v>2026</v>
      </c>
      <c r="E2280">
        <f t="shared" si="150"/>
        <v>1</v>
      </c>
      <c r="F2280" t="s">
        <v>948</v>
      </c>
      <c r="G2280" t="s">
        <v>1297</v>
      </c>
      <c r="H2280" t="s">
        <v>1299</v>
      </c>
      <c r="I2280">
        <v>2</v>
      </c>
      <c r="J2280">
        <v>16</v>
      </c>
      <c r="K2280">
        <f t="shared" si="151"/>
        <v>136</v>
      </c>
      <c r="L2280" t="s">
        <v>1292</v>
      </c>
      <c r="R2280" t="s">
        <v>1360</v>
      </c>
    </row>
    <row r="2281" spans="1:18" x14ac:dyDescent="0.25">
      <c r="A2281" t="s">
        <v>341</v>
      </c>
      <c r="B2281" s="4">
        <v>46088</v>
      </c>
      <c r="C2281" s="9">
        <f t="shared" si="148"/>
        <v>3</v>
      </c>
      <c r="D2281">
        <f t="shared" si="149"/>
        <v>2026</v>
      </c>
      <c r="E2281">
        <f t="shared" si="150"/>
        <v>0</v>
      </c>
      <c r="F2281" t="s">
        <v>948</v>
      </c>
      <c r="G2281" t="s">
        <v>1297</v>
      </c>
      <c r="H2281" t="s">
        <v>1297</v>
      </c>
      <c r="J2281">
        <v>34</v>
      </c>
      <c r="K2281">
        <f t="shared" si="151"/>
        <v>34</v>
      </c>
      <c r="L2281" t="s">
        <v>1292</v>
      </c>
      <c r="R2281" t="s">
        <v>1360</v>
      </c>
    </row>
    <row r="2282" spans="1:18" x14ac:dyDescent="0.25">
      <c r="A2282" t="s">
        <v>341</v>
      </c>
      <c r="B2282" s="4">
        <v>46089</v>
      </c>
      <c r="C2282" s="9">
        <f t="shared" si="148"/>
        <v>3</v>
      </c>
      <c r="D2282">
        <f t="shared" si="149"/>
        <v>2026</v>
      </c>
      <c r="E2282">
        <f t="shared" si="150"/>
        <v>1</v>
      </c>
      <c r="F2282" t="s">
        <v>948</v>
      </c>
      <c r="G2282" t="s">
        <v>1295</v>
      </c>
      <c r="H2282" t="s">
        <v>1296</v>
      </c>
      <c r="I2282">
        <v>1</v>
      </c>
      <c r="J2282">
        <v>5</v>
      </c>
      <c r="K2282">
        <f t="shared" si="151"/>
        <v>65</v>
      </c>
      <c r="L2282" t="s">
        <v>1292</v>
      </c>
      <c r="R2282" t="s">
        <v>1360</v>
      </c>
    </row>
    <row r="2283" spans="1:18" x14ac:dyDescent="0.25">
      <c r="A2283" t="s">
        <v>341</v>
      </c>
      <c r="B2283" s="4">
        <v>46090</v>
      </c>
      <c r="C2283" s="9">
        <f t="shared" si="148"/>
        <v>3</v>
      </c>
      <c r="D2283">
        <f t="shared" si="149"/>
        <v>2026</v>
      </c>
      <c r="E2283">
        <f t="shared" si="150"/>
        <v>1</v>
      </c>
      <c r="F2283" t="s">
        <v>948</v>
      </c>
      <c r="G2283" t="s">
        <v>1295</v>
      </c>
      <c r="H2283" t="s">
        <v>1296</v>
      </c>
      <c r="I2283">
        <v>3</v>
      </c>
      <c r="J2283">
        <v>22</v>
      </c>
      <c r="K2283">
        <f t="shared" si="151"/>
        <v>202</v>
      </c>
      <c r="L2283" t="s">
        <v>1292</v>
      </c>
      <c r="R2283" t="s">
        <v>1360</v>
      </c>
    </row>
    <row r="2284" spans="1:18" x14ac:dyDescent="0.25">
      <c r="A2284" t="s">
        <v>341</v>
      </c>
      <c r="B2284" s="4">
        <v>46091</v>
      </c>
      <c r="C2284" s="9">
        <f t="shared" si="148"/>
        <v>3</v>
      </c>
      <c r="D2284">
        <f t="shared" si="149"/>
        <v>2026</v>
      </c>
      <c r="E2284">
        <f t="shared" si="150"/>
        <v>1</v>
      </c>
      <c r="F2284" t="s">
        <v>948</v>
      </c>
      <c r="G2284" t="s">
        <v>1295</v>
      </c>
      <c r="H2284" t="s">
        <v>1300</v>
      </c>
      <c r="I2284">
        <v>2</v>
      </c>
      <c r="J2284">
        <v>24</v>
      </c>
      <c r="K2284">
        <f t="shared" si="151"/>
        <v>144</v>
      </c>
      <c r="L2284" t="s">
        <v>1292</v>
      </c>
      <c r="R2284" t="s">
        <v>1360</v>
      </c>
    </row>
    <row r="2285" spans="1:18" x14ac:dyDescent="0.25">
      <c r="A2285" t="s">
        <v>341</v>
      </c>
      <c r="B2285" s="4">
        <v>46092</v>
      </c>
      <c r="C2285" s="9">
        <f t="shared" si="148"/>
        <v>3</v>
      </c>
      <c r="D2285">
        <f t="shared" si="149"/>
        <v>2026</v>
      </c>
      <c r="E2285">
        <f t="shared" si="150"/>
        <v>1</v>
      </c>
      <c r="F2285" t="s">
        <v>948</v>
      </c>
      <c r="G2285" t="s">
        <v>1301</v>
      </c>
      <c r="H2285" t="s">
        <v>1301</v>
      </c>
      <c r="I2285">
        <v>1</v>
      </c>
      <c r="J2285">
        <v>19</v>
      </c>
      <c r="K2285">
        <f t="shared" si="151"/>
        <v>79</v>
      </c>
      <c r="L2285" t="s">
        <v>1292</v>
      </c>
      <c r="R2285" t="s">
        <v>1360</v>
      </c>
    </row>
    <row r="2286" spans="1:18" x14ac:dyDescent="0.25">
      <c r="A2286" t="s">
        <v>341</v>
      </c>
      <c r="B2286" s="4">
        <v>46093</v>
      </c>
      <c r="C2286" s="9">
        <f t="shared" si="148"/>
        <v>3</v>
      </c>
      <c r="D2286">
        <f t="shared" si="149"/>
        <v>2026</v>
      </c>
      <c r="E2286">
        <f t="shared" si="150"/>
        <v>1</v>
      </c>
      <c r="F2286" t="s">
        <v>948</v>
      </c>
      <c r="G2286" t="s">
        <v>1302</v>
      </c>
      <c r="H2286" t="s">
        <v>1303</v>
      </c>
      <c r="J2286">
        <v>7</v>
      </c>
      <c r="K2286">
        <f t="shared" si="151"/>
        <v>7</v>
      </c>
      <c r="L2286" t="s">
        <v>1292</v>
      </c>
      <c r="R2286" t="s">
        <v>1360</v>
      </c>
    </row>
    <row r="2287" spans="1:18" x14ac:dyDescent="0.25">
      <c r="A2287" t="s">
        <v>341</v>
      </c>
      <c r="B2287" s="4">
        <v>46093</v>
      </c>
      <c r="C2287" s="9">
        <f t="shared" si="148"/>
        <v>3</v>
      </c>
      <c r="D2287">
        <f t="shared" si="149"/>
        <v>2026</v>
      </c>
      <c r="E2287">
        <f t="shared" si="150"/>
        <v>0</v>
      </c>
      <c r="F2287" t="s">
        <v>948</v>
      </c>
      <c r="G2287" t="s">
        <v>1302</v>
      </c>
      <c r="H2287" t="s">
        <v>1304</v>
      </c>
      <c r="J2287">
        <v>17</v>
      </c>
      <c r="K2287">
        <f t="shared" si="151"/>
        <v>17</v>
      </c>
      <c r="L2287" t="s">
        <v>1292</v>
      </c>
      <c r="R2287" t="s">
        <v>1360</v>
      </c>
    </row>
    <row r="2288" spans="1:18" x14ac:dyDescent="0.25">
      <c r="A2288" t="s">
        <v>341</v>
      </c>
      <c r="B2288" s="4">
        <v>46094</v>
      </c>
      <c r="C2288" s="9">
        <f t="shared" si="148"/>
        <v>3</v>
      </c>
      <c r="D2288">
        <f t="shared" si="149"/>
        <v>2026</v>
      </c>
      <c r="E2288">
        <f t="shared" si="150"/>
        <v>1</v>
      </c>
      <c r="F2288" t="s">
        <v>948</v>
      </c>
      <c r="G2288" t="s">
        <v>1305</v>
      </c>
      <c r="H2288" t="s">
        <v>1306</v>
      </c>
      <c r="I2288">
        <v>1</v>
      </c>
      <c r="J2288">
        <v>0</v>
      </c>
      <c r="K2288">
        <f t="shared" si="151"/>
        <v>60</v>
      </c>
      <c r="L2288" t="s">
        <v>1292</v>
      </c>
      <c r="R2288" t="s">
        <v>1360</v>
      </c>
    </row>
    <row r="2289" spans="1:18" x14ac:dyDescent="0.25">
      <c r="A2289" t="s">
        <v>341</v>
      </c>
      <c r="B2289" s="4">
        <v>46100</v>
      </c>
      <c r="C2289" s="9">
        <f t="shared" si="148"/>
        <v>3</v>
      </c>
      <c r="D2289">
        <f t="shared" si="149"/>
        <v>2026</v>
      </c>
      <c r="E2289">
        <f t="shared" si="150"/>
        <v>1</v>
      </c>
      <c r="F2289" t="s">
        <v>1288</v>
      </c>
      <c r="G2289" t="s">
        <v>101</v>
      </c>
      <c r="H2289" t="s">
        <v>153</v>
      </c>
      <c r="J2289">
        <v>58</v>
      </c>
      <c r="K2289">
        <f t="shared" si="151"/>
        <v>58</v>
      </c>
      <c r="R2289" t="s">
        <v>1348</v>
      </c>
    </row>
    <row r="2290" spans="1:18" x14ac:dyDescent="0.25">
      <c r="A2290" t="s">
        <v>341</v>
      </c>
      <c r="B2290" s="4">
        <v>46101</v>
      </c>
      <c r="C2290" s="9">
        <f t="shared" si="148"/>
        <v>3</v>
      </c>
      <c r="D2290">
        <f t="shared" si="149"/>
        <v>2026</v>
      </c>
      <c r="E2290">
        <f t="shared" si="150"/>
        <v>1</v>
      </c>
      <c r="F2290" t="s">
        <v>1288</v>
      </c>
      <c r="G2290" t="s">
        <v>101</v>
      </c>
      <c r="H2290" t="s">
        <v>244</v>
      </c>
      <c r="I2290">
        <v>1</v>
      </c>
      <c r="J2290">
        <v>30</v>
      </c>
      <c r="K2290">
        <f t="shared" si="151"/>
        <v>90</v>
      </c>
      <c r="R2290" t="s">
        <v>1348</v>
      </c>
    </row>
    <row r="2291" spans="1:18" x14ac:dyDescent="0.25">
      <c r="A2291" t="s">
        <v>341</v>
      </c>
      <c r="B2291" s="4">
        <v>46104</v>
      </c>
      <c r="C2291" s="9">
        <f t="shared" si="148"/>
        <v>3</v>
      </c>
      <c r="D2291">
        <f t="shared" si="149"/>
        <v>2026</v>
      </c>
      <c r="E2291">
        <f t="shared" si="150"/>
        <v>1</v>
      </c>
      <c r="F2291" t="s">
        <v>1288</v>
      </c>
      <c r="G2291" t="s">
        <v>101</v>
      </c>
      <c r="H2291" t="s">
        <v>534</v>
      </c>
      <c r="J2291">
        <v>44</v>
      </c>
      <c r="K2291">
        <f t="shared" si="151"/>
        <v>44</v>
      </c>
      <c r="R2291" t="s">
        <v>1348</v>
      </c>
    </row>
    <row r="2292" spans="1:18" x14ac:dyDescent="0.25">
      <c r="A2292" t="s">
        <v>341</v>
      </c>
      <c r="B2292" s="4">
        <v>46105</v>
      </c>
      <c r="C2292" s="9">
        <f t="shared" si="148"/>
        <v>3</v>
      </c>
      <c r="D2292">
        <f t="shared" si="149"/>
        <v>2026</v>
      </c>
      <c r="E2292">
        <f t="shared" si="150"/>
        <v>1</v>
      </c>
      <c r="F2292" t="s">
        <v>1288</v>
      </c>
      <c r="G2292" t="s">
        <v>101</v>
      </c>
      <c r="H2292" t="s">
        <v>153</v>
      </c>
      <c r="I2292">
        <v>1</v>
      </c>
      <c r="J2292">
        <v>4</v>
      </c>
      <c r="K2292">
        <f t="shared" si="151"/>
        <v>64</v>
      </c>
      <c r="R2292" t="s">
        <v>1348</v>
      </c>
    </row>
    <row r="2293" spans="1:18" x14ac:dyDescent="0.25">
      <c r="A2293" t="s">
        <v>341</v>
      </c>
      <c r="B2293" s="4">
        <v>46114</v>
      </c>
      <c r="C2293" s="9">
        <f t="shared" si="148"/>
        <v>4</v>
      </c>
      <c r="D2293">
        <f t="shared" si="149"/>
        <v>2026</v>
      </c>
      <c r="E2293">
        <f t="shared" si="150"/>
        <v>1</v>
      </c>
      <c r="F2293" t="s">
        <v>1288</v>
      </c>
      <c r="G2293" t="s">
        <v>101</v>
      </c>
      <c r="H2293" t="s">
        <v>741</v>
      </c>
      <c r="J2293">
        <v>43</v>
      </c>
      <c r="K2293">
        <f t="shared" si="151"/>
        <v>43</v>
      </c>
      <c r="R2293" t="s">
        <v>1348</v>
      </c>
    </row>
    <row r="2294" spans="1:18" x14ac:dyDescent="0.25">
      <c r="A2294" t="s">
        <v>341</v>
      </c>
      <c r="B2294" s="4">
        <v>46115</v>
      </c>
      <c r="C2294" s="9">
        <f t="shared" si="148"/>
        <v>4</v>
      </c>
      <c r="D2294">
        <f t="shared" si="149"/>
        <v>2026</v>
      </c>
      <c r="E2294">
        <f t="shared" si="150"/>
        <v>1</v>
      </c>
      <c r="F2294" t="s">
        <v>1288</v>
      </c>
      <c r="G2294" t="s">
        <v>101</v>
      </c>
      <c r="H2294" t="s">
        <v>741</v>
      </c>
      <c r="J2294">
        <v>27</v>
      </c>
      <c r="K2294">
        <f t="shared" si="151"/>
        <v>27</v>
      </c>
      <c r="R2294" t="s">
        <v>1348</v>
      </c>
    </row>
    <row r="2295" spans="1:18" x14ac:dyDescent="0.25">
      <c r="A2295" t="s">
        <v>341</v>
      </c>
      <c r="B2295" s="4">
        <v>46116</v>
      </c>
      <c r="C2295" s="9">
        <f t="shared" si="148"/>
        <v>4</v>
      </c>
      <c r="D2295">
        <f t="shared" si="149"/>
        <v>2026</v>
      </c>
      <c r="E2295">
        <f t="shared" si="150"/>
        <v>1</v>
      </c>
      <c r="F2295" t="s">
        <v>1288</v>
      </c>
      <c r="G2295" t="s">
        <v>101</v>
      </c>
      <c r="H2295" t="s">
        <v>635</v>
      </c>
      <c r="J2295">
        <v>53</v>
      </c>
      <c r="K2295">
        <f t="shared" si="151"/>
        <v>53</v>
      </c>
      <c r="R2295" t="s">
        <v>1348</v>
      </c>
    </row>
    <row r="2296" spans="1:18" x14ac:dyDescent="0.25">
      <c r="A2296" t="s">
        <v>341</v>
      </c>
      <c r="B2296" s="4">
        <v>46118</v>
      </c>
      <c r="C2296" s="9">
        <f t="shared" si="148"/>
        <v>4</v>
      </c>
      <c r="D2296">
        <f t="shared" si="149"/>
        <v>2026</v>
      </c>
      <c r="E2296">
        <f t="shared" si="150"/>
        <v>1</v>
      </c>
      <c r="F2296" t="s">
        <v>1288</v>
      </c>
      <c r="G2296" t="s">
        <v>101</v>
      </c>
      <c r="H2296" t="s">
        <v>912</v>
      </c>
      <c r="J2296">
        <v>55</v>
      </c>
      <c r="K2296">
        <f t="shared" si="151"/>
        <v>55</v>
      </c>
      <c r="M2296" t="s">
        <v>1309</v>
      </c>
      <c r="R2296" t="s">
        <v>1348</v>
      </c>
    </row>
    <row r="2297" spans="1:18" x14ac:dyDescent="0.25">
      <c r="A2297" t="s">
        <v>341</v>
      </c>
      <c r="B2297" s="4">
        <v>46119</v>
      </c>
      <c r="C2297" s="9">
        <f t="shared" si="148"/>
        <v>4</v>
      </c>
      <c r="D2297">
        <f t="shared" si="149"/>
        <v>2026</v>
      </c>
      <c r="E2297">
        <f t="shared" si="150"/>
        <v>1</v>
      </c>
      <c r="F2297" t="s">
        <v>1288</v>
      </c>
      <c r="G2297" t="s">
        <v>101</v>
      </c>
      <c r="H2297" t="s">
        <v>741</v>
      </c>
      <c r="I2297">
        <v>2</v>
      </c>
      <c r="J2297">
        <v>0</v>
      </c>
      <c r="K2297">
        <f t="shared" si="151"/>
        <v>120</v>
      </c>
      <c r="R2297" t="s">
        <v>1348</v>
      </c>
    </row>
    <row r="2298" spans="1:18" x14ac:dyDescent="0.25">
      <c r="A2298" t="s">
        <v>341</v>
      </c>
      <c r="B2298" s="4">
        <v>46120</v>
      </c>
      <c r="C2298" s="9">
        <f t="shared" si="148"/>
        <v>4</v>
      </c>
      <c r="D2298">
        <f t="shared" si="149"/>
        <v>2026</v>
      </c>
      <c r="E2298">
        <f t="shared" si="150"/>
        <v>1</v>
      </c>
      <c r="F2298" t="s">
        <v>1288</v>
      </c>
      <c r="G2298" t="s">
        <v>101</v>
      </c>
      <c r="H2298" t="s">
        <v>741</v>
      </c>
      <c r="I2298">
        <v>2</v>
      </c>
      <c r="J2298">
        <v>20</v>
      </c>
      <c r="K2298">
        <f t="shared" si="151"/>
        <v>140</v>
      </c>
      <c r="R2298" t="s">
        <v>1348</v>
      </c>
    </row>
    <row r="2299" spans="1:18" x14ac:dyDescent="0.25">
      <c r="A2299" t="s">
        <v>341</v>
      </c>
      <c r="B2299" s="4">
        <v>46122</v>
      </c>
      <c r="C2299" s="9">
        <f t="shared" si="148"/>
        <v>4</v>
      </c>
      <c r="D2299">
        <f t="shared" si="149"/>
        <v>2026</v>
      </c>
      <c r="E2299">
        <f t="shared" si="150"/>
        <v>1</v>
      </c>
      <c r="F2299" t="s">
        <v>1288</v>
      </c>
      <c r="G2299" t="s">
        <v>1311</v>
      </c>
      <c r="H2299" t="s">
        <v>1311</v>
      </c>
      <c r="J2299">
        <v>11</v>
      </c>
      <c r="K2299">
        <f t="shared" si="151"/>
        <v>11</v>
      </c>
      <c r="L2299" t="s">
        <v>1312</v>
      </c>
      <c r="R2299" t="s">
        <v>1349</v>
      </c>
    </row>
    <row r="2300" spans="1:18" x14ac:dyDescent="0.25">
      <c r="A2300" t="s">
        <v>341</v>
      </c>
      <c r="B2300" s="4">
        <v>46122</v>
      </c>
      <c r="C2300" s="9">
        <f t="shared" si="148"/>
        <v>4</v>
      </c>
      <c r="D2300">
        <f t="shared" si="149"/>
        <v>2026</v>
      </c>
      <c r="E2300">
        <f t="shared" si="150"/>
        <v>0</v>
      </c>
      <c r="F2300" t="s">
        <v>1288</v>
      </c>
      <c r="G2300" t="s">
        <v>1311</v>
      </c>
      <c r="H2300" t="s">
        <v>1311</v>
      </c>
      <c r="J2300">
        <v>12</v>
      </c>
      <c r="K2300">
        <f t="shared" si="151"/>
        <v>12</v>
      </c>
      <c r="L2300" t="s">
        <v>1312</v>
      </c>
      <c r="R2300" t="s">
        <v>1349</v>
      </c>
    </row>
    <row r="2301" spans="1:18" x14ac:dyDescent="0.25">
      <c r="A2301" t="s">
        <v>341</v>
      </c>
      <c r="B2301" s="4">
        <v>46122</v>
      </c>
      <c r="C2301" s="9">
        <f t="shared" si="148"/>
        <v>4</v>
      </c>
      <c r="D2301">
        <f t="shared" si="149"/>
        <v>2026</v>
      </c>
      <c r="E2301">
        <f t="shared" si="150"/>
        <v>0</v>
      </c>
      <c r="F2301" t="s">
        <v>1288</v>
      </c>
      <c r="G2301" t="s">
        <v>1311</v>
      </c>
      <c r="H2301" t="s">
        <v>1310</v>
      </c>
      <c r="J2301">
        <v>37</v>
      </c>
      <c r="K2301">
        <f t="shared" si="151"/>
        <v>37</v>
      </c>
      <c r="L2301" t="s">
        <v>1312</v>
      </c>
      <c r="R2301" t="s">
        <v>1349</v>
      </c>
    </row>
    <row r="2302" spans="1:18" x14ac:dyDescent="0.25">
      <c r="A2302" t="s">
        <v>341</v>
      </c>
      <c r="B2302" s="4">
        <v>46123</v>
      </c>
      <c r="C2302" s="9">
        <f t="shared" si="148"/>
        <v>4</v>
      </c>
      <c r="D2302">
        <f t="shared" si="149"/>
        <v>2026</v>
      </c>
      <c r="E2302">
        <f t="shared" si="150"/>
        <v>1</v>
      </c>
      <c r="F2302" t="s">
        <v>1288</v>
      </c>
      <c r="G2302" t="s">
        <v>1118</v>
      </c>
      <c r="H2302" t="s">
        <v>1120</v>
      </c>
      <c r="J2302">
        <v>22</v>
      </c>
      <c r="K2302">
        <f t="shared" si="151"/>
        <v>22</v>
      </c>
      <c r="L2302" t="s">
        <v>1312</v>
      </c>
      <c r="R2302" t="s">
        <v>1349</v>
      </c>
    </row>
    <row r="2303" spans="1:18" x14ac:dyDescent="0.25">
      <c r="A2303" t="s">
        <v>341</v>
      </c>
      <c r="B2303" s="4">
        <v>46123</v>
      </c>
      <c r="C2303" s="9">
        <f t="shared" si="148"/>
        <v>4</v>
      </c>
      <c r="D2303">
        <f t="shared" si="149"/>
        <v>2026</v>
      </c>
      <c r="E2303">
        <f t="shared" si="150"/>
        <v>0</v>
      </c>
      <c r="F2303" t="s">
        <v>1288</v>
      </c>
      <c r="G2303" t="s">
        <v>1118</v>
      </c>
      <c r="H2303" t="s">
        <v>1120</v>
      </c>
      <c r="J2303">
        <v>21</v>
      </c>
      <c r="K2303">
        <f t="shared" si="151"/>
        <v>21</v>
      </c>
      <c r="L2303" t="s">
        <v>1312</v>
      </c>
      <c r="R2303" t="s">
        <v>1349</v>
      </c>
    </row>
    <row r="2304" spans="1:18" x14ac:dyDescent="0.25">
      <c r="A2304" t="s">
        <v>341</v>
      </c>
      <c r="B2304" s="4">
        <v>46124</v>
      </c>
      <c r="C2304" s="9">
        <f t="shared" si="148"/>
        <v>4</v>
      </c>
      <c r="D2304">
        <f t="shared" si="149"/>
        <v>2026</v>
      </c>
      <c r="E2304">
        <f t="shared" si="150"/>
        <v>1</v>
      </c>
      <c r="F2304" t="s">
        <v>1288</v>
      </c>
      <c r="G2304" t="s">
        <v>1122</v>
      </c>
      <c r="H2304" t="s">
        <v>1123</v>
      </c>
      <c r="J2304">
        <v>11</v>
      </c>
      <c r="K2304">
        <f t="shared" si="151"/>
        <v>11</v>
      </c>
      <c r="L2304" t="s">
        <v>1312</v>
      </c>
      <c r="R2304" t="s">
        <v>1349</v>
      </c>
    </row>
    <row r="2305" spans="1:18" x14ac:dyDescent="0.25">
      <c r="A2305" t="s">
        <v>341</v>
      </c>
      <c r="B2305" s="4">
        <v>46126</v>
      </c>
      <c r="C2305" s="9">
        <f t="shared" si="148"/>
        <v>4</v>
      </c>
      <c r="D2305">
        <f t="shared" si="149"/>
        <v>2026</v>
      </c>
      <c r="E2305">
        <f t="shared" si="150"/>
        <v>1</v>
      </c>
      <c r="F2305" t="s">
        <v>1288</v>
      </c>
      <c r="G2305" t="s">
        <v>1122</v>
      </c>
      <c r="H2305" t="s">
        <v>1313</v>
      </c>
      <c r="J2305">
        <v>51</v>
      </c>
      <c r="K2305">
        <f t="shared" si="151"/>
        <v>51</v>
      </c>
      <c r="L2305" t="s">
        <v>1312</v>
      </c>
      <c r="R2305" t="s">
        <v>1349</v>
      </c>
    </row>
    <row r="2306" spans="1:18" x14ac:dyDescent="0.25">
      <c r="A2306" t="s">
        <v>341</v>
      </c>
      <c r="B2306" s="4">
        <v>46128</v>
      </c>
      <c r="C2306" s="9">
        <f t="shared" si="148"/>
        <v>4</v>
      </c>
      <c r="D2306">
        <f t="shared" si="149"/>
        <v>2026</v>
      </c>
      <c r="E2306">
        <f t="shared" si="150"/>
        <v>1</v>
      </c>
      <c r="F2306" t="s">
        <v>1288</v>
      </c>
      <c r="G2306" t="s">
        <v>1129</v>
      </c>
      <c r="H2306" t="s">
        <v>1129</v>
      </c>
      <c r="J2306">
        <v>58</v>
      </c>
      <c r="K2306">
        <f t="shared" si="151"/>
        <v>58</v>
      </c>
      <c r="L2306" t="s">
        <v>1312</v>
      </c>
      <c r="R2306" t="s">
        <v>1349</v>
      </c>
    </row>
    <row r="2307" spans="1:18" x14ac:dyDescent="0.25">
      <c r="A2307" t="s">
        <v>341</v>
      </c>
      <c r="B2307" s="4">
        <v>46128</v>
      </c>
      <c r="C2307" s="9">
        <f t="shared" si="148"/>
        <v>4</v>
      </c>
      <c r="D2307">
        <f t="shared" si="149"/>
        <v>2026</v>
      </c>
      <c r="E2307">
        <f t="shared" si="150"/>
        <v>0</v>
      </c>
      <c r="F2307" t="s">
        <v>1288</v>
      </c>
      <c r="G2307" t="s">
        <v>1129</v>
      </c>
      <c r="H2307" t="s">
        <v>1228</v>
      </c>
      <c r="J2307">
        <v>35</v>
      </c>
      <c r="K2307">
        <f t="shared" si="151"/>
        <v>35</v>
      </c>
      <c r="L2307" t="s">
        <v>1312</v>
      </c>
      <c r="R2307" t="s">
        <v>1349</v>
      </c>
    </row>
    <row r="2308" spans="1:18" x14ac:dyDescent="0.25">
      <c r="A2308" t="s">
        <v>341</v>
      </c>
      <c r="B2308" s="4">
        <v>46129</v>
      </c>
      <c r="C2308" s="9">
        <f t="shared" si="148"/>
        <v>4</v>
      </c>
      <c r="D2308">
        <f t="shared" si="149"/>
        <v>2026</v>
      </c>
      <c r="E2308">
        <f t="shared" si="150"/>
        <v>1</v>
      </c>
      <c r="F2308" t="s">
        <v>1288</v>
      </c>
      <c r="G2308" t="s">
        <v>1129</v>
      </c>
      <c r="H2308" t="s">
        <v>1129</v>
      </c>
      <c r="J2308">
        <v>58</v>
      </c>
      <c r="K2308">
        <f t="shared" si="151"/>
        <v>58</v>
      </c>
      <c r="L2308" t="s">
        <v>1312</v>
      </c>
      <c r="R2308" t="s">
        <v>1349</v>
      </c>
    </row>
    <row r="2309" spans="1:18" x14ac:dyDescent="0.25">
      <c r="A2309" t="s">
        <v>341</v>
      </c>
      <c r="B2309" s="4">
        <v>46130</v>
      </c>
      <c r="C2309" s="9">
        <f t="shared" si="148"/>
        <v>4</v>
      </c>
      <c r="D2309">
        <f t="shared" si="149"/>
        <v>2026</v>
      </c>
      <c r="E2309">
        <f t="shared" si="150"/>
        <v>1</v>
      </c>
      <c r="F2309" t="s">
        <v>1288</v>
      </c>
      <c r="G2309" t="s">
        <v>1129</v>
      </c>
      <c r="H2309" t="s">
        <v>1129</v>
      </c>
      <c r="I2309">
        <v>1</v>
      </c>
      <c r="J2309">
        <v>55</v>
      </c>
      <c r="K2309">
        <f t="shared" si="151"/>
        <v>115</v>
      </c>
      <c r="L2309" t="s">
        <v>1322</v>
      </c>
      <c r="R2309" t="s">
        <v>1349</v>
      </c>
    </row>
    <row r="2310" spans="1:18" x14ac:dyDescent="0.25">
      <c r="A2310" t="s">
        <v>341</v>
      </c>
      <c r="B2310" s="4">
        <v>46130</v>
      </c>
      <c r="C2310" s="9">
        <f t="shared" si="148"/>
        <v>4</v>
      </c>
      <c r="D2310">
        <f t="shared" si="149"/>
        <v>2026</v>
      </c>
      <c r="E2310">
        <f t="shared" si="150"/>
        <v>0</v>
      </c>
      <c r="F2310" t="s">
        <v>1288</v>
      </c>
      <c r="G2310" t="s">
        <v>1129</v>
      </c>
      <c r="H2310" t="s">
        <v>1228</v>
      </c>
      <c r="I2310">
        <v>2</v>
      </c>
      <c r="J2310">
        <v>44</v>
      </c>
      <c r="K2310">
        <f t="shared" si="151"/>
        <v>164</v>
      </c>
      <c r="L2310" t="s">
        <v>1322</v>
      </c>
      <c r="R2310" t="s">
        <v>1349</v>
      </c>
    </row>
    <row r="2311" spans="1:18" x14ac:dyDescent="0.25">
      <c r="A2311" t="s">
        <v>341</v>
      </c>
      <c r="B2311" s="4">
        <v>46131</v>
      </c>
      <c r="C2311" s="9">
        <f t="shared" si="148"/>
        <v>4</v>
      </c>
      <c r="D2311">
        <f t="shared" si="149"/>
        <v>2026</v>
      </c>
      <c r="E2311">
        <f t="shared" si="150"/>
        <v>1</v>
      </c>
      <c r="F2311" t="s">
        <v>1288</v>
      </c>
      <c r="G2311" t="s">
        <v>1314</v>
      </c>
      <c r="H2311" t="s">
        <v>1315</v>
      </c>
      <c r="I2311">
        <v>2</v>
      </c>
      <c r="J2311">
        <v>17</v>
      </c>
      <c r="K2311">
        <f t="shared" si="151"/>
        <v>137</v>
      </c>
      <c r="L2311" t="s">
        <v>1322</v>
      </c>
      <c r="R2311" t="s">
        <v>1349</v>
      </c>
    </row>
    <row r="2312" spans="1:18" x14ac:dyDescent="0.25">
      <c r="A2312" t="s">
        <v>341</v>
      </c>
      <c r="B2312" s="4">
        <v>46132</v>
      </c>
      <c r="C2312" s="9">
        <f t="shared" si="148"/>
        <v>4</v>
      </c>
      <c r="D2312">
        <f t="shared" si="149"/>
        <v>2026</v>
      </c>
      <c r="E2312">
        <f t="shared" si="150"/>
        <v>1</v>
      </c>
      <c r="F2312" t="s">
        <v>1288</v>
      </c>
      <c r="G2312" t="s">
        <v>1316</v>
      </c>
      <c r="H2312" t="s">
        <v>1317</v>
      </c>
      <c r="I2312">
        <v>1</v>
      </c>
      <c r="J2312">
        <v>3</v>
      </c>
      <c r="K2312">
        <f t="shared" si="151"/>
        <v>63</v>
      </c>
      <c r="L2312" t="s">
        <v>1322</v>
      </c>
      <c r="R2312" t="s">
        <v>1349</v>
      </c>
    </row>
    <row r="2313" spans="1:18" x14ac:dyDescent="0.25">
      <c r="A2313" t="s">
        <v>341</v>
      </c>
      <c r="B2313" s="4">
        <v>46133</v>
      </c>
      <c r="C2313" s="9">
        <f t="shared" si="148"/>
        <v>4</v>
      </c>
      <c r="D2313">
        <f t="shared" si="149"/>
        <v>2026</v>
      </c>
      <c r="E2313">
        <f t="shared" si="150"/>
        <v>1</v>
      </c>
      <c r="F2313" t="s">
        <v>1288</v>
      </c>
      <c r="G2313" t="s">
        <v>1129</v>
      </c>
      <c r="H2313" t="s">
        <v>1129</v>
      </c>
      <c r="I2313">
        <v>1</v>
      </c>
      <c r="J2313">
        <v>41</v>
      </c>
      <c r="K2313">
        <f t="shared" si="151"/>
        <v>101</v>
      </c>
      <c r="L2313" t="s">
        <v>1322</v>
      </c>
      <c r="R2313" t="s">
        <v>1349</v>
      </c>
    </row>
    <row r="2314" spans="1:18" x14ac:dyDescent="0.25">
      <c r="A2314" t="s">
        <v>341</v>
      </c>
      <c r="B2314" s="4">
        <v>46133</v>
      </c>
      <c r="C2314" s="9">
        <f t="shared" si="148"/>
        <v>4</v>
      </c>
      <c r="D2314">
        <f t="shared" si="149"/>
        <v>2026</v>
      </c>
      <c r="E2314">
        <f t="shared" si="150"/>
        <v>0</v>
      </c>
      <c r="F2314" t="s">
        <v>1288</v>
      </c>
      <c r="G2314" t="s">
        <v>1129</v>
      </c>
      <c r="H2314" t="s">
        <v>1129</v>
      </c>
      <c r="I2314">
        <v>1</v>
      </c>
      <c r="J2314">
        <v>13</v>
      </c>
      <c r="K2314">
        <f t="shared" si="151"/>
        <v>73</v>
      </c>
      <c r="L2314" t="s">
        <v>1322</v>
      </c>
      <c r="R2314" t="s">
        <v>1349</v>
      </c>
    </row>
    <row r="2315" spans="1:18" x14ac:dyDescent="0.25">
      <c r="A2315" t="s">
        <v>341</v>
      </c>
      <c r="B2315" s="4">
        <v>46135</v>
      </c>
      <c r="C2315" s="9">
        <f t="shared" si="148"/>
        <v>4</v>
      </c>
      <c r="D2315">
        <f t="shared" si="149"/>
        <v>2026</v>
      </c>
      <c r="E2315">
        <f t="shared" si="150"/>
        <v>1</v>
      </c>
      <c r="F2315" t="s">
        <v>1288</v>
      </c>
      <c r="G2315" t="s">
        <v>1318</v>
      </c>
      <c r="H2315" t="s">
        <v>1319</v>
      </c>
      <c r="J2315">
        <v>53</v>
      </c>
      <c r="K2315">
        <f t="shared" si="151"/>
        <v>53</v>
      </c>
      <c r="L2315" t="s">
        <v>1322</v>
      </c>
      <c r="R2315" t="s">
        <v>1349</v>
      </c>
    </row>
    <row r="2316" spans="1:18" x14ac:dyDescent="0.25">
      <c r="A2316" t="s">
        <v>341</v>
      </c>
      <c r="B2316" s="4">
        <v>46136</v>
      </c>
      <c r="C2316" s="9">
        <f t="shared" si="148"/>
        <v>4</v>
      </c>
      <c r="D2316">
        <f t="shared" si="149"/>
        <v>2026</v>
      </c>
      <c r="E2316">
        <f t="shared" si="150"/>
        <v>1</v>
      </c>
      <c r="F2316" t="s">
        <v>1288</v>
      </c>
      <c r="G2316" t="s">
        <v>1320</v>
      </c>
      <c r="H2316" t="s">
        <v>1321</v>
      </c>
      <c r="I2316">
        <v>1</v>
      </c>
      <c r="J2316">
        <v>13</v>
      </c>
      <c r="K2316">
        <f t="shared" si="151"/>
        <v>73</v>
      </c>
      <c r="L2316" t="s">
        <v>1322</v>
      </c>
      <c r="R2316" t="s">
        <v>1349</v>
      </c>
    </row>
    <row r="2317" spans="1:18" x14ac:dyDescent="0.25">
      <c r="A2317" t="s">
        <v>341</v>
      </c>
      <c r="B2317" s="4">
        <v>46138</v>
      </c>
      <c r="C2317" s="9">
        <f t="shared" si="148"/>
        <v>4</v>
      </c>
      <c r="D2317">
        <f t="shared" si="149"/>
        <v>2026</v>
      </c>
      <c r="E2317">
        <f t="shared" si="150"/>
        <v>1</v>
      </c>
      <c r="F2317" t="s">
        <v>1288</v>
      </c>
      <c r="G2317" t="s">
        <v>101</v>
      </c>
      <c r="H2317" t="s">
        <v>741</v>
      </c>
      <c r="I2317">
        <v>1</v>
      </c>
      <c r="J2317">
        <v>31</v>
      </c>
      <c r="K2317">
        <f t="shared" si="151"/>
        <v>91</v>
      </c>
      <c r="R2317" t="s">
        <v>1348</v>
      </c>
    </row>
    <row r="2318" spans="1:18" x14ac:dyDescent="0.25">
      <c r="A2318" t="s">
        <v>341</v>
      </c>
      <c r="B2318" s="4">
        <v>46143</v>
      </c>
      <c r="C2318" s="9">
        <f t="shared" si="148"/>
        <v>5</v>
      </c>
      <c r="D2318">
        <f t="shared" si="149"/>
        <v>2026</v>
      </c>
      <c r="E2318">
        <f t="shared" si="150"/>
        <v>1</v>
      </c>
      <c r="F2318" t="s">
        <v>1288</v>
      </c>
      <c r="G2318" t="s">
        <v>101</v>
      </c>
      <c r="H2318" t="s">
        <v>741</v>
      </c>
      <c r="I2318">
        <v>2</v>
      </c>
      <c r="J2318">
        <v>9</v>
      </c>
      <c r="K2318">
        <f t="shared" si="151"/>
        <v>129</v>
      </c>
      <c r="R2318" t="s">
        <v>1348</v>
      </c>
    </row>
    <row r="2319" spans="1:18" x14ac:dyDescent="0.25">
      <c r="A2319" t="s">
        <v>341</v>
      </c>
      <c r="B2319" s="4">
        <v>46144</v>
      </c>
      <c r="C2319" s="9">
        <f t="shared" ref="C2319:C2382" si="152">MONTH(B2319)</f>
        <v>5</v>
      </c>
      <c r="D2319">
        <f t="shared" ref="D2319:D2382" si="153">YEAR(B2319)</f>
        <v>2026</v>
      </c>
      <c r="E2319">
        <f t="shared" ref="E2319:E2382" si="154">IF(OR(A2319 = "GS",A2319 = "BP"),IF( OR(A2318="GS",A2318="BP"),IF(B2318=B2319,0,1),1),0)</f>
        <v>1</v>
      </c>
      <c r="F2319" t="s">
        <v>1288</v>
      </c>
      <c r="G2319" t="s">
        <v>101</v>
      </c>
      <c r="H2319" t="s">
        <v>741</v>
      </c>
      <c r="I2319">
        <v>1</v>
      </c>
      <c r="J2319">
        <v>27</v>
      </c>
      <c r="K2319">
        <f t="shared" ref="K2319:K2382" si="155">I2319*60+J2319</f>
        <v>87</v>
      </c>
      <c r="R2319" t="s">
        <v>1348</v>
      </c>
    </row>
    <row r="2320" spans="1:18" x14ac:dyDescent="0.25">
      <c r="A2320" t="s">
        <v>341</v>
      </c>
      <c r="B2320" s="4">
        <v>46150</v>
      </c>
      <c r="C2320" s="9">
        <f t="shared" si="152"/>
        <v>5</v>
      </c>
      <c r="D2320">
        <f t="shared" si="153"/>
        <v>2026</v>
      </c>
      <c r="E2320">
        <f t="shared" si="154"/>
        <v>1</v>
      </c>
      <c r="F2320" t="s">
        <v>1288</v>
      </c>
      <c r="G2320" t="s">
        <v>101</v>
      </c>
      <c r="H2320" t="s">
        <v>741</v>
      </c>
      <c r="I2320">
        <v>1</v>
      </c>
      <c r="J2320">
        <v>12</v>
      </c>
      <c r="K2320">
        <f t="shared" si="155"/>
        <v>72</v>
      </c>
      <c r="R2320" t="s">
        <v>1348</v>
      </c>
    </row>
    <row r="2321" spans="1:18" x14ac:dyDescent="0.25">
      <c r="A2321" t="s">
        <v>341</v>
      </c>
      <c r="B2321" s="4">
        <v>46155</v>
      </c>
      <c r="C2321" s="9">
        <f t="shared" si="152"/>
        <v>5</v>
      </c>
      <c r="D2321">
        <f t="shared" si="153"/>
        <v>2026</v>
      </c>
      <c r="E2321">
        <f t="shared" si="154"/>
        <v>1</v>
      </c>
      <c r="F2321" t="s">
        <v>1288</v>
      </c>
      <c r="G2321" t="s">
        <v>101</v>
      </c>
      <c r="H2321" t="s">
        <v>689</v>
      </c>
      <c r="I2321">
        <v>1</v>
      </c>
      <c r="J2321">
        <v>3</v>
      </c>
      <c r="K2321">
        <f t="shared" si="155"/>
        <v>63</v>
      </c>
      <c r="R2321" t="s">
        <v>1348</v>
      </c>
    </row>
    <row r="2322" spans="1:18" x14ac:dyDescent="0.25">
      <c r="A2322" t="s">
        <v>341</v>
      </c>
      <c r="B2322" s="4">
        <v>46159</v>
      </c>
      <c r="C2322" s="9">
        <f t="shared" si="152"/>
        <v>5</v>
      </c>
      <c r="D2322">
        <f t="shared" si="153"/>
        <v>2026</v>
      </c>
      <c r="E2322">
        <f t="shared" si="154"/>
        <v>1</v>
      </c>
      <c r="F2322" t="s">
        <v>1288</v>
      </c>
      <c r="G2322" t="s">
        <v>101</v>
      </c>
      <c r="H2322" t="s">
        <v>741</v>
      </c>
      <c r="I2322">
        <v>1</v>
      </c>
      <c r="J2322">
        <v>18</v>
      </c>
      <c r="K2322">
        <f t="shared" si="155"/>
        <v>78</v>
      </c>
      <c r="M2322" t="s">
        <v>1323</v>
      </c>
      <c r="R2322" t="s">
        <v>1348</v>
      </c>
    </row>
    <row r="2323" spans="1:18" x14ac:dyDescent="0.25">
      <c r="A2323" t="s">
        <v>341</v>
      </c>
      <c r="B2323" s="4">
        <v>46161</v>
      </c>
      <c r="C2323" s="9">
        <f t="shared" si="152"/>
        <v>5</v>
      </c>
      <c r="D2323">
        <f t="shared" si="153"/>
        <v>2026</v>
      </c>
      <c r="E2323">
        <f t="shared" si="154"/>
        <v>1</v>
      </c>
      <c r="F2323" t="s">
        <v>1288</v>
      </c>
      <c r="G2323" t="s">
        <v>358</v>
      </c>
      <c r="H2323" t="s">
        <v>741</v>
      </c>
      <c r="I2323">
        <v>1</v>
      </c>
      <c r="J2323">
        <v>18</v>
      </c>
      <c r="K2323">
        <f t="shared" si="155"/>
        <v>78</v>
      </c>
      <c r="R2323" t="s">
        <v>1348</v>
      </c>
    </row>
    <row r="2324" spans="1:18" x14ac:dyDescent="0.25">
      <c r="A2324" t="s">
        <v>341</v>
      </c>
      <c r="B2324" s="4">
        <v>46163</v>
      </c>
      <c r="C2324" s="9">
        <f t="shared" si="152"/>
        <v>5</v>
      </c>
      <c r="D2324">
        <f t="shared" si="153"/>
        <v>2026</v>
      </c>
      <c r="E2324">
        <f t="shared" si="154"/>
        <v>1</v>
      </c>
      <c r="F2324" t="s">
        <v>1288</v>
      </c>
      <c r="G2324" t="s">
        <v>358</v>
      </c>
      <c r="H2324" t="s">
        <v>741</v>
      </c>
      <c r="I2324">
        <v>1</v>
      </c>
      <c r="J2324">
        <v>30</v>
      </c>
      <c r="K2324">
        <f t="shared" si="155"/>
        <v>90</v>
      </c>
      <c r="R2324" t="s">
        <v>1348</v>
      </c>
    </row>
    <row r="2325" spans="1:18" x14ac:dyDescent="0.25">
      <c r="A2325" t="s">
        <v>341</v>
      </c>
      <c r="B2325" s="4">
        <v>46164</v>
      </c>
      <c r="C2325" s="9">
        <f t="shared" si="152"/>
        <v>5</v>
      </c>
      <c r="D2325">
        <f t="shared" si="153"/>
        <v>2026</v>
      </c>
      <c r="E2325">
        <f t="shared" si="154"/>
        <v>1</v>
      </c>
      <c r="F2325" t="s">
        <v>1288</v>
      </c>
      <c r="G2325" t="s">
        <v>358</v>
      </c>
      <c r="H2325" t="s">
        <v>153</v>
      </c>
      <c r="I2325">
        <v>1</v>
      </c>
      <c r="J2325">
        <v>30</v>
      </c>
      <c r="K2325">
        <f t="shared" si="155"/>
        <v>90</v>
      </c>
      <c r="R2325" t="s">
        <v>1348</v>
      </c>
    </row>
    <row r="2326" spans="1:18" x14ac:dyDescent="0.25">
      <c r="A2326" t="s">
        <v>341</v>
      </c>
      <c r="B2326" s="4">
        <v>46165</v>
      </c>
      <c r="C2326" s="9">
        <f t="shared" si="152"/>
        <v>5</v>
      </c>
      <c r="D2326">
        <f t="shared" si="153"/>
        <v>2026</v>
      </c>
      <c r="E2326">
        <f t="shared" si="154"/>
        <v>1</v>
      </c>
      <c r="F2326" t="s">
        <v>1288</v>
      </c>
      <c r="G2326" t="s">
        <v>406</v>
      </c>
      <c r="H2326" t="s">
        <v>741</v>
      </c>
      <c r="I2326">
        <v>1</v>
      </c>
      <c r="J2326">
        <v>30</v>
      </c>
      <c r="K2326">
        <f t="shared" si="155"/>
        <v>90</v>
      </c>
      <c r="R2326" t="s">
        <v>1348</v>
      </c>
    </row>
    <row r="2327" spans="1:18" x14ac:dyDescent="0.25">
      <c r="A2327" t="s">
        <v>341</v>
      </c>
      <c r="B2327" s="4">
        <v>46166</v>
      </c>
      <c r="C2327" s="9">
        <f t="shared" si="152"/>
        <v>5</v>
      </c>
      <c r="D2327">
        <f t="shared" si="153"/>
        <v>2026</v>
      </c>
      <c r="E2327">
        <f t="shared" si="154"/>
        <v>1</v>
      </c>
      <c r="F2327" t="s">
        <v>1288</v>
      </c>
      <c r="G2327" t="s">
        <v>406</v>
      </c>
      <c r="H2327" t="s">
        <v>153</v>
      </c>
      <c r="I2327">
        <v>2</v>
      </c>
      <c r="J2327">
        <v>50</v>
      </c>
      <c r="K2327">
        <f t="shared" si="155"/>
        <v>170</v>
      </c>
      <c r="R2327" t="s">
        <v>1348</v>
      </c>
    </row>
    <row r="2328" spans="1:18" x14ac:dyDescent="0.25">
      <c r="A2328" t="s">
        <v>341</v>
      </c>
      <c r="B2328" s="4">
        <v>46167</v>
      </c>
      <c r="C2328" s="9">
        <f t="shared" si="152"/>
        <v>5</v>
      </c>
      <c r="D2328">
        <f t="shared" si="153"/>
        <v>2026</v>
      </c>
      <c r="E2328">
        <f t="shared" si="154"/>
        <v>1</v>
      </c>
      <c r="F2328" t="s">
        <v>1288</v>
      </c>
      <c r="G2328" t="s">
        <v>406</v>
      </c>
      <c r="H2328" t="s">
        <v>153</v>
      </c>
      <c r="I2328">
        <v>2</v>
      </c>
      <c r="J2328">
        <v>18</v>
      </c>
      <c r="K2328">
        <f t="shared" si="155"/>
        <v>138</v>
      </c>
      <c r="R2328" t="s">
        <v>1348</v>
      </c>
    </row>
    <row r="2329" spans="1:18" x14ac:dyDescent="0.25">
      <c r="A2329" t="s">
        <v>341</v>
      </c>
      <c r="B2329" s="4">
        <v>46168</v>
      </c>
      <c r="C2329" s="9">
        <f t="shared" si="152"/>
        <v>5</v>
      </c>
      <c r="D2329">
        <f t="shared" si="153"/>
        <v>2026</v>
      </c>
      <c r="E2329">
        <f t="shared" si="154"/>
        <v>1</v>
      </c>
      <c r="F2329" t="s">
        <v>1288</v>
      </c>
      <c r="G2329" t="s">
        <v>358</v>
      </c>
      <c r="H2329" t="s">
        <v>741</v>
      </c>
      <c r="I2329">
        <v>1</v>
      </c>
      <c r="J2329">
        <v>49</v>
      </c>
      <c r="K2329">
        <f t="shared" si="155"/>
        <v>109</v>
      </c>
      <c r="R2329" t="s">
        <v>1348</v>
      </c>
    </row>
    <row r="2330" spans="1:18" x14ac:dyDescent="0.25">
      <c r="A2330" t="s">
        <v>341</v>
      </c>
      <c r="B2330" s="4">
        <v>46169</v>
      </c>
      <c r="C2330" s="9">
        <f t="shared" si="152"/>
        <v>5</v>
      </c>
      <c r="D2330">
        <f t="shared" si="153"/>
        <v>2026</v>
      </c>
      <c r="E2330">
        <f t="shared" si="154"/>
        <v>1</v>
      </c>
      <c r="F2330" t="s">
        <v>1288</v>
      </c>
      <c r="G2330" t="s">
        <v>358</v>
      </c>
      <c r="H2330" t="s">
        <v>153</v>
      </c>
      <c r="I2330">
        <v>1</v>
      </c>
      <c r="J2330">
        <v>12</v>
      </c>
      <c r="K2330">
        <f t="shared" si="155"/>
        <v>72</v>
      </c>
      <c r="R2330" t="s">
        <v>1348</v>
      </c>
    </row>
    <row r="2331" spans="1:18" x14ac:dyDescent="0.25">
      <c r="A2331" t="s">
        <v>341</v>
      </c>
      <c r="B2331" s="4">
        <v>46171</v>
      </c>
      <c r="C2331" s="9">
        <f t="shared" si="152"/>
        <v>5</v>
      </c>
      <c r="D2331">
        <f t="shared" si="153"/>
        <v>2026</v>
      </c>
      <c r="E2331">
        <f t="shared" si="154"/>
        <v>1</v>
      </c>
      <c r="F2331" t="s">
        <v>1288</v>
      </c>
      <c r="G2331" t="s">
        <v>1283</v>
      </c>
      <c r="H2331" t="s">
        <v>1324</v>
      </c>
      <c r="I2331">
        <v>1</v>
      </c>
      <c r="J2331">
        <v>26</v>
      </c>
      <c r="K2331">
        <f t="shared" si="155"/>
        <v>86</v>
      </c>
      <c r="R2331" t="s">
        <v>1348</v>
      </c>
    </row>
    <row r="2332" spans="1:18" x14ac:dyDescent="0.25">
      <c r="A2332" t="s">
        <v>341</v>
      </c>
      <c r="B2332" s="4">
        <v>46172</v>
      </c>
      <c r="C2332" s="9">
        <f t="shared" si="152"/>
        <v>5</v>
      </c>
      <c r="D2332">
        <f t="shared" si="153"/>
        <v>2026</v>
      </c>
      <c r="E2332">
        <f t="shared" si="154"/>
        <v>1</v>
      </c>
      <c r="F2332" t="s">
        <v>1288</v>
      </c>
      <c r="G2332" t="s">
        <v>1325</v>
      </c>
      <c r="H2332" t="s">
        <v>1326</v>
      </c>
      <c r="I2332">
        <v>1</v>
      </c>
      <c r="J2332">
        <v>23</v>
      </c>
      <c r="K2332">
        <f t="shared" si="155"/>
        <v>83</v>
      </c>
      <c r="L2332" t="s">
        <v>1327</v>
      </c>
      <c r="R2332" t="s">
        <v>1349</v>
      </c>
    </row>
    <row r="2333" spans="1:18" x14ac:dyDescent="0.25">
      <c r="A2333" t="s">
        <v>341</v>
      </c>
      <c r="B2333" s="4">
        <v>46172</v>
      </c>
      <c r="C2333" s="9">
        <f t="shared" si="152"/>
        <v>5</v>
      </c>
      <c r="D2333">
        <f t="shared" si="153"/>
        <v>2026</v>
      </c>
      <c r="E2333">
        <f t="shared" si="154"/>
        <v>0</v>
      </c>
      <c r="F2333" t="s">
        <v>1288</v>
      </c>
      <c r="G2333" t="s">
        <v>1328</v>
      </c>
      <c r="H2333" t="s">
        <v>1329</v>
      </c>
      <c r="I2333">
        <v>1</v>
      </c>
      <c r="J2333">
        <v>23</v>
      </c>
      <c r="K2333">
        <f t="shared" si="155"/>
        <v>83</v>
      </c>
      <c r="L2333" t="s">
        <v>1327</v>
      </c>
      <c r="R2333" t="s">
        <v>1349</v>
      </c>
    </row>
    <row r="2334" spans="1:18" x14ac:dyDescent="0.25">
      <c r="A2334" t="s">
        <v>341</v>
      </c>
      <c r="B2334" s="4">
        <v>46173</v>
      </c>
      <c r="C2334" s="9">
        <f t="shared" si="152"/>
        <v>5</v>
      </c>
      <c r="D2334">
        <f t="shared" si="153"/>
        <v>2026</v>
      </c>
      <c r="E2334">
        <f t="shared" si="154"/>
        <v>1</v>
      </c>
      <c r="F2334" t="s">
        <v>1288</v>
      </c>
      <c r="G2334" t="s">
        <v>557</v>
      </c>
      <c r="H2334" t="s">
        <v>1330</v>
      </c>
      <c r="I2334">
        <v>1</v>
      </c>
      <c r="J2334">
        <v>11</v>
      </c>
      <c r="K2334">
        <f t="shared" si="155"/>
        <v>71</v>
      </c>
      <c r="L2334" t="s">
        <v>1327</v>
      </c>
      <c r="R2334" t="s">
        <v>1249</v>
      </c>
    </row>
    <row r="2335" spans="1:18" x14ac:dyDescent="0.25">
      <c r="A2335" t="s">
        <v>341</v>
      </c>
      <c r="B2335" s="4">
        <v>46174</v>
      </c>
      <c r="C2335" s="9">
        <f t="shared" si="152"/>
        <v>6</v>
      </c>
      <c r="D2335">
        <f t="shared" si="153"/>
        <v>2026</v>
      </c>
      <c r="E2335">
        <f t="shared" si="154"/>
        <v>1</v>
      </c>
      <c r="F2335" t="s">
        <v>1288</v>
      </c>
      <c r="G2335" t="s">
        <v>1328</v>
      </c>
      <c r="H2335" t="s">
        <v>1329</v>
      </c>
      <c r="J2335">
        <v>25</v>
      </c>
      <c r="K2335">
        <f t="shared" si="155"/>
        <v>25</v>
      </c>
      <c r="L2335" t="s">
        <v>1327</v>
      </c>
      <c r="R2335" t="s">
        <v>1349</v>
      </c>
    </row>
    <row r="2336" spans="1:18" x14ac:dyDescent="0.25">
      <c r="A2336" t="s">
        <v>341</v>
      </c>
      <c r="B2336" s="4">
        <v>46175</v>
      </c>
      <c r="C2336" s="9">
        <f t="shared" si="152"/>
        <v>6</v>
      </c>
      <c r="D2336">
        <f t="shared" si="153"/>
        <v>2026</v>
      </c>
      <c r="E2336">
        <f t="shared" si="154"/>
        <v>1</v>
      </c>
      <c r="F2336" t="s">
        <v>1288</v>
      </c>
      <c r="G2336" t="s">
        <v>1331</v>
      </c>
      <c r="H2336" t="s">
        <v>1332</v>
      </c>
      <c r="I2336">
        <v>1</v>
      </c>
      <c r="J2336">
        <v>39</v>
      </c>
      <c r="K2336">
        <f t="shared" si="155"/>
        <v>99</v>
      </c>
      <c r="L2336" t="s">
        <v>1327</v>
      </c>
      <c r="R2336" t="s">
        <v>1365</v>
      </c>
    </row>
    <row r="2337" spans="1:18" x14ac:dyDescent="0.25">
      <c r="A2337" t="s">
        <v>341</v>
      </c>
      <c r="B2337" s="4">
        <v>46175</v>
      </c>
      <c r="C2337" s="9">
        <f t="shared" si="152"/>
        <v>6</v>
      </c>
      <c r="D2337">
        <f t="shared" si="153"/>
        <v>2026</v>
      </c>
      <c r="E2337">
        <f t="shared" si="154"/>
        <v>0</v>
      </c>
      <c r="F2337" t="s">
        <v>1288</v>
      </c>
      <c r="G2337" t="s">
        <v>1331</v>
      </c>
      <c r="H2337" t="s">
        <v>1332</v>
      </c>
      <c r="I2337">
        <v>1</v>
      </c>
      <c r="J2337">
        <v>17</v>
      </c>
      <c r="K2337">
        <f t="shared" si="155"/>
        <v>77</v>
      </c>
      <c r="L2337" t="s">
        <v>1327</v>
      </c>
      <c r="R2337" t="s">
        <v>1365</v>
      </c>
    </row>
    <row r="2338" spans="1:18" x14ac:dyDescent="0.25">
      <c r="A2338" t="s">
        <v>341</v>
      </c>
      <c r="B2338" s="4">
        <v>46176</v>
      </c>
      <c r="C2338" s="9">
        <f t="shared" si="152"/>
        <v>6</v>
      </c>
      <c r="D2338">
        <f t="shared" si="153"/>
        <v>2026</v>
      </c>
      <c r="E2338">
        <f t="shared" si="154"/>
        <v>1</v>
      </c>
      <c r="F2338" t="s">
        <v>1288</v>
      </c>
      <c r="G2338" t="s">
        <v>1333</v>
      </c>
      <c r="H2338" t="s">
        <v>1334</v>
      </c>
      <c r="J2338">
        <v>17</v>
      </c>
      <c r="K2338">
        <f t="shared" si="155"/>
        <v>17</v>
      </c>
      <c r="L2338" t="s">
        <v>1327</v>
      </c>
      <c r="R2338" t="s">
        <v>1352</v>
      </c>
    </row>
    <row r="2339" spans="1:18" x14ac:dyDescent="0.25">
      <c r="A2339" t="s">
        <v>341</v>
      </c>
      <c r="B2339" s="4">
        <v>46177</v>
      </c>
      <c r="C2339" s="9">
        <f t="shared" si="152"/>
        <v>6</v>
      </c>
      <c r="D2339">
        <f t="shared" si="153"/>
        <v>2026</v>
      </c>
      <c r="E2339">
        <f t="shared" si="154"/>
        <v>1</v>
      </c>
      <c r="F2339" t="s">
        <v>1288</v>
      </c>
      <c r="G2339" t="s">
        <v>1333</v>
      </c>
      <c r="H2339" t="s">
        <v>1335</v>
      </c>
      <c r="I2339">
        <v>2</v>
      </c>
      <c r="J2339">
        <v>30</v>
      </c>
      <c r="K2339">
        <f t="shared" si="155"/>
        <v>150</v>
      </c>
      <c r="L2339" t="s">
        <v>1327</v>
      </c>
      <c r="R2339" t="s">
        <v>1352</v>
      </c>
    </row>
    <row r="2340" spans="1:18" x14ac:dyDescent="0.25">
      <c r="A2340" t="s">
        <v>341</v>
      </c>
      <c r="B2340" s="4">
        <v>46178</v>
      </c>
      <c r="C2340" s="9">
        <f t="shared" si="152"/>
        <v>6</v>
      </c>
      <c r="D2340">
        <f t="shared" si="153"/>
        <v>2026</v>
      </c>
      <c r="E2340">
        <f t="shared" si="154"/>
        <v>1</v>
      </c>
      <c r="F2340" t="s">
        <v>1288</v>
      </c>
      <c r="G2340" t="s">
        <v>1336</v>
      </c>
      <c r="H2340" t="s">
        <v>1337</v>
      </c>
      <c r="I2340">
        <v>1</v>
      </c>
      <c r="J2340">
        <v>54</v>
      </c>
      <c r="K2340">
        <f t="shared" si="155"/>
        <v>114</v>
      </c>
      <c r="L2340" t="s">
        <v>1327</v>
      </c>
      <c r="R2340" t="s">
        <v>1349</v>
      </c>
    </row>
    <row r="2341" spans="1:18" x14ac:dyDescent="0.25">
      <c r="A2341" t="s">
        <v>341</v>
      </c>
      <c r="B2341" s="4">
        <v>46179</v>
      </c>
      <c r="C2341" s="9">
        <f t="shared" si="152"/>
        <v>6</v>
      </c>
      <c r="D2341">
        <f t="shared" si="153"/>
        <v>2026</v>
      </c>
      <c r="E2341">
        <f t="shared" si="154"/>
        <v>1</v>
      </c>
      <c r="F2341" t="s">
        <v>1288</v>
      </c>
      <c r="G2341" t="s">
        <v>1338</v>
      </c>
      <c r="H2341" t="s">
        <v>1324</v>
      </c>
      <c r="I2341">
        <v>1</v>
      </c>
      <c r="J2341">
        <v>5</v>
      </c>
      <c r="K2341">
        <f t="shared" si="155"/>
        <v>65</v>
      </c>
      <c r="L2341" t="s">
        <v>1327</v>
      </c>
      <c r="R2341" t="s">
        <v>1349</v>
      </c>
    </row>
    <row r="2342" spans="1:18" x14ac:dyDescent="0.25">
      <c r="A2342" t="s">
        <v>341</v>
      </c>
      <c r="B2342" s="4">
        <v>46180</v>
      </c>
      <c r="C2342" s="9">
        <f t="shared" si="152"/>
        <v>6</v>
      </c>
      <c r="D2342">
        <f t="shared" si="153"/>
        <v>2026</v>
      </c>
      <c r="E2342">
        <f t="shared" si="154"/>
        <v>1</v>
      </c>
      <c r="F2342" t="s">
        <v>1288</v>
      </c>
      <c r="G2342" t="s">
        <v>406</v>
      </c>
      <c r="H2342" t="s">
        <v>741</v>
      </c>
      <c r="I2342">
        <v>1</v>
      </c>
      <c r="J2342">
        <v>10</v>
      </c>
      <c r="K2342">
        <f t="shared" si="155"/>
        <v>70</v>
      </c>
      <c r="R2342" t="s">
        <v>1348</v>
      </c>
    </row>
    <row r="2343" spans="1:18" x14ac:dyDescent="0.25">
      <c r="A2343" t="s">
        <v>341</v>
      </c>
      <c r="B2343" s="4">
        <v>46181</v>
      </c>
      <c r="C2343" s="9">
        <f t="shared" si="152"/>
        <v>6</v>
      </c>
      <c r="D2343">
        <f t="shared" si="153"/>
        <v>2026</v>
      </c>
      <c r="E2343">
        <f t="shared" si="154"/>
        <v>1</v>
      </c>
      <c r="F2343" t="s">
        <v>1288</v>
      </c>
      <c r="G2343" t="s">
        <v>101</v>
      </c>
      <c r="H2343" t="s">
        <v>470</v>
      </c>
      <c r="I2343">
        <v>1</v>
      </c>
      <c r="J2343">
        <v>1</v>
      </c>
      <c r="K2343">
        <f t="shared" si="155"/>
        <v>61</v>
      </c>
      <c r="R2343" t="s">
        <v>1348</v>
      </c>
    </row>
    <row r="2344" spans="1:18" x14ac:dyDescent="0.25">
      <c r="A2344" t="s">
        <v>341</v>
      </c>
      <c r="B2344" s="4">
        <v>46185</v>
      </c>
      <c r="C2344" s="9">
        <f t="shared" si="152"/>
        <v>6</v>
      </c>
      <c r="D2344">
        <f t="shared" si="153"/>
        <v>2026</v>
      </c>
      <c r="E2344">
        <f t="shared" si="154"/>
        <v>1</v>
      </c>
      <c r="F2344" t="s">
        <v>1288</v>
      </c>
      <c r="G2344" t="s">
        <v>854</v>
      </c>
      <c r="H2344" t="s">
        <v>854</v>
      </c>
      <c r="J2344">
        <v>22</v>
      </c>
      <c r="K2344">
        <f t="shared" si="155"/>
        <v>22</v>
      </c>
      <c r="L2344" t="s">
        <v>763</v>
      </c>
      <c r="R2344" t="s">
        <v>1359</v>
      </c>
    </row>
    <row r="2345" spans="1:18" x14ac:dyDescent="0.25">
      <c r="A2345" t="s">
        <v>341</v>
      </c>
      <c r="B2345" s="4">
        <v>46185</v>
      </c>
      <c r="C2345" s="9">
        <f t="shared" si="152"/>
        <v>6</v>
      </c>
      <c r="D2345">
        <f t="shared" si="153"/>
        <v>2026</v>
      </c>
      <c r="E2345">
        <f t="shared" si="154"/>
        <v>0</v>
      </c>
      <c r="F2345" t="s">
        <v>1288</v>
      </c>
      <c r="G2345" t="s">
        <v>854</v>
      </c>
      <c r="H2345" t="s">
        <v>854</v>
      </c>
      <c r="J2345">
        <v>28</v>
      </c>
      <c r="K2345">
        <f t="shared" si="155"/>
        <v>28</v>
      </c>
      <c r="L2345" t="s">
        <v>763</v>
      </c>
      <c r="R2345" t="s">
        <v>1359</v>
      </c>
    </row>
    <row r="2346" spans="1:18" x14ac:dyDescent="0.25">
      <c r="A2346" t="s">
        <v>341</v>
      </c>
      <c r="B2346" s="4">
        <v>46185</v>
      </c>
      <c r="C2346" s="9">
        <f t="shared" si="152"/>
        <v>6</v>
      </c>
      <c r="D2346">
        <f t="shared" si="153"/>
        <v>2026</v>
      </c>
      <c r="E2346">
        <f t="shared" si="154"/>
        <v>0</v>
      </c>
      <c r="F2346" t="s">
        <v>1288</v>
      </c>
      <c r="G2346" t="s">
        <v>854</v>
      </c>
      <c r="H2346" t="s">
        <v>1339</v>
      </c>
      <c r="J2346">
        <v>21</v>
      </c>
      <c r="K2346">
        <f t="shared" si="155"/>
        <v>21</v>
      </c>
      <c r="L2346" t="s">
        <v>763</v>
      </c>
      <c r="R2346" t="s">
        <v>1359</v>
      </c>
    </row>
    <row r="2347" spans="1:18" x14ac:dyDescent="0.25">
      <c r="A2347" t="s">
        <v>341</v>
      </c>
      <c r="B2347" s="4">
        <v>46186</v>
      </c>
      <c r="C2347" s="9">
        <f t="shared" si="152"/>
        <v>6</v>
      </c>
      <c r="D2347">
        <f t="shared" si="153"/>
        <v>2026</v>
      </c>
      <c r="E2347">
        <f t="shared" si="154"/>
        <v>1</v>
      </c>
      <c r="F2347" t="s">
        <v>1288</v>
      </c>
      <c r="G2347" t="s">
        <v>1340</v>
      </c>
      <c r="H2347" t="s">
        <v>1340</v>
      </c>
      <c r="J2347">
        <v>16</v>
      </c>
      <c r="K2347">
        <f t="shared" si="155"/>
        <v>16</v>
      </c>
      <c r="L2347" t="s">
        <v>763</v>
      </c>
      <c r="R2347" t="s">
        <v>1359</v>
      </c>
    </row>
    <row r="2348" spans="1:18" x14ac:dyDescent="0.25">
      <c r="A2348" t="s">
        <v>341</v>
      </c>
      <c r="B2348" s="4">
        <v>46186</v>
      </c>
      <c r="C2348" s="9">
        <f t="shared" si="152"/>
        <v>6</v>
      </c>
      <c r="D2348">
        <f t="shared" si="153"/>
        <v>2026</v>
      </c>
      <c r="E2348">
        <f t="shared" si="154"/>
        <v>0</v>
      </c>
      <c r="F2348" t="s">
        <v>1288</v>
      </c>
      <c r="G2348" t="s">
        <v>1340</v>
      </c>
      <c r="H2348" t="s">
        <v>1341</v>
      </c>
      <c r="J2348">
        <v>37</v>
      </c>
      <c r="K2348">
        <f t="shared" si="155"/>
        <v>37</v>
      </c>
      <c r="L2348" t="s">
        <v>763</v>
      </c>
      <c r="R2348" t="s">
        <v>1359</v>
      </c>
    </row>
    <row r="2349" spans="1:18" x14ac:dyDescent="0.25">
      <c r="A2349" t="s">
        <v>341</v>
      </c>
      <c r="B2349" s="4">
        <v>46188</v>
      </c>
      <c r="C2349" s="9">
        <f t="shared" si="152"/>
        <v>6</v>
      </c>
      <c r="D2349">
        <f t="shared" si="153"/>
        <v>2026</v>
      </c>
      <c r="E2349">
        <f t="shared" si="154"/>
        <v>1</v>
      </c>
      <c r="F2349" t="s">
        <v>1288</v>
      </c>
      <c r="G2349" t="s">
        <v>1165</v>
      </c>
      <c r="H2349" t="s">
        <v>1165</v>
      </c>
      <c r="J2349">
        <v>10</v>
      </c>
      <c r="K2349">
        <f t="shared" si="155"/>
        <v>10</v>
      </c>
      <c r="L2349" t="s">
        <v>763</v>
      </c>
      <c r="M2349" t="s">
        <v>1166</v>
      </c>
      <c r="R2349" t="s">
        <v>1359</v>
      </c>
    </row>
    <row r="2350" spans="1:18" x14ac:dyDescent="0.25">
      <c r="A2350" t="s">
        <v>341</v>
      </c>
      <c r="B2350" s="4">
        <v>46190</v>
      </c>
      <c r="C2350" s="9">
        <f t="shared" si="152"/>
        <v>6</v>
      </c>
      <c r="D2350">
        <f t="shared" si="153"/>
        <v>2026</v>
      </c>
      <c r="E2350">
        <f t="shared" si="154"/>
        <v>1</v>
      </c>
      <c r="F2350" t="s">
        <v>1288</v>
      </c>
      <c r="G2350" t="s">
        <v>1342</v>
      </c>
      <c r="H2350" t="s">
        <v>766</v>
      </c>
      <c r="J2350">
        <v>50</v>
      </c>
      <c r="K2350">
        <f t="shared" si="155"/>
        <v>50</v>
      </c>
      <c r="L2350" t="s">
        <v>763</v>
      </c>
      <c r="R2350" t="s">
        <v>1359</v>
      </c>
    </row>
    <row r="2351" spans="1:18" x14ac:dyDescent="0.25">
      <c r="A2351" t="s">
        <v>341</v>
      </c>
      <c r="B2351" s="4">
        <v>46190</v>
      </c>
      <c r="C2351" s="9">
        <f t="shared" si="152"/>
        <v>6</v>
      </c>
      <c r="D2351">
        <f t="shared" si="153"/>
        <v>2026</v>
      </c>
      <c r="E2351">
        <f t="shared" si="154"/>
        <v>0</v>
      </c>
      <c r="F2351" t="s">
        <v>1288</v>
      </c>
      <c r="G2351" t="s">
        <v>1342</v>
      </c>
      <c r="H2351" t="s">
        <v>766</v>
      </c>
      <c r="I2351">
        <v>1</v>
      </c>
      <c r="J2351">
        <v>12</v>
      </c>
      <c r="K2351">
        <f t="shared" si="155"/>
        <v>72</v>
      </c>
      <c r="L2351" t="s">
        <v>763</v>
      </c>
      <c r="R2351" t="s">
        <v>1359</v>
      </c>
    </row>
    <row r="2352" spans="1:18" x14ac:dyDescent="0.25">
      <c r="A2352" t="s">
        <v>341</v>
      </c>
      <c r="B2352" s="4">
        <v>46191</v>
      </c>
      <c r="C2352" s="9">
        <f t="shared" si="152"/>
        <v>6</v>
      </c>
      <c r="D2352">
        <f t="shared" si="153"/>
        <v>2026</v>
      </c>
      <c r="E2352">
        <f t="shared" si="154"/>
        <v>1</v>
      </c>
      <c r="F2352" t="s">
        <v>1288</v>
      </c>
      <c r="G2352" t="s">
        <v>1343</v>
      </c>
      <c r="H2352" t="s">
        <v>1344</v>
      </c>
      <c r="I2352">
        <v>1</v>
      </c>
      <c r="J2352">
        <v>28</v>
      </c>
      <c r="K2352">
        <f t="shared" si="155"/>
        <v>88</v>
      </c>
      <c r="L2352" t="s">
        <v>763</v>
      </c>
      <c r="R2352" t="s">
        <v>1359</v>
      </c>
    </row>
    <row r="2353" spans="1:18" x14ac:dyDescent="0.25">
      <c r="A2353" t="s">
        <v>341</v>
      </c>
      <c r="B2353" s="4">
        <v>46192</v>
      </c>
      <c r="C2353" s="9">
        <f t="shared" si="152"/>
        <v>6</v>
      </c>
      <c r="D2353">
        <f t="shared" si="153"/>
        <v>2026</v>
      </c>
      <c r="E2353">
        <f t="shared" si="154"/>
        <v>1</v>
      </c>
      <c r="F2353" t="s">
        <v>1288</v>
      </c>
      <c r="G2353" t="s">
        <v>854</v>
      </c>
      <c r="H2353" t="s">
        <v>1345</v>
      </c>
      <c r="J2353">
        <v>14</v>
      </c>
      <c r="K2353">
        <f t="shared" si="155"/>
        <v>14</v>
      </c>
      <c r="L2353" t="s">
        <v>763</v>
      </c>
      <c r="R2353" t="s">
        <v>1359</v>
      </c>
    </row>
    <row r="2354" spans="1:18" x14ac:dyDescent="0.25">
      <c r="A2354" t="s">
        <v>341</v>
      </c>
      <c r="B2354" s="4">
        <v>46192</v>
      </c>
      <c r="C2354" s="9">
        <f t="shared" si="152"/>
        <v>6</v>
      </c>
      <c r="D2354">
        <f t="shared" si="153"/>
        <v>2026</v>
      </c>
      <c r="E2354">
        <f t="shared" si="154"/>
        <v>0</v>
      </c>
      <c r="F2354" t="s">
        <v>1288</v>
      </c>
      <c r="G2354" t="s">
        <v>854</v>
      </c>
      <c r="H2354" t="s">
        <v>1346</v>
      </c>
      <c r="I2354">
        <v>1</v>
      </c>
      <c r="J2354">
        <v>16</v>
      </c>
      <c r="K2354">
        <f t="shared" si="155"/>
        <v>76</v>
      </c>
      <c r="L2354" t="s">
        <v>763</v>
      </c>
      <c r="R2354" t="s">
        <v>1359</v>
      </c>
    </row>
    <row r="2355" spans="1:18" x14ac:dyDescent="0.25">
      <c r="A2355" t="s">
        <v>341</v>
      </c>
      <c r="B2355" s="4">
        <v>46194</v>
      </c>
      <c r="C2355" s="9">
        <f t="shared" si="152"/>
        <v>6</v>
      </c>
      <c r="D2355">
        <f t="shared" si="153"/>
        <v>2026</v>
      </c>
      <c r="E2355">
        <f t="shared" si="154"/>
        <v>1</v>
      </c>
      <c r="F2355" t="s">
        <v>948</v>
      </c>
      <c r="G2355" t="s">
        <v>406</v>
      </c>
      <c r="H2355" t="s">
        <v>741</v>
      </c>
      <c r="J2355">
        <v>58</v>
      </c>
      <c r="K2355">
        <f t="shared" si="155"/>
        <v>58</v>
      </c>
      <c r="R2355" t="s">
        <v>1348</v>
      </c>
    </row>
    <row r="2356" spans="1:18" x14ac:dyDescent="0.25">
      <c r="A2356" t="s">
        <v>341</v>
      </c>
      <c r="B2356" s="4">
        <v>46195</v>
      </c>
      <c r="C2356" s="9">
        <f t="shared" si="152"/>
        <v>6</v>
      </c>
      <c r="D2356">
        <f t="shared" si="153"/>
        <v>2026</v>
      </c>
      <c r="E2356">
        <f t="shared" si="154"/>
        <v>1</v>
      </c>
      <c r="F2356" t="s">
        <v>948</v>
      </c>
      <c r="G2356" t="s">
        <v>101</v>
      </c>
      <c r="H2356" t="s">
        <v>741</v>
      </c>
      <c r="I2356">
        <v>1</v>
      </c>
      <c r="J2356">
        <v>25</v>
      </c>
      <c r="K2356">
        <f t="shared" si="155"/>
        <v>85</v>
      </c>
      <c r="R2356" t="s">
        <v>1348</v>
      </c>
    </row>
    <row r="2357" spans="1:18" x14ac:dyDescent="0.25">
      <c r="A2357" t="s">
        <v>341</v>
      </c>
      <c r="B2357" s="4">
        <v>46196</v>
      </c>
      <c r="C2357" s="9">
        <f t="shared" si="152"/>
        <v>6</v>
      </c>
      <c r="D2357">
        <f t="shared" si="153"/>
        <v>2026</v>
      </c>
      <c r="E2357">
        <f t="shared" si="154"/>
        <v>1</v>
      </c>
      <c r="F2357" t="s">
        <v>948</v>
      </c>
      <c r="G2357" t="s">
        <v>101</v>
      </c>
      <c r="H2357" t="s">
        <v>534</v>
      </c>
      <c r="J2357">
        <v>56</v>
      </c>
      <c r="K2357">
        <f t="shared" si="155"/>
        <v>56</v>
      </c>
      <c r="R2357" t="s">
        <v>1348</v>
      </c>
    </row>
    <row r="2358" spans="1:18" x14ac:dyDescent="0.25">
      <c r="A2358" t="s">
        <v>341</v>
      </c>
      <c r="B2358" s="4">
        <v>46197</v>
      </c>
      <c r="C2358" s="9">
        <f t="shared" si="152"/>
        <v>6</v>
      </c>
      <c r="D2358">
        <f t="shared" si="153"/>
        <v>2026</v>
      </c>
      <c r="E2358">
        <f t="shared" si="154"/>
        <v>1</v>
      </c>
      <c r="F2358" t="s">
        <v>948</v>
      </c>
      <c r="G2358" t="s">
        <v>101</v>
      </c>
      <c r="H2358" t="s">
        <v>153</v>
      </c>
      <c r="I2358">
        <v>1</v>
      </c>
      <c r="J2358">
        <v>36</v>
      </c>
      <c r="K2358">
        <f t="shared" si="155"/>
        <v>96</v>
      </c>
      <c r="R2358" t="s">
        <v>1348</v>
      </c>
    </row>
    <row r="2359" spans="1:18" x14ac:dyDescent="0.25">
      <c r="A2359" t="s">
        <v>341</v>
      </c>
      <c r="B2359" s="4">
        <v>46199</v>
      </c>
      <c r="C2359" s="9">
        <f t="shared" si="152"/>
        <v>6</v>
      </c>
      <c r="D2359">
        <f t="shared" si="153"/>
        <v>2026</v>
      </c>
      <c r="E2359">
        <f t="shared" si="154"/>
        <v>1</v>
      </c>
      <c r="F2359" t="s">
        <v>1288</v>
      </c>
      <c r="G2359" t="s">
        <v>101</v>
      </c>
      <c r="H2359" t="s">
        <v>244</v>
      </c>
      <c r="J2359">
        <v>57</v>
      </c>
      <c r="K2359">
        <f t="shared" si="155"/>
        <v>57</v>
      </c>
      <c r="R2359" t="s">
        <v>1348</v>
      </c>
    </row>
    <row r="2360" spans="1:18" x14ac:dyDescent="0.25">
      <c r="A2360" t="s">
        <v>341</v>
      </c>
      <c r="B2360" s="4">
        <v>46200</v>
      </c>
      <c r="C2360" s="9">
        <f t="shared" si="152"/>
        <v>6</v>
      </c>
      <c r="D2360">
        <f t="shared" si="153"/>
        <v>2026</v>
      </c>
      <c r="E2360">
        <f t="shared" si="154"/>
        <v>1</v>
      </c>
      <c r="F2360" t="s">
        <v>1288</v>
      </c>
      <c r="G2360" t="s">
        <v>101</v>
      </c>
      <c r="H2360" t="s">
        <v>153</v>
      </c>
      <c r="I2360">
        <v>1</v>
      </c>
      <c r="J2360">
        <v>7</v>
      </c>
      <c r="K2360">
        <f t="shared" si="155"/>
        <v>67</v>
      </c>
      <c r="R2360" t="s">
        <v>1348</v>
      </c>
    </row>
    <row r="2361" spans="1:18" x14ac:dyDescent="0.25">
      <c r="A2361" t="s">
        <v>341</v>
      </c>
      <c r="B2361" s="4">
        <v>46202</v>
      </c>
      <c r="C2361" s="9">
        <f t="shared" si="152"/>
        <v>6</v>
      </c>
      <c r="D2361">
        <f t="shared" si="153"/>
        <v>2026</v>
      </c>
      <c r="E2361">
        <f t="shared" si="154"/>
        <v>1</v>
      </c>
      <c r="F2361" t="s">
        <v>1288</v>
      </c>
      <c r="G2361" t="s">
        <v>101</v>
      </c>
      <c r="H2361" t="s">
        <v>689</v>
      </c>
      <c r="I2361">
        <v>1</v>
      </c>
      <c r="J2361">
        <v>33</v>
      </c>
      <c r="K2361">
        <f t="shared" si="155"/>
        <v>93</v>
      </c>
      <c r="R2361" t="s">
        <v>1348</v>
      </c>
    </row>
    <row r="2362" spans="1:18" x14ac:dyDescent="0.25">
      <c r="A2362" t="s">
        <v>341</v>
      </c>
      <c r="B2362" s="4">
        <v>46203</v>
      </c>
      <c r="C2362" s="9">
        <f t="shared" si="152"/>
        <v>6</v>
      </c>
      <c r="D2362">
        <f t="shared" si="153"/>
        <v>2026</v>
      </c>
      <c r="E2362">
        <f t="shared" si="154"/>
        <v>1</v>
      </c>
      <c r="F2362" t="s">
        <v>1288</v>
      </c>
      <c r="G2362" t="s">
        <v>101</v>
      </c>
      <c r="H2362" t="s">
        <v>153</v>
      </c>
      <c r="I2362">
        <v>1</v>
      </c>
      <c r="J2362">
        <v>11</v>
      </c>
      <c r="K2362">
        <f t="shared" si="155"/>
        <v>71</v>
      </c>
      <c r="R2362" t="s">
        <v>1348</v>
      </c>
    </row>
    <row r="2363" spans="1:18" x14ac:dyDescent="0.25">
      <c r="A2363" t="s">
        <v>341</v>
      </c>
      <c r="B2363" s="4">
        <v>46206</v>
      </c>
      <c r="C2363" s="9">
        <f t="shared" si="152"/>
        <v>7</v>
      </c>
      <c r="D2363">
        <f t="shared" si="153"/>
        <v>2026</v>
      </c>
      <c r="E2363">
        <f t="shared" si="154"/>
        <v>1</v>
      </c>
      <c r="F2363" t="s">
        <v>1288</v>
      </c>
      <c r="G2363" t="s">
        <v>101</v>
      </c>
      <c r="H2363" t="s">
        <v>741</v>
      </c>
      <c r="J2363">
        <v>28</v>
      </c>
      <c r="K2363">
        <f t="shared" si="155"/>
        <v>28</v>
      </c>
      <c r="R2363" t="s">
        <v>1348</v>
      </c>
    </row>
    <row r="2364" spans="1:18" x14ac:dyDescent="0.25">
      <c r="A2364" t="s">
        <v>341</v>
      </c>
      <c r="B2364" s="4">
        <v>46212</v>
      </c>
      <c r="C2364" s="9">
        <f t="shared" si="152"/>
        <v>7</v>
      </c>
      <c r="D2364">
        <f t="shared" si="153"/>
        <v>2026</v>
      </c>
      <c r="E2364">
        <f t="shared" si="154"/>
        <v>1</v>
      </c>
      <c r="F2364" t="s">
        <v>1288</v>
      </c>
      <c r="G2364" t="s">
        <v>101</v>
      </c>
      <c r="H2364" t="s">
        <v>153</v>
      </c>
      <c r="I2364">
        <v>1</v>
      </c>
      <c r="J2364">
        <v>4</v>
      </c>
      <c r="K2364">
        <f t="shared" si="155"/>
        <v>64</v>
      </c>
      <c r="R2364" t="s">
        <v>1348</v>
      </c>
    </row>
    <row r="2365" spans="1:18" x14ac:dyDescent="0.25">
      <c r="A2365" t="s">
        <v>341</v>
      </c>
      <c r="B2365" s="4">
        <v>46213</v>
      </c>
      <c r="C2365" s="9">
        <f t="shared" si="152"/>
        <v>7</v>
      </c>
      <c r="D2365">
        <f t="shared" si="153"/>
        <v>2026</v>
      </c>
      <c r="E2365">
        <f t="shared" si="154"/>
        <v>1</v>
      </c>
      <c r="F2365" t="s">
        <v>1288</v>
      </c>
      <c r="G2365" t="s">
        <v>406</v>
      </c>
      <c r="H2365" t="s">
        <v>153</v>
      </c>
      <c r="I2365">
        <v>1</v>
      </c>
      <c r="J2365">
        <v>15</v>
      </c>
      <c r="K2365">
        <f t="shared" si="155"/>
        <v>75</v>
      </c>
      <c r="R2365" t="s">
        <v>1348</v>
      </c>
    </row>
    <row r="2366" spans="1:18" x14ac:dyDescent="0.25">
      <c r="A2366" t="s">
        <v>341</v>
      </c>
      <c r="B2366" s="4">
        <v>46214</v>
      </c>
      <c r="C2366" s="9">
        <f t="shared" si="152"/>
        <v>7</v>
      </c>
      <c r="D2366">
        <f t="shared" si="153"/>
        <v>2026</v>
      </c>
      <c r="E2366">
        <f t="shared" si="154"/>
        <v>1</v>
      </c>
      <c r="F2366" t="s">
        <v>1288</v>
      </c>
      <c r="G2366" t="s">
        <v>101</v>
      </c>
      <c r="H2366" t="s">
        <v>244</v>
      </c>
      <c r="J2366">
        <v>56</v>
      </c>
      <c r="K2366">
        <f t="shared" si="155"/>
        <v>56</v>
      </c>
      <c r="R2366" t="s">
        <v>1348</v>
      </c>
    </row>
    <row r="2367" spans="1:18" x14ac:dyDescent="0.25">
      <c r="A2367" t="s">
        <v>341</v>
      </c>
      <c r="B2367" s="4">
        <v>46215</v>
      </c>
      <c r="C2367" s="9">
        <f t="shared" si="152"/>
        <v>7</v>
      </c>
      <c r="D2367">
        <f t="shared" si="153"/>
        <v>2026</v>
      </c>
      <c r="E2367">
        <f t="shared" si="154"/>
        <v>1</v>
      </c>
      <c r="F2367" t="s">
        <v>1288</v>
      </c>
      <c r="G2367" t="s">
        <v>406</v>
      </c>
      <c r="H2367" t="s">
        <v>741</v>
      </c>
      <c r="J2367">
        <v>48</v>
      </c>
      <c r="K2367">
        <f t="shared" si="155"/>
        <v>48</v>
      </c>
      <c r="R2367" t="s">
        <v>1348</v>
      </c>
    </row>
    <row r="2368" spans="1:18" x14ac:dyDescent="0.25">
      <c r="A2368" t="s">
        <v>341</v>
      </c>
      <c r="B2368" s="4">
        <v>46217</v>
      </c>
      <c r="C2368" s="9">
        <f t="shared" si="152"/>
        <v>7</v>
      </c>
      <c r="D2368">
        <f t="shared" si="153"/>
        <v>2026</v>
      </c>
      <c r="E2368">
        <f t="shared" si="154"/>
        <v>1</v>
      </c>
      <c r="F2368" t="s">
        <v>1288</v>
      </c>
      <c r="G2368" t="s">
        <v>101</v>
      </c>
      <c r="H2368" t="s">
        <v>153</v>
      </c>
      <c r="J2368">
        <v>52</v>
      </c>
      <c r="K2368">
        <f t="shared" si="155"/>
        <v>52</v>
      </c>
      <c r="R2368" t="s">
        <v>1348</v>
      </c>
    </row>
    <row r="2369" spans="1:18" x14ac:dyDescent="0.25">
      <c r="A2369" t="s">
        <v>341</v>
      </c>
      <c r="B2369" s="4">
        <v>46221</v>
      </c>
      <c r="C2369" s="9">
        <f t="shared" si="152"/>
        <v>7</v>
      </c>
      <c r="D2369">
        <f t="shared" si="153"/>
        <v>2026</v>
      </c>
      <c r="E2369">
        <f t="shared" si="154"/>
        <v>1</v>
      </c>
      <c r="F2369" t="s">
        <v>1288</v>
      </c>
      <c r="G2369" t="s">
        <v>101</v>
      </c>
      <c r="H2369" t="s">
        <v>912</v>
      </c>
      <c r="J2369">
        <v>51</v>
      </c>
      <c r="K2369">
        <f t="shared" si="155"/>
        <v>51</v>
      </c>
      <c r="R2369" t="s">
        <v>1348</v>
      </c>
    </row>
    <row r="2370" spans="1:18" x14ac:dyDescent="0.25">
      <c r="A2370" t="s">
        <v>341</v>
      </c>
      <c r="B2370" s="4">
        <v>46223</v>
      </c>
      <c r="C2370" s="9">
        <f t="shared" si="152"/>
        <v>7</v>
      </c>
      <c r="D2370">
        <f t="shared" si="153"/>
        <v>2026</v>
      </c>
      <c r="E2370">
        <f t="shared" si="154"/>
        <v>1</v>
      </c>
      <c r="F2370" t="s">
        <v>1288</v>
      </c>
      <c r="G2370" t="s">
        <v>101</v>
      </c>
      <c r="H2370" t="s">
        <v>244</v>
      </c>
      <c r="J2370">
        <v>45</v>
      </c>
      <c r="K2370">
        <f t="shared" si="155"/>
        <v>45</v>
      </c>
      <c r="R2370" t="s">
        <v>1348</v>
      </c>
    </row>
    <row r="2371" spans="1:18" x14ac:dyDescent="0.25">
      <c r="A2371" t="s">
        <v>341</v>
      </c>
      <c r="B2371" s="4">
        <v>46225</v>
      </c>
      <c r="C2371" s="9">
        <f t="shared" si="152"/>
        <v>7</v>
      </c>
      <c r="D2371">
        <f t="shared" si="153"/>
        <v>2026</v>
      </c>
      <c r="E2371">
        <f t="shared" si="154"/>
        <v>1</v>
      </c>
      <c r="F2371" t="s">
        <v>1288</v>
      </c>
      <c r="G2371" t="s">
        <v>101</v>
      </c>
      <c r="H2371" t="s">
        <v>153</v>
      </c>
      <c r="I2371">
        <v>1</v>
      </c>
      <c r="J2371">
        <v>20</v>
      </c>
      <c r="K2371">
        <f t="shared" si="155"/>
        <v>80</v>
      </c>
      <c r="R2371" t="s">
        <v>1348</v>
      </c>
    </row>
    <row r="2372" spans="1:18" x14ac:dyDescent="0.25">
      <c r="A2372" t="s">
        <v>341</v>
      </c>
      <c r="B2372" s="4">
        <v>46227</v>
      </c>
      <c r="C2372" s="9">
        <f t="shared" si="152"/>
        <v>7</v>
      </c>
      <c r="D2372">
        <f t="shared" si="153"/>
        <v>2026</v>
      </c>
      <c r="E2372">
        <f t="shared" si="154"/>
        <v>1</v>
      </c>
      <c r="F2372" t="s">
        <v>1288</v>
      </c>
      <c r="G2372" t="s">
        <v>101</v>
      </c>
      <c r="H2372" t="s">
        <v>153</v>
      </c>
      <c r="I2372">
        <v>1</v>
      </c>
      <c r="J2372">
        <v>33</v>
      </c>
      <c r="K2372">
        <f t="shared" si="155"/>
        <v>93</v>
      </c>
      <c r="R2372" t="s">
        <v>1348</v>
      </c>
    </row>
    <row r="2373" spans="1:18" x14ac:dyDescent="0.25">
      <c r="A2373" t="s">
        <v>341</v>
      </c>
      <c r="B2373" s="4">
        <v>46228</v>
      </c>
      <c r="C2373" s="9">
        <f t="shared" si="152"/>
        <v>7</v>
      </c>
      <c r="D2373">
        <f t="shared" si="153"/>
        <v>2026</v>
      </c>
      <c r="E2373">
        <f t="shared" si="154"/>
        <v>1</v>
      </c>
      <c r="F2373" t="s">
        <v>1288</v>
      </c>
      <c r="G2373" t="s">
        <v>101</v>
      </c>
      <c r="H2373" t="s">
        <v>741</v>
      </c>
      <c r="J2373">
        <v>55</v>
      </c>
      <c r="K2373">
        <f t="shared" si="155"/>
        <v>55</v>
      </c>
      <c r="R2373" t="s">
        <v>1348</v>
      </c>
    </row>
    <row r="2374" spans="1:18" x14ac:dyDescent="0.25">
      <c r="A2374" t="s">
        <v>341</v>
      </c>
      <c r="B2374" s="4">
        <v>46230</v>
      </c>
      <c r="C2374" s="9">
        <f t="shared" si="152"/>
        <v>7</v>
      </c>
      <c r="D2374">
        <f t="shared" si="153"/>
        <v>2026</v>
      </c>
      <c r="E2374">
        <f t="shared" si="154"/>
        <v>1</v>
      </c>
      <c r="F2374" t="s">
        <v>1288</v>
      </c>
      <c r="G2374" t="s">
        <v>101</v>
      </c>
      <c r="H2374" t="s">
        <v>741</v>
      </c>
      <c r="J2374">
        <v>28</v>
      </c>
      <c r="K2374">
        <f t="shared" si="155"/>
        <v>28</v>
      </c>
      <c r="R2374" t="s">
        <v>1348</v>
      </c>
    </row>
    <row r="2375" spans="1:18" x14ac:dyDescent="0.25">
      <c r="A2375" t="s">
        <v>341</v>
      </c>
      <c r="B2375" s="4">
        <v>46231</v>
      </c>
      <c r="C2375" s="9">
        <f t="shared" si="152"/>
        <v>7</v>
      </c>
      <c r="D2375">
        <f t="shared" si="153"/>
        <v>2026</v>
      </c>
      <c r="E2375">
        <f t="shared" si="154"/>
        <v>1</v>
      </c>
      <c r="F2375" t="s">
        <v>1288</v>
      </c>
      <c r="G2375" t="s">
        <v>101</v>
      </c>
      <c r="H2375" t="s">
        <v>153</v>
      </c>
      <c r="I2375">
        <v>1</v>
      </c>
      <c r="J2375">
        <v>27</v>
      </c>
      <c r="K2375">
        <f t="shared" si="155"/>
        <v>87</v>
      </c>
      <c r="R2375" t="s">
        <v>1348</v>
      </c>
    </row>
    <row r="2376" spans="1:18" x14ac:dyDescent="0.25">
      <c r="A2376" t="s">
        <v>341</v>
      </c>
      <c r="B2376" s="4">
        <v>46232</v>
      </c>
      <c r="C2376" s="9">
        <f t="shared" si="152"/>
        <v>7</v>
      </c>
      <c r="D2376">
        <f t="shared" si="153"/>
        <v>2026</v>
      </c>
      <c r="E2376">
        <f t="shared" si="154"/>
        <v>1</v>
      </c>
      <c r="F2376" t="s">
        <v>1288</v>
      </c>
      <c r="G2376" t="s">
        <v>101</v>
      </c>
      <c r="H2376" t="s">
        <v>912</v>
      </c>
      <c r="I2376">
        <v>1</v>
      </c>
      <c r="J2376">
        <v>5</v>
      </c>
      <c r="K2376">
        <f t="shared" si="155"/>
        <v>65</v>
      </c>
      <c r="R2376" t="s">
        <v>1348</v>
      </c>
    </row>
    <row r="2377" spans="1:18" x14ac:dyDescent="0.25">
      <c r="A2377" t="s">
        <v>341</v>
      </c>
      <c r="B2377" s="4">
        <v>46233</v>
      </c>
      <c r="C2377" s="9">
        <f t="shared" si="152"/>
        <v>7</v>
      </c>
      <c r="D2377">
        <f t="shared" si="153"/>
        <v>2026</v>
      </c>
      <c r="E2377">
        <f t="shared" si="154"/>
        <v>1</v>
      </c>
      <c r="F2377" t="s">
        <v>1288</v>
      </c>
      <c r="G2377" t="s">
        <v>101</v>
      </c>
      <c r="H2377" t="s">
        <v>153</v>
      </c>
      <c r="I2377">
        <v>1</v>
      </c>
      <c r="J2377">
        <v>25</v>
      </c>
      <c r="K2377">
        <f t="shared" si="155"/>
        <v>85</v>
      </c>
      <c r="R2377" t="s">
        <v>1348</v>
      </c>
    </row>
    <row r="2378" spans="1:18" x14ac:dyDescent="0.25">
      <c r="A2378" t="s">
        <v>341</v>
      </c>
      <c r="B2378" s="4">
        <v>46234</v>
      </c>
      <c r="C2378" s="9">
        <f t="shared" si="152"/>
        <v>7</v>
      </c>
      <c r="D2378">
        <f t="shared" si="153"/>
        <v>2026</v>
      </c>
      <c r="E2378">
        <f t="shared" si="154"/>
        <v>1</v>
      </c>
      <c r="F2378" t="s">
        <v>1288</v>
      </c>
      <c r="G2378" t="s">
        <v>101</v>
      </c>
      <c r="H2378" t="s">
        <v>741</v>
      </c>
      <c r="J2378">
        <v>58</v>
      </c>
      <c r="K2378">
        <f t="shared" si="155"/>
        <v>58</v>
      </c>
      <c r="R2378" t="s">
        <v>1348</v>
      </c>
    </row>
    <row r="2379" spans="1:18" x14ac:dyDescent="0.25">
      <c r="A2379" t="s">
        <v>341</v>
      </c>
      <c r="B2379" s="4">
        <v>46236</v>
      </c>
      <c r="C2379" s="9">
        <f t="shared" si="152"/>
        <v>8</v>
      </c>
      <c r="D2379">
        <f t="shared" si="153"/>
        <v>2026</v>
      </c>
      <c r="E2379">
        <f t="shared" si="154"/>
        <v>1</v>
      </c>
      <c r="F2379" t="s">
        <v>1288</v>
      </c>
      <c r="G2379" t="s">
        <v>406</v>
      </c>
      <c r="H2379" t="s">
        <v>741</v>
      </c>
      <c r="I2379">
        <v>1</v>
      </c>
      <c r="J2379">
        <v>34</v>
      </c>
      <c r="K2379">
        <f t="shared" si="155"/>
        <v>94</v>
      </c>
      <c r="R2379" t="s">
        <v>1348</v>
      </c>
    </row>
    <row r="2380" spans="1:18" x14ac:dyDescent="0.25">
      <c r="A2380" t="s">
        <v>341</v>
      </c>
      <c r="B2380" s="4">
        <v>46237</v>
      </c>
      <c r="C2380" s="9">
        <f t="shared" si="152"/>
        <v>8</v>
      </c>
      <c r="D2380">
        <f t="shared" si="153"/>
        <v>2026</v>
      </c>
      <c r="E2380">
        <f t="shared" si="154"/>
        <v>1</v>
      </c>
      <c r="F2380" t="s">
        <v>1288</v>
      </c>
      <c r="G2380" t="s">
        <v>101</v>
      </c>
      <c r="H2380" t="s">
        <v>741</v>
      </c>
      <c r="I2380">
        <v>1</v>
      </c>
      <c r="J2380">
        <v>7</v>
      </c>
      <c r="K2380">
        <f t="shared" si="155"/>
        <v>67</v>
      </c>
      <c r="R2380" t="s">
        <v>1348</v>
      </c>
    </row>
    <row r="2381" spans="1:18" x14ac:dyDescent="0.25">
      <c r="A2381" t="s">
        <v>341</v>
      </c>
      <c r="B2381" s="4">
        <v>46239</v>
      </c>
      <c r="C2381" s="9">
        <f t="shared" si="152"/>
        <v>8</v>
      </c>
      <c r="D2381">
        <f t="shared" si="153"/>
        <v>2026</v>
      </c>
      <c r="E2381">
        <f t="shared" si="154"/>
        <v>1</v>
      </c>
      <c r="F2381" t="s">
        <v>1288</v>
      </c>
      <c r="G2381" t="s">
        <v>101</v>
      </c>
      <c r="H2381" t="s">
        <v>244</v>
      </c>
      <c r="I2381">
        <v>1</v>
      </c>
      <c r="J2381">
        <v>51</v>
      </c>
      <c r="K2381">
        <f t="shared" si="155"/>
        <v>111</v>
      </c>
      <c r="R2381" t="s">
        <v>1348</v>
      </c>
    </row>
    <row r="2382" spans="1:18" x14ac:dyDescent="0.25">
      <c r="A2382" t="s">
        <v>341</v>
      </c>
      <c r="B2382" s="4">
        <v>46240</v>
      </c>
      <c r="C2382" s="9">
        <f t="shared" si="152"/>
        <v>8</v>
      </c>
      <c r="D2382">
        <f t="shared" si="153"/>
        <v>2026</v>
      </c>
      <c r="E2382">
        <f t="shared" si="154"/>
        <v>1</v>
      </c>
      <c r="F2382" t="s">
        <v>1288</v>
      </c>
      <c r="G2382" t="s">
        <v>101</v>
      </c>
      <c r="H2382" t="s">
        <v>153</v>
      </c>
      <c r="J2382">
        <v>48</v>
      </c>
      <c r="K2382">
        <f t="shared" si="155"/>
        <v>48</v>
      </c>
      <c r="R2382" t="s">
        <v>1348</v>
      </c>
    </row>
    <row r="2383" spans="1:18" x14ac:dyDescent="0.25">
      <c r="A2383" t="s">
        <v>341</v>
      </c>
      <c r="B2383" s="4">
        <v>46241</v>
      </c>
      <c r="C2383" s="9">
        <f t="shared" ref="C2383:C2446" si="156">MONTH(B2383)</f>
        <v>8</v>
      </c>
      <c r="D2383">
        <f t="shared" ref="D2383:D2446" si="157">YEAR(B2383)</f>
        <v>2026</v>
      </c>
      <c r="E2383">
        <f t="shared" ref="E2383:E2446" si="158">IF(OR(A2383 = "GS",A2383 = "BP"),IF( OR(A2382="GS",A2382="BP"),IF(B2382=B2383,0,1),1),0)</f>
        <v>1</v>
      </c>
      <c r="F2383" t="s">
        <v>1288</v>
      </c>
      <c r="G2383" t="s">
        <v>101</v>
      </c>
      <c r="H2383" t="s">
        <v>741</v>
      </c>
      <c r="I2383">
        <v>1</v>
      </c>
      <c r="J2383">
        <v>31</v>
      </c>
      <c r="K2383">
        <f t="shared" ref="K2383:K2446" si="159">I2383*60+J2383</f>
        <v>91</v>
      </c>
      <c r="R2383" t="s">
        <v>1348</v>
      </c>
    </row>
    <row r="2384" spans="1:18" x14ac:dyDescent="0.25">
      <c r="A2384" t="s">
        <v>341</v>
      </c>
      <c r="B2384" s="4">
        <v>46244</v>
      </c>
      <c r="C2384" s="9">
        <f t="shared" si="156"/>
        <v>8</v>
      </c>
      <c r="D2384">
        <f t="shared" si="157"/>
        <v>2026</v>
      </c>
      <c r="E2384">
        <f t="shared" si="158"/>
        <v>1</v>
      </c>
      <c r="F2384" t="s">
        <v>1288</v>
      </c>
      <c r="G2384" t="s">
        <v>101</v>
      </c>
      <c r="H2384" t="s">
        <v>244</v>
      </c>
      <c r="I2384">
        <v>1</v>
      </c>
      <c r="J2384">
        <v>36</v>
      </c>
      <c r="K2384">
        <f t="shared" si="159"/>
        <v>96</v>
      </c>
      <c r="R2384" t="s">
        <v>1348</v>
      </c>
    </row>
    <row r="2385" spans="1:18" x14ac:dyDescent="0.25">
      <c r="A2385" t="s">
        <v>341</v>
      </c>
      <c r="B2385" s="4">
        <v>46245</v>
      </c>
      <c r="C2385" s="9">
        <f t="shared" si="156"/>
        <v>8</v>
      </c>
      <c r="D2385">
        <f t="shared" si="157"/>
        <v>2026</v>
      </c>
      <c r="E2385">
        <f t="shared" si="158"/>
        <v>1</v>
      </c>
      <c r="F2385" t="s">
        <v>1288</v>
      </c>
      <c r="G2385" t="s">
        <v>101</v>
      </c>
      <c r="H2385" t="s">
        <v>244</v>
      </c>
      <c r="I2385">
        <v>2</v>
      </c>
      <c r="J2385">
        <v>7</v>
      </c>
      <c r="K2385">
        <f t="shared" si="159"/>
        <v>127</v>
      </c>
      <c r="R2385" t="s">
        <v>1348</v>
      </c>
    </row>
    <row r="2386" spans="1:18" x14ac:dyDescent="0.25">
      <c r="A2386" t="s">
        <v>341</v>
      </c>
      <c r="B2386" s="4">
        <v>46246</v>
      </c>
      <c r="C2386" s="9">
        <f t="shared" si="156"/>
        <v>8</v>
      </c>
      <c r="D2386">
        <f t="shared" si="157"/>
        <v>2026</v>
      </c>
      <c r="E2386">
        <f t="shared" si="158"/>
        <v>1</v>
      </c>
      <c r="F2386" t="s">
        <v>1288</v>
      </c>
      <c r="G2386" t="s">
        <v>101</v>
      </c>
      <c r="H2386" t="s">
        <v>244</v>
      </c>
      <c r="I2386">
        <v>1</v>
      </c>
      <c r="J2386">
        <v>50</v>
      </c>
      <c r="K2386">
        <f t="shared" si="159"/>
        <v>110</v>
      </c>
      <c r="R2386" t="s">
        <v>1348</v>
      </c>
    </row>
    <row r="2387" spans="1:18" x14ac:dyDescent="0.25">
      <c r="C2387" s="9">
        <f t="shared" si="156"/>
        <v>1</v>
      </c>
      <c r="D2387">
        <f t="shared" si="157"/>
        <v>1900</v>
      </c>
      <c r="E2387">
        <f t="shared" si="158"/>
        <v>0</v>
      </c>
      <c r="K2387">
        <f t="shared" si="159"/>
        <v>0</v>
      </c>
    </row>
    <row r="2388" spans="1:18" x14ac:dyDescent="0.25">
      <c r="C2388" s="9">
        <f t="shared" si="156"/>
        <v>1</v>
      </c>
      <c r="D2388">
        <f t="shared" si="157"/>
        <v>1900</v>
      </c>
      <c r="E2388">
        <f t="shared" si="158"/>
        <v>0</v>
      </c>
      <c r="K2388">
        <f t="shared" si="159"/>
        <v>0</v>
      </c>
    </row>
    <row r="2389" spans="1:18" x14ac:dyDescent="0.25">
      <c r="C2389" s="9">
        <f t="shared" si="156"/>
        <v>1</v>
      </c>
      <c r="D2389">
        <f t="shared" si="157"/>
        <v>1900</v>
      </c>
      <c r="E2389">
        <f t="shared" si="158"/>
        <v>0</v>
      </c>
      <c r="K2389">
        <f t="shared" si="159"/>
        <v>0</v>
      </c>
    </row>
    <row r="2390" spans="1:18" x14ac:dyDescent="0.25">
      <c r="C2390" s="9">
        <f t="shared" si="156"/>
        <v>1</v>
      </c>
      <c r="D2390">
        <f t="shared" si="157"/>
        <v>1900</v>
      </c>
      <c r="E2390">
        <f t="shared" si="158"/>
        <v>0</v>
      </c>
      <c r="K2390">
        <f t="shared" si="159"/>
        <v>0</v>
      </c>
    </row>
    <row r="2391" spans="1:18" x14ac:dyDescent="0.25">
      <c r="C2391" s="9">
        <f t="shared" si="156"/>
        <v>1</v>
      </c>
      <c r="D2391">
        <f t="shared" si="157"/>
        <v>1900</v>
      </c>
      <c r="E2391">
        <f t="shared" si="158"/>
        <v>0</v>
      </c>
      <c r="K2391">
        <f t="shared" si="159"/>
        <v>0</v>
      </c>
    </row>
    <row r="2392" spans="1:18" x14ac:dyDescent="0.25">
      <c r="C2392" s="9">
        <f t="shared" si="156"/>
        <v>1</v>
      </c>
      <c r="D2392">
        <f t="shared" si="157"/>
        <v>1900</v>
      </c>
      <c r="E2392">
        <f t="shared" si="158"/>
        <v>0</v>
      </c>
      <c r="K2392">
        <f t="shared" si="159"/>
        <v>0</v>
      </c>
    </row>
    <row r="2393" spans="1:18" x14ac:dyDescent="0.25">
      <c r="C2393" s="9">
        <f t="shared" si="156"/>
        <v>1</v>
      </c>
      <c r="D2393">
        <f t="shared" si="157"/>
        <v>1900</v>
      </c>
      <c r="E2393">
        <f t="shared" si="158"/>
        <v>0</v>
      </c>
      <c r="K2393">
        <f t="shared" si="159"/>
        <v>0</v>
      </c>
    </row>
    <row r="2394" spans="1:18" x14ac:dyDescent="0.25">
      <c r="C2394" s="9">
        <f t="shared" si="156"/>
        <v>1</v>
      </c>
      <c r="D2394">
        <f t="shared" si="157"/>
        <v>1900</v>
      </c>
      <c r="E2394">
        <f t="shared" si="158"/>
        <v>0</v>
      </c>
      <c r="K2394">
        <f t="shared" si="159"/>
        <v>0</v>
      </c>
    </row>
    <row r="2395" spans="1:18" x14ac:dyDescent="0.25">
      <c r="C2395" s="9">
        <f t="shared" si="156"/>
        <v>1</v>
      </c>
      <c r="D2395">
        <f t="shared" si="157"/>
        <v>1900</v>
      </c>
      <c r="E2395">
        <f t="shared" si="158"/>
        <v>0</v>
      </c>
      <c r="K2395">
        <f t="shared" si="159"/>
        <v>0</v>
      </c>
    </row>
    <row r="2396" spans="1:18" x14ac:dyDescent="0.25">
      <c r="C2396" s="9">
        <f t="shared" si="156"/>
        <v>1</v>
      </c>
      <c r="D2396">
        <f t="shared" si="157"/>
        <v>1900</v>
      </c>
      <c r="E2396">
        <f t="shared" si="158"/>
        <v>0</v>
      </c>
      <c r="K2396">
        <f t="shared" si="159"/>
        <v>0</v>
      </c>
    </row>
    <row r="2397" spans="1:18" x14ac:dyDescent="0.25">
      <c r="C2397" s="9">
        <f t="shared" si="156"/>
        <v>1</v>
      </c>
      <c r="D2397">
        <f t="shared" si="157"/>
        <v>1900</v>
      </c>
      <c r="E2397">
        <f t="shared" si="158"/>
        <v>0</v>
      </c>
      <c r="K2397">
        <f t="shared" si="159"/>
        <v>0</v>
      </c>
    </row>
    <row r="2398" spans="1:18" x14ac:dyDescent="0.25">
      <c r="C2398" s="9">
        <f t="shared" si="156"/>
        <v>1</v>
      </c>
      <c r="D2398">
        <f t="shared" si="157"/>
        <v>1900</v>
      </c>
      <c r="E2398">
        <f t="shared" si="158"/>
        <v>0</v>
      </c>
      <c r="K2398">
        <f t="shared" si="159"/>
        <v>0</v>
      </c>
    </row>
    <row r="2399" spans="1:18" x14ac:dyDescent="0.25">
      <c r="C2399" s="9">
        <f t="shared" si="156"/>
        <v>1</v>
      </c>
      <c r="D2399">
        <f t="shared" si="157"/>
        <v>1900</v>
      </c>
      <c r="E2399">
        <f t="shared" si="158"/>
        <v>0</v>
      </c>
      <c r="K2399">
        <f t="shared" si="159"/>
        <v>0</v>
      </c>
    </row>
    <row r="2400" spans="1:18" x14ac:dyDescent="0.25">
      <c r="C2400" s="9">
        <f t="shared" si="156"/>
        <v>1</v>
      </c>
      <c r="D2400">
        <f t="shared" si="157"/>
        <v>1900</v>
      </c>
      <c r="E2400">
        <f t="shared" si="158"/>
        <v>0</v>
      </c>
      <c r="K2400">
        <f t="shared" si="159"/>
        <v>0</v>
      </c>
    </row>
    <row r="2401" spans="3:11" x14ac:dyDescent="0.25">
      <c r="C2401" s="9">
        <f t="shared" si="156"/>
        <v>1</v>
      </c>
      <c r="D2401">
        <f t="shared" si="157"/>
        <v>1900</v>
      </c>
      <c r="E2401">
        <f t="shared" si="158"/>
        <v>0</v>
      </c>
      <c r="K2401">
        <f t="shared" si="159"/>
        <v>0</v>
      </c>
    </row>
    <row r="2402" spans="3:11" x14ac:dyDescent="0.25">
      <c r="C2402" s="9">
        <f t="shared" si="156"/>
        <v>1</v>
      </c>
      <c r="D2402">
        <f t="shared" si="157"/>
        <v>1900</v>
      </c>
      <c r="E2402">
        <f t="shared" si="158"/>
        <v>0</v>
      </c>
      <c r="K2402">
        <f t="shared" si="159"/>
        <v>0</v>
      </c>
    </row>
    <row r="2403" spans="3:11" x14ac:dyDescent="0.25">
      <c r="C2403" s="9">
        <f t="shared" si="156"/>
        <v>1</v>
      </c>
      <c r="D2403">
        <f t="shared" si="157"/>
        <v>1900</v>
      </c>
      <c r="E2403">
        <f t="shared" si="158"/>
        <v>0</v>
      </c>
      <c r="K2403">
        <f t="shared" si="159"/>
        <v>0</v>
      </c>
    </row>
    <row r="2404" spans="3:11" x14ac:dyDescent="0.25">
      <c r="C2404" s="9">
        <f t="shared" si="156"/>
        <v>1</v>
      </c>
      <c r="D2404">
        <f t="shared" si="157"/>
        <v>1900</v>
      </c>
      <c r="E2404">
        <f t="shared" si="158"/>
        <v>0</v>
      </c>
      <c r="K2404">
        <f t="shared" si="159"/>
        <v>0</v>
      </c>
    </row>
    <row r="2405" spans="3:11" x14ac:dyDescent="0.25">
      <c r="C2405" s="9">
        <f t="shared" si="156"/>
        <v>1</v>
      </c>
      <c r="D2405">
        <f t="shared" si="157"/>
        <v>1900</v>
      </c>
      <c r="E2405">
        <f t="shared" si="158"/>
        <v>0</v>
      </c>
      <c r="K2405">
        <f t="shared" si="159"/>
        <v>0</v>
      </c>
    </row>
    <row r="2406" spans="3:11" x14ac:dyDescent="0.25">
      <c r="C2406" s="9">
        <f t="shared" si="156"/>
        <v>1</v>
      </c>
      <c r="D2406">
        <f t="shared" si="157"/>
        <v>1900</v>
      </c>
      <c r="E2406">
        <f t="shared" si="158"/>
        <v>0</v>
      </c>
      <c r="K2406">
        <f t="shared" si="159"/>
        <v>0</v>
      </c>
    </row>
    <row r="2407" spans="3:11" x14ac:dyDescent="0.25">
      <c r="C2407" s="9">
        <f t="shared" si="156"/>
        <v>1</v>
      </c>
      <c r="D2407">
        <f t="shared" si="157"/>
        <v>1900</v>
      </c>
      <c r="E2407">
        <f t="shared" si="158"/>
        <v>0</v>
      </c>
      <c r="K2407">
        <f t="shared" si="159"/>
        <v>0</v>
      </c>
    </row>
    <row r="2408" spans="3:11" x14ac:dyDescent="0.25">
      <c r="C2408" s="9">
        <f t="shared" si="156"/>
        <v>1</v>
      </c>
      <c r="D2408">
        <f t="shared" si="157"/>
        <v>1900</v>
      </c>
      <c r="E2408">
        <f t="shared" si="158"/>
        <v>0</v>
      </c>
      <c r="K2408">
        <f t="shared" si="159"/>
        <v>0</v>
      </c>
    </row>
    <row r="2409" spans="3:11" x14ac:dyDescent="0.25">
      <c r="C2409" s="9">
        <f t="shared" si="156"/>
        <v>1</v>
      </c>
      <c r="D2409">
        <f t="shared" si="157"/>
        <v>1900</v>
      </c>
      <c r="E2409">
        <f t="shared" si="158"/>
        <v>0</v>
      </c>
      <c r="K2409">
        <f t="shared" si="159"/>
        <v>0</v>
      </c>
    </row>
    <row r="2410" spans="3:11" x14ac:dyDescent="0.25">
      <c r="C2410" s="9">
        <f t="shared" si="156"/>
        <v>1</v>
      </c>
      <c r="D2410">
        <f t="shared" si="157"/>
        <v>1900</v>
      </c>
      <c r="E2410">
        <f t="shared" si="158"/>
        <v>0</v>
      </c>
      <c r="K2410">
        <f t="shared" si="159"/>
        <v>0</v>
      </c>
    </row>
    <row r="2411" spans="3:11" x14ac:dyDescent="0.25">
      <c r="C2411" s="9">
        <f t="shared" si="156"/>
        <v>1</v>
      </c>
      <c r="D2411">
        <f t="shared" si="157"/>
        <v>1900</v>
      </c>
      <c r="E2411">
        <f t="shared" si="158"/>
        <v>0</v>
      </c>
      <c r="K2411">
        <f t="shared" si="159"/>
        <v>0</v>
      </c>
    </row>
    <row r="2412" spans="3:11" x14ac:dyDescent="0.25">
      <c r="C2412" s="9">
        <f t="shared" si="156"/>
        <v>1</v>
      </c>
      <c r="D2412">
        <f t="shared" si="157"/>
        <v>1900</v>
      </c>
      <c r="E2412">
        <f t="shared" si="158"/>
        <v>0</v>
      </c>
      <c r="K2412">
        <f t="shared" si="159"/>
        <v>0</v>
      </c>
    </row>
    <row r="2413" spans="3:11" x14ac:dyDescent="0.25">
      <c r="C2413" s="9">
        <f t="shared" si="156"/>
        <v>1</v>
      </c>
      <c r="D2413">
        <f t="shared" si="157"/>
        <v>1900</v>
      </c>
      <c r="E2413">
        <f t="shared" si="158"/>
        <v>0</v>
      </c>
      <c r="K2413">
        <f t="shared" si="159"/>
        <v>0</v>
      </c>
    </row>
    <row r="2414" spans="3:11" x14ac:dyDescent="0.25">
      <c r="C2414" s="9">
        <f t="shared" si="156"/>
        <v>1</v>
      </c>
      <c r="D2414">
        <f t="shared" si="157"/>
        <v>1900</v>
      </c>
      <c r="E2414">
        <f t="shared" si="158"/>
        <v>0</v>
      </c>
      <c r="K2414">
        <f t="shared" si="159"/>
        <v>0</v>
      </c>
    </row>
    <row r="2415" spans="3:11" x14ac:dyDescent="0.25">
      <c r="C2415" s="9">
        <f t="shared" si="156"/>
        <v>1</v>
      </c>
      <c r="D2415">
        <f t="shared" si="157"/>
        <v>1900</v>
      </c>
      <c r="E2415">
        <f t="shared" si="158"/>
        <v>0</v>
      </c>
      <c r="K2415">
        <f t="shared" si="159"/>
        <v>0</v>
      </c>
    </row>
    <row r="2416" spans="3:11" x14ac:dyDescent="0.25">
      <c r="C2416" s="9">
        <f t="shared" si="156"/>
        <v>1</v>
      </c>
      <c r="D2416">
        <f t="shared" si="157"/>
        <v>1900</v>
      </c>
      <c r="E2416">
        <f t="shared" si="158"/>
        <v>0</v>
      </c>
      <c r="K2416">
        <f t="shared" si="159"/>
        <v>0</v>
      </c>
    </row>
    <row r="2417" spans="3:11" x14ac:dyDescent="0.25">
      <c r="C2417" s="9">
        <f t="shared" si="156"/>
        <v>1</v>
      </c>
      <c r="D2417">
        <f t="shared" si="157"/>
        <v>1900</v>
      </c>
      <c r="E2417">
        <f t="shared" si="158"/>
        <v>0</v>
      </c>
      <c r="K2417">
        <f t="shared" si="159"/>
        <v>0</v>
      </c>
    </row>
    <row r="2418" spans="3:11" x14ac:dyDescent="0.25">
      <c r="C2418" s="9">
        <f t="shared" si="156"/>
        <v>1</v>
      </c>
      <c r="D2418">
        <f t="shared" si="157"/>
        <v>1900</v>
      </c>
      <c r="E2418">
        <f t="shared" si="158"/>
        <v>0</v>
      </c>
      <c r="K2418">
        <f t="shared" si="159"/>
        <v>0</v>
      </c>
    </row>
    <row r="2419" spans="3:11" x14ac:dyDescent="0.25">
      <c r="C2419" s="9">
        <f t="shared" si="156"/>
        <v>1</v>
      </c>
      <c r="D2419">
        <f t="shared" si="157"/>
        <v>1900</v>
      </c>
      <c r="E2419">
        <f t="shared" si="158"/>
        <v>0</v>
      </c>
      <c r="K2419">
        <f t="shared" si="159"/>
        <v>0</v>
      </c>
    </row>
    <row r="2420" spans="3:11" x14ac:dyDescent="0.25">
      <c r="C2420" s="9">
        <f t="shared" si="156"/>
        <v>1</v>
      </c>
      <c r="D2420">
        <f t="shared" si="157"/>
        <v>1900</v>
      </c>
      <c r="E2420">
        <f t="shared" si="158"/>
        <v>0</v>
      </c>
      <c r="K2420">
        <f t="shared" si="159"/>
        <v>0</v>
      </c>
    </row>
    <row r="2421" spans="3:11" x14ac:dyDescent="0.25">
      <c r="C2421" s="9">
        <f t="shared" si="156"/>
        <v>1</v>
      </c>
      <c r="D2421">
        <f t="shared" si="157"/>
        <v>1900</v>
      </c>
      <c r="E2421">
        <f t="shared" si="158"/>
        <v>0</v>
      </c>
      <c r="K2421">
        <f t="shared" si="159"/>
        <v>0</v>
      </c>
    </row>
    <row r="2422" spans="3:11" x14ac:dyDescent="0.25">
      <c r="C2422" s="9">
        <f t="shared" si="156"/>
        <v>1</v>
      </c>
      <c r="D2422">
        <f t="shared" si="157"/>
        <v>1900</v>
      </c>
      <c r="E2422">
        <f t="shared" si="158"/>
        <v>0</v>
      </c>
      <c r="K2422">
        <f t="shared" si="159"/>
        <v>0</v>
      </c>
    </row>
    <row r="2423" spans="3:11" x14ac:dyDescent="0.25">
      <c r="C2423" s="9">
        <f t="shared" si="156"/>
        <v>1</v>
      </c>
      <c r="D2423">
        <f t="shared" si="157"/>
        <v>1900</v>
      </c>
      <c r="E2423">
        <f t="shared" si="158"/>
        <v>0</v>
      </c>
      <c r="K2423">
        <f t="shared" si="159"/>
        <v>0</v>
      </c>
    </row>
    <row r="2424" spans="3:11" x14ac:dyDescent="0.25">
      <c r="C2424" s="9">
        <f t="shared" si="156"/>
        <v>1</v>
      </c>
      <c r="D2424">
        <f t="shared" si="157"/>
        <v>1900</v>
      </c>
      <c r="E2424">
        <f t="shared" si="158"/>
        <v>0</v>
      </c>
      <c r="K2424">
        <f t="shared" si="159"/>
        <v>0</v>
      </c>
    </row>
    <row r="2425" spans="3:11" x14ac:dyDescent="0.25">
      <c r="C2425" s="9">
        <f t="shared" si="156"/>
        <v>1</v>
      </c>
      <c r="D2425">
        <f t="shared" si="157"/>
        <v>1900</v>
      </c>
      <c r="E2425">
        <f t="shared" si="158"/>
        <v>0</v>
      </c>
      <c r="K2425">
        <f t="shared" si="159"/>
        <v>0</v>
      </c>
    </row>
    <row r="2426" spans="3:11" x14ac:dyDescent="0.25">
      <c r="C2426" s="9">
        <f t="shared" si="156"/>
        <v>1</v>
      </c>
      <c r="D2426">
        <f t="shared" si="157"/>
        <v>1900</v>
      </c>
      <c r="E2426">
        <f t="shared" si="158"/>
        <v>0</v>
      </c>
      <c r="K2426">
        <f t="shared" si="159"/>
        <v>0</v>
      </c>
    </row>
    <row r="2427" spans="3:11" x14ac:dyDescent="0.25">
      <c r="C2427" s="9">
        <f t="shared" si="156"/>
        <v>1</v>
      </c>
      <c r="D2427">
        <f t="shared" si="157"/>
        <v>1900</v>
      </c>
      <c r="E2427">
        <f t="shared" si="158"/>
        <v>0</v>
      </c>
      <c r="K2427">
        <f t="shared" si="159"/>
        <v>0</v>
      </c>
    </row>
    <row r="2428" spans="3:11" x14ac:dyDescent="0.25">
      <c r="C2428" s="9">
        <f t="shared" si="156"/>
        <v>1</v>
      </c>
      <c r="D2428">
        <f t="shared" si="157"/>
        <v>1900</v>
      </c>
      <c r="E2428">
        <f t="shared" si="158"/>
        <v>0</v>
      </c>
      <c r="K2428">
        <f t="shared" si="159"/>
        <v>0</v>
      </c>
    </row>
    <row r="2429" spans="3:11" x14ac:dyDescent="0.25">
      <c r="C2429" s="9">
        <f t="shared" si="156"/>
        <v>1</v>
      </c>
      <c r="D2429">
        <f t="shared" si="157"/>
        <v>1900</v>
      </c>
      <c r="E2429">
        <f t="shared" si="158"/>
        <v>0</v>
      </c>
      <c r="K2429">
        <f t="shared" si="159"/>
        <v>0</v>
      </c>
    </row>
    <row r="2430" spans="3:11" x14ac:dyDescent="0.25">
      <c r="C2430" s="9">
        <f t="shared" si="156"/>
        <v>1</v>
      </c>
      <c r="D2430">
        <f t="shared" si="157"/>
        <v>1900</v>
      </c>
      <c r="E2430">
        <f t="shared" si="158"/>
        <v>0</v>
      </c>
      <c r="K2430">
        <f t="shared" si="159"/>
        <v>0</v>
      </c>
    </row>
    <row r="2431" spans="3:11" x14ac:dyDescent="0.25">
      <c r="C2431" s="9">
        <f t="shared" si="156"/>
        <v>1</v>
      </c>
      <c r="D2431">
        <f t="shared" si="157"/>
        <v>1900</v>
      </c>
      <c r="E2431">
        <f t="shared" si="158"/>
        <v>0</v>
      </c>
      <c r="K2431">
        <f t="shared" si="159"/>
        <v>0</v>
      </c>
    </row>
    <row r="2432" spans="3:11" x14ac:dyDescent="0.25">
      <c r="C2432" s="9">
        <f t="shared" si="156"/>
        <v>1</v>
      </c>
      <c r="D2432">
        <f t="shared" si="157"/>
        <v>1900</v>
      </c>
      <c r="E2432">
        <f t="shared" si="158"/>
        <v>0</v>
      </c>
      <c r="K2432">
        <f t="shared" si="159"/>
        <v>0</v>
      </c>
    </row>
    <row r="2433" spans="3:11" x14ac:dyDescent="0.25">
      <c r="C2433" s="9">
        <f t="shared" si="156"/>
        <v>1</v>
      </c>
      <c r="D2433">
        <f t="shared" si="157"/>
        <v>1900</v>
      </c>
      <c r="E2433">
        <f t="shared" si="158"/>
        <v>0</v>
      </c>
      <c r="K2433">
        <f t="shared" si="159"/>
        <v>0</v>
      </c>
    </row>
    <row r="2434" spans="3:11" x14ac:dyDescent="0.25">
      <c r="C2434" s="9">
        <f t="shared" si="156"/>
        <v>1</v>
      </c>
      <c r="D2434">
        <f t="shared" si="157"/>
        <v>1900</v>
      </c>
      <c r="E2434">
        <f t="shared" si="158"/>
        <v>0</v>
      </c>
      <c r="K2434">
        <f t="shared" si="159"/>
        <v>0</v>
      </c>
    </row>
    <row r="2435" spans="3:11" x14ac:dyDescent="0.25">
      <c r="C2435" s="9">
        <f t="shared" si="156"/>
        <v>1</v>
      </c>
      <c r="D2435">
        <f t="shared" si="157"/>
        <v>1900</v>
      </c>
      <c r="E2435">
        <f t="shared" si="158"/>
        <v>0</v>
      </c>
      <c r="K2435">
        <f t="shared" si="159"/>
        <v>0</v>
      </c>
    </row>
    <row r="2436" spans="3:11" x14ac:dyDescent="0.25">
      <c r="C2436" s="9">
        <f t="shared" si="156"/>
        <v>1</v>
      </c>
      <c r="D2436">
        <f t="shared" si="157"/>
        <v>1900</v>
      </c>
      <c r="E2436">
        <f t="shared" si="158"/>
        <v>0</v>
      </c>
      <c r="K2436">
        <f t="shared" si="159"/>
        <v>0</v>
      </c>
    </row>
    <row r="2437" spans="3:11" x14ac:dyDescent="0.25">
      <c r="C2437" s="9">
        <f t="shared" si="156"/>
        <v>1</v>
      </c>
      <c r="D2437">
        <f t="shared" si="157"/>
        <v>1900</v>
      </c>
      <c r="E2437">
        <f t="shared" si="158"/>
        <v>0</v>
      </c>
      <c r="K2437">
        <f t="shared" si="159"/>
        <v>0</v>
      </c>
    </row>
    <row r="2438" spans="3:11" x14ac:dyDescent="0.25">
      <c r="C2438" s="9">
        <f t="shared" si="156"/>
        <v>1</v>
      </c>
      <c r="D2438">
        <f t="shared" si="157"/>
        <v>1900</v>
      </c>
      <c r="E2438">
        <f t="shared" si="158"/>
        <v>0</v>
      </c>
      <c r="K2438">
        <f t="shared" si="159"/>
        <v>0</v>
      </c>
    </row>
    <row r="2439" spans="3:11" x14ac:dyDescent="0.25">
      <c r="C2439" s="9">
        <f t="shared" si="156"/>
        <v>1</v>
      </c>
      <c r="D2439">
        <f t="shared" si="157"/>
        <v>1900</v>
      </c>
      <c r="E2439">
        <f t="shared" si="158"/>
        <v>0</v>
      </c>
      <c r="K2439">
        <f t="shared" si="159"/>
        <v>0</v>
      </c>
    </row>
    <row r="2440" spans="3:11" x14ac:dyDescent="0.25">
      <c r="C2440" s="9">
        <f t="shared" si="156"/>
        <v>1</v>
      </c>
      <c r="D2440">
        <f t="shared" si="157"/>
        <v>1900</v>
      </c>
      <c r="E2440">
        <f t="shared" si="158"/>
        <v>0</v>
      </c>
      <c r="K2440">
        <f t="shared" si="159"/>
        <v>0</v>
      </c>
    </row>
    <row r="2441" spans="3:11" x14ac:dyDescent="0.25">
      <c r="C2441" s="9">
        <f t="shared" si="156"/>
        <v>1</v>
      </c>
      <c r="D2441">
        <f t="shared" si="157"/>
        <v>1900</v>
      </c>
      <c r="E2441">
        <f t="shared" si="158"/>
        <v>0</v>
      </c>
      <c r="K2441">
        <f t="shared" si="159"/>
        <v>0</v>
      </c>
    </row>
    <row r="2442" spans="3:11" x14ac:dyDescent="0.25">
      <c r="C2442" s="9">
        <f t="shared" si="156"/>
        <v>1</v>
      </c>
      <c r="D2442">
        <f t="shared" si="157"/>
        <v>1900</v>
      </c>
      <c r="E2442">
        <f t="shared" si="158"/>
        <v>0</v>
      </c>
      <c r="K2442">
        <f t="shared" si="159"/>
        <v>0</v>
      </c>
    </row>
    <row r="2443" spans="3:11" x14ac:dyDescent="0.25">
      <c r="C2443" s="9">
        <f t="shared" si="156"/>
        <v>1</v>
      </c>
      <c r="D2443">
        <f t="shared" si="157"/>
        <v>1900</v>
      </c>
      <c r="E2443">
        <f t="shared" si="158"/>
        <v>0</v>
      </c>
      <c r="K2443">
        <f t="shared" si="159"/>
        <v>0</v>
      </c>
    </row>
    <row r="2444" spans="3:11" x14ac:dyDescent="0.25">
      <c r="C2444" s="9">
        <f t="shared" si="156"/>
        <v>1</v>
      </c>
      <c r="D2444">
        <f t="shared" si="157"/>
        <v>1900</v>
      </c>
      <c r="E2444">
        <f t="shared" si="158"/>
        <v>0</v>
      </c>
      <c r="K2444">
        <f t="shared" si="159"/>
        <v>0</v>
      </c>
    </row>
    <row r="2445" spans="3:11" x14ac:dyDescent="0.25">
      <c r="C2445" s="9">
        <f t="shared" si="156"/>
        <v>1</v>
      </c>
      <c r="D2445">
        <f t="shared" si="157"/>
        <v>1900</v>
      </c>
      <c r="E2445">
        <f t="shared" si="158"/>
        <v>0</v>
      </c>
      <c r="K2445">
        <f t="shared" si="159"/>
        <v>0</v>
      </c>
    </row>
    <row r="2446" spans="3:11" x14ac:dyDescent="0.25">
      <c r="C2446" s="9">
        <f t="shared" si="156"/>
        <v>1</v>
      </c>
      <c r="D2446">
        <f t="shared" si="157"/>
        <v>1900</v>
      </c>
      <c r="E2446">
        <f t="shared" si="158"/>
        <v>0</v>
      </c>
      <c r="K2446">
        <f t="shared" si="159"/>
        <v>0</v>
      </c>
    </row>
    <row r="2447" spans="3:11" x14ac:dyDescent="0.25">
      <c r="C2447" s="9">
        <f t="shared" ref="C2447:C2500" si="160">MONTH(B2447)</f>
        <v>1</v>
      </c>
      <c r="D2447">
        <f t="shared" ref="D2447:D2500" si="161">YEAR(B2447)</f>
        <v>1900</v>
      </c>
      <c r="E2447">
        <f t="shared" ref="E2447:E2500" si="162">IF(OR(A2447 = "GS",A2447 = "BP"),IF( OR(A2446="GS",A2446="BP"),IF(B2446=B2447,0,1),1),0)</f>
        <v>0</v>
      </c>
      <c r="K2447">
        <f t="shared" ref="K2447:K2500" si="163">I2447*60+J2447</f>
        <v>0</v>
      </c>
    </row>
    <row r="2448" spans="3:11" x14ac:dyDescent="0.25">
      <c r="C2448" s="9">
        <f t="shared" si="160"/>
        <v>1</v>
      </c>
      <c r="D2448">
        <f t="shared" si="161"/>
        <v>1900</v>
      </c>
      <c r="E2448">
        <f t="shared" si="162"/>
        <v>0</v>
      </c>
      <c r="K2448">
        <f t="shared" si="163"/>
        <v>0</v>
      </c>
    </row>
    <row r="2449" spans="3:11" x14ac:dyDescent="0.25">
      <c r="C2449" s="9">
        <f t="shared" si="160"/>
        <v>1</v>
      </c>
      <c r="D2449">
        <f t="shared" si="161"/>
        <v>1900</v>
      </c>
      <c r="E2449">
        <f t="shared" si="162"/>
        <v>0</v>
      </c>
      <c r="K2449">
        <f t="shared" si="163"/>
        <v>0</v>
      </c>
    </row>
    <row r="2450" spans="3:11" x14ac:dyDescent="0.25">
      <c r="C2450" s="9">
        <f t="shared" si="160"/>
        <v>1</v>
      </c>
      <c r="D2450">
        <f t="shared" si="161"/>
        <v>1900</v>
      </c>
      <c r="E2450">
        <f t="shared" si="162"/>
        <v>0</v>
      </c>
      <c r="K2450">
        <f t="shared" si="163"/>
        <v>0</v>
      </c>
    </row>
    <row r="2451" spans="3:11" x14ac:dyDescent="0.25">
      <c r="C2451" s="9">
        <f t="shared" si="160"/>
        <v>1</v>
      </c>
      <c r="D2451">
        <f t="shared" si="161"/>
        <v>1900</v>
      </c>
      <c r="E2451">
        <f t="shared" si="162"/>
        <v>0</v>
      </c>
      <c r="K2451">
        <f t="shared" si="163"/>
        <v>0</v>
      </c>
    </row>
    <row r="2452" spans="3:11" x14ac:dyDescent="0.25">
      <c r="C2452" s="9">
        <f t="shared" si="160"/>
        <v>1</v>
      </c>
      <c r="D2452">
        <f t="shared" si="161"/>
        <v>1900</v>
      </c>
      <c r="E2452">
        <f t="shared" si="162"/>
        <v>0</v>
      </c>
      <c r="K2452">
        <f t="shared" si="163"/>
        <v>0</v>
      </c>
    </row>
    <row r="2453" spans="3:11" x14ac:dyDescent="0.25">
      <c r="C2453" s="9">
        <f t="shared" si="160"/>
        <v>1</v>
      </c>
      <c r="D2453">
        <f t="shared" si="161"/>
        <v>1900</v>
      </c>
      <c r="E2453">
        <f t="shared" si="162"/>
        <v>0</v>
      </c>
      <c r="K2453">
        <f t="shared" si="163"/>
        <v>0</v>
      </c>
    </row>
    <row r="2454" spans="3:11" x14ac:dyDescent="0.25">
      <c r="C2454" s="9">
        <f t="shared" si="160"/>
        <v>1</v>
      </c>
      <c r="D2454">
        <f t="shared" si="161"/>
        <v>1900</v>
      </c>
      <c r="E2454">
        <f t="shared" si="162"/>
        <v>0</v>
      </c>
      <c r="K2454">
        <f t="shared" si="163"/>
        <v>0</v>
      </c>
    </row>
    <row r="2455" spans="3:11" x14ac:dyDescent="0.25">
      <c r="C2455" s="9">
        <f t="shared" si="160"/>
        <v>1</v>
      </c>
      <c r="D2455">
        <f t="shared" si="161"/>
        <v>1900</v>
      </c>
      <c r="E2455">
        <f t="shared" si="162"/>
        <v>0</v>
      </c>
      <c r="K2455">
        <f t="shared" si="163"/>
        <v>0</v>
      </c>
    </row>
    <row r="2456" spans="3:11" x14ac:dyDescent="0.25">
      <c r="C2456" s="9">
        <f t="shared" si="160"/>
        <v>1</v>
      </c>
      <c r="D2456">
        <f t="shared" si="161"/>
        <v>1900</v>
      </c>
      <c r="E2456">
        <f t="shared" si="162"/>
        <v>0</v>
      </c>
      <c r="K2456">
        <f t="shared" si="163"/>
        <v>0</v>
      </c>
    </row>
    <row r="2457" spans="3:11" x14ac:dyDescent="0.25">
      <c r="C2457" s="9">
        <f t="shared" si="160"/>
        <v>1</v>
      </c>
      <c r="D2457">
        <f t="shared" si="161"/>
        <v>1900</v>
      </c>
      <c r="E2457">
        <f t="shared" si="162"/>
        <v>0</v>
      </c>
      <c r="K2457">
        <f t="shared" si="163"/>
        <v>0</v>
      </c>
    </row>
    <row r="2458" spans="3:11" x14ac:dyDescent="0.25">
      <c r="C2458" s="9">
        <f t="shared" si="160"/>
        <v>1</v>
      </c>
      <c r="D2458">
        <f t="shared" si="161"/>
        <v>1900</v>
      </c>
      <c r="E2458">
        <f t="shared" si="162"/>
        <v>0</v>
      </c>
      <c r="K2458">
        <f t="shared" si="163"/>
        <v>0</v>
      </c>
    </row>
    <row r="2459" spans="3:11" x14ac:dyDescent="0.25">
      <c r="C2459" s="9">
        <f t="shared" si="160"/>
        <v>1</v>
      </c>
      <c r="D2459">
        <f t="shared" si="161"/>
        <v>1900</v>
      </c>
      <c r="E2459">
        <f t="shared" si="162"/>
        <v>0</v>
      </c>
      <c r="K2459">
        <f t="shared" si="163"/>
        <v>0</v>
      </c>
    </row>
    <row r="2460" spans="3:11" x14ac:dyDescent="0.25">
      <c r="C2460" s="9">
        <f t="shared" si="160"/>
        <v>1</v>
      </c>
      <c r="D2460">
        <f t="shared" si="161"/>
        <v>1900</v>
      </c>
      <c r="E2460">
        <f t="shared" si="162"/>
        <v>0</v>
      </c>
      <c r="K2460">
        <f t="shared" si="163"/>
        <v>0</v>
      </c>
    </row>
    <row r="2461" spans="3:11" x14ac:dyDescent="0.25">
      <c r="C2461" s="9">
        <f t="shared" si="160"/>
        <v>1</v>
      </c>
      <c r="D2461">
        <f t="shared" si="161"/>
        <v>1900</v>
      </c>
      <c r="E2461">
        <f t="shared" si="162"/>
        <v>0</v>
      </c>
      <c r="K2461">
        <f t="shared" si="163"/>
        <v>0</v>
      </c>
    </row>
    <row r="2462" spans="3:11" x14ac:dyDescent="0.25">
      <c r="C2462" s="9">
        <f t="shared" si="160"/>
        <v>1</v>
      </c>
      <c r="D2462">
        <f t="shared" si="161"/>
        <v>1900</v>
      </c>
      <c r="E2462">
        <f t="shared" si="162"/>
        <v>0</v>
      </c>
      <c r="K2462">
        <f t="shared" si="163"/>
        <v>0</v>
      </c>
    </row>
    <row r="2463" spans="3:11" x14ac:dyDescent="0.25">
      <c r="C2463" s="9">
        <f t="shared" si="160"/>
        <v>1</v>
      </c>
      <c r="D2463">
        <f t="shared" si="161"/>
        <v>1900</v>
      </c>
      <c r="E2463">
        <f t="shared" si="162"/>
        <v>0</v>
      </c>
      <c r="K2463">
        <f t="shared" si="163"/>
        <v>0</v>
      </c>
    </row>
    <row r="2464" spans="3:11" x14ac:dyDescent="0.25">
      <c r="C2464" s="9">
        <f t="shared" si="160"/>
        <v>1</v>
      </c>
      <c r="D2464">
        <f t="shared" si="161"/>
        <v>1900</v>
      </c>
      <c r="E2464">
        <f t="shared" si="162"/>
        <v>0</v>
      </c>
      <c r="K2464">
        <f t="shared" si="163"/>
        <v>0</v>
      </c>
    </row>
    <row r="2465" spans="3:11" x14ac:dyDescent="0.25">
      <c r="C2465" s="9">
        <f t="shared" si="160"/>
        <v>1</v>
      </c>
      <c r="D2465">
        <f t="shared" si="161"/>
        <v>1900</v>
      </c>
      <c r="E2465">
        <f t="shared" si="162"/>
        <v>0</v>
      </c>
      <c r="K2465">
        <f t="shared" si="163"/>
        <v>0</v>
      </c>
    </row>
    <row r="2466" spans="3:11" x14ac:dyDescent="0.25">
      <c r="C2466" s="9">
        <f t="shared" si="160"/>
        <v>1</v>
      </c>
      <c r="D2466">
        <f t="shared" si="161"/>
        <v>1900</v>
      </c>
      <c r="E2466">
        <f t="shared" si="162"/>
        <v>0</v>
      </c>
      <c r="K2466">
        <f t="shared" si="163"/>
        <v>0</v>
      </c>
    </row>
    <row r="2467" spans="3:11" x14ac:dyDescent="0.25">
      <c r="C2467" s="9">
        <f t="shared" si="160"/>
        <v>1</v>
      </c>
      <c r="D2467">
        <f t="shared" si="161"/>
        <v>1900</v>
      </c>
      <c r="E2467">
        <f t="shared" si="162"/>
        <v>0</v>
      </c>
      <c r="K2467">
        <f t="shared" si="163"/>
        <v>0</v>
      </c>
    </row>
    <row r="2468" spans="3:11" x14ac:dyDescent="0.25">
      <c r="C2468" s="9">
        <f t="shared" si="160"/>
        <v>1</v>
      </c>
      <c r="D2468">
        <f t="shared" si="161"/>
        <v>1900</v>
      </c>
      <c r="E2468">
        <f t="shared" si="162"/>
        <v>0</v>
      </c>
      <c r="K2468">
        <f t="shared" si="163"/>
        <v>0</v>
      </c>
    </row>
    <row r="2469" spans="3:11" x14ac:dyDescent="0.25">
      <c r="C2469" s="9">
        <f t="shared" si="160"/>
        <v>1</v>
      </c>
      <c r="D2469">
        <f t="shared" si="161"/>
        <v>1900</v>
      </c>
      <c r="E2469">
        <f t="shared" si="162"/>
        <v>0</v>
      </c>
      <c r="K2469">
        <f t="shared" si="163"/>
        <v>0</v>
      </c>
    </row>
    <row r="2470" spans="3:11" x14ac:dyDescent="0.25">
      <c r="C2470" s="9">
        <f t="shared" si="160"/>
        <v>1</v>
      </c>
      <c r="D2470">
        <f t="shared" si="161"/>
        <v>1900</v>
      </c>
      <c r="E2470">
        <f t="shared" si="162"/>
        <v>0</v>
      </c>
      <c r="K2470">
        <f t="shared" si="163"/>
        <v>0</v>
      </c>
    </row>
    <row r="2471" spans="3:11" x14ac:dyDescent="0.25">
      <c r="C2471" s="9">
        <f t="shared" si="160"/>
        <v>1</v>
      </c>
      <c r="D2471">
        <f t="shared" si="161"/>
        <v>1900</v>
      </c>
      <c r="E2471">
        <f t="shared" si="162"/>
        <v>0</v>
      </c>
      <c r="K2471">
        <f t="shared" si="163"/>
        <v>0</v>
      </c>
    </row>
    <row r="2472" spans="3:11" x14ac:dyDescent="0.25">
      <c r="C2472" s="9">
        <f t="shared" si="160"/>
        <v>1</v>
      </c>
      <c r="D2472">
        <f t="shared" si="161"/>
        <v>1900</v>
      </c>
      <c r="E2472">
        <f t="shared" si="162"/>
        <v>0</v>
      </c>
      <c r="K2472">
        <f t="shared" si="163"/>
        <v>0</v>
      </c>
    </row>
    <row r="2473" spans="3:11" x14ac:dyDescent="0.25">
      <c r="C2473" s="9">
        <f t="shared" si="160"/>
        <v>1</v>
      </c>
      <c r="D2473">
        <f t="shared" si="161"/>
        <v>1900</v>
      </c>
      <c r="E2473">
        <f t="shared" si="162"/>
        <v>0</v>
      </c>
      <c r="K2473">
        <f t="shared" si="163"/>
        <v>0</v>
      </c>
    </row>
    <row r="2474" spans="3:11" x14ac:dyDescent="0.25">
      <c r="C2474" s="9">
        <f t="shared" si="160"/>
        <v>1</v>
      </c>
      <c r="D2474">
        <f t="shared" si="161"/>
        <v>1900</v>
      </c>
      <c r="E2474">
        <f t="shared" si="162"/>
        <v>0</v>
      </c>
      <c r="K2474">
        <f t="shared" si="163"/>
        <v>0</v>
      </c>
    </row>
    <row r="2475" spans="3:11" x14ac:dyDescent="0.25">
      <c r="C2475" s="9">
        <f t="shared" si="160"/>
        <v>1</v>
      </c>
      <c r="D2475">
        <f t="shared" si="161"/>
        <v>1900</v>
      </c>
      <c r="E2475">
        <f t="shared" si="162"/>
        <v>0</v>
      </c>
      <c r="K2475">
        <f t="shared" si="163"/>
        <v>0</v>
      </c>
    </row>
    <row r="2476" spans="3:11" x14ac:dyDescent="0.25">
      <c r="C2476" s="9">
        <f t="shared" si="160"/>
        <v>1</v>
      </c>
      <c r="D2476">
        <f t="shared" si="161"/>
        <v>1900</v>
      </c>
      <c r="E2476">
        <f t="shared" si="162"/>
        <v>0</v>
      </c>
      <c r="K2476">
        <f t="shared" si="163"/>
        <v>0</v>
      </c>
    </row>
    <row r="2477" spans="3:11" x14ac:dyDescent="0.25">
      <c r="C2477" s="9">
        <f t="shared" si="160"/>
        <v>1</v>
      </c>
      <c r="D2477">
        <f t="shared" si="161"/>
        <v>1900</v>
      </c>
      <c r="E2477">
        <f t="shared" si="162"/>
        <v>0</v>
      </c>
      <c r="K2477">
        <f t="shared" si="163"/>
        <v>0</v>
      </c>
    </row>
    <row r="2478" spans="3:11" x14ac:dyDescent="0.25">
      <c r="C2478" s="9">
        <f t="shared" si="160"/>
        <v>1</v>
      </c>
      <c r="D2478">
        <f t="shared" si="161"/>
        <v>1900</v>
      </c>
      <c r="E2478">
        <f t="shared" si="162"/>
        <v>0</v>
      </c>
      <c r="K2478">
        <f t="shared" si="163"/>
        <v>0</v>
      </c>
    </row>
    <row r="2479" spans="3:11" x14ac:dyDescent="0.25">
      <c r="C2479" s="9">
        <f t="shared" si="160"/>
        <v>1</v>
      </c>
      <c r="D2479">
        <f t="shared" si="161"/>
        <v>1900</v>
      </c>
      <c r="E2479">
        <f t="shared" si="162"/>
        <v>0</v>
      </c>
      <c r="K2479">
        <f t="shared" si="163"/>
        <v>0</v>
      </c>
    </row>
    <row r="2480" spans="3:11" x14ac:dyDescent="0.25">
      <c r="C2480" s="9">
        <f t="shared" si="160"/>
        <v>1</v>
      </c>
      <c r="D2480">
        <f t="shared" si="161"/>
        <v>1900</v>
      </c>
      <c r="E2480">
        <f t="shared" si="162"/>
        <v>0</v>
      </c>
      <c r="K2480">
        <f t="shared" si="163"/>
        <v>0</v>
      </c>
    </row>
    <row r="2481" spans="3:11" x14ac:dyDescent="0.25">
      <c r="C2481" s="9">
        <f t="shared" si="160"/>
        <v>1</v>
      </c>
      <c r="D2481">
        <f t="shared" si="161"/>
        <v>1900</v>
      </c>
      <c r="E2481">
        <f t="shared" si="162"/>
        <v>0</v>
      </c>
      <c r="K2481">
        <f t="shared" si="163"/>
        <v>0</v>
      </c>
    </row>
    <row r="2482" spans="3:11" x14ac:dyDescent="0.25">
      <c r="C2482" s="9">
        <f t="shared" si="160"/>
        <v>1</v>
      </c>
      <c r="D2482">
        <f t="shared" si="161"/>
        <v>1900</v>
      </c>
      <c r="E2482">
        <f t="shared" si="162"/>
        <v>0</v>
      </c>
      <c r="K2482">
        <f t="shared" si="163"/>
        <v>0</v>
      </c>
    </row>
    <row r="2483" spans="3:11" x14ac:dyDescent="0.25">
      <c r="C2483" s="9">
        <f t="shared" si="160"/>
        <v>1</v>
      </c>
      <c r="D2483">
        <f t="shared" si="161"/>
        <v>1900</v>
      </c>
      <c r="E2483">
        <f t="shared" si="162"/>
        <v>0</v>
      </c>
      <c r="K2483">
        <f t="shared" si="163"/>
        <v>0</v>
      </c>
    </row>
    <row r="2484" spans="3:11" x14ac:dyDescent="0.25">
      <c r="C2484" s="9">
        <f t="shared" si="160"/>
        <v>1</v>
      </c>
      <c r="D2484">
        <f t="shared" si="161"/>
        <v>1900</v>
      </c>
      <c r="E2484">
        <f t="shared" si="162"/>
        <v>0</v>
      </c>
      <c r="K2484">
        <f t="shared" si="163"/>
        <v>0</v>
      </c>
    </row>
    <row r="2485" spans="3:11" x14ac:dyDescent="0.25">
      <c r="C2485" s="9">
        <f t="shared" si="160"/>
        <v>1</v>
      </c>
      <c r="D2485">
        <f t="shared" si="161"/>
        <v>1900</v>
      </c>
      <c r="E2485">
        <f t="shared" si="162"/>
        <v>0</v>
      </c>
      <c r="K2485">
        <f t="shared" si="163"/>
        <v>0</v>
      </c>
    </row>
    <row r="2486" spans="3:11" x14ac:dyDescent="0.25">
      <c r="C2486" s="9">
        <f t="shared" si="160"/>
        <v>1</v>
      </c>
      <c r="D2486">
        <f t="shared" si="161"/>
        <v>1900</v>
      </c>
      <c r="E2486">
        <f t="shared" si="162"/>
        <v>0</v>
      </c>
      <c r="K2486">
        <f t="shared" si="163"/>
        <v>0</v>
      </c>
    </row>
    <row r="2487" spans="3:11" x14ac:dyDescent="0.25">
      <c r="C2487" s="9">
        <f t="shared" si="160"/>
        <v>1</v>
      </c>
      <c r="D2487">
        <f t="shared" si="161"/>
        <v>1900</v>
      </c>
      <c r="E2487">
        <f t="shared" si="162"/>
        <v>0</v>
      </c>
      <c r="K2487">
        <f t="shared" si="163"/>
        <v>0</v>
      </c>
    </row>
    <row r="2488" spans="3:11" x14ac:dyDescent="0.25">
      <c r="C2488" s="9">
        <f t="shared" si="160"/>
        <v>1</v>
      </c>
      <c r="D2488">
        <f t="shared" si="161"/>
        <v>1900</v>
      </c>
      <c r="E2488">
        <f t="shared" si="162"/>
        <v>0</v>
      </c>
      <c r="K2488">
        <f t="shared" si="163"/>
        <v>0</v>
      </c>
    </row>
    <row r="2489" spans="3:11" x14ac:dyDescent="0.25">
      <c r="C2489" s="9">
        <f t="shared" si="160"/>
        <v>1</v>
      </c>
      <c r="D2489">
        <f t="shared" si="161"/>
        <v>1900</v>
      </c>
      <c r="E2489">
        <f t="shared" si="162"/>
        <v>0</v>
      </c>
      <c r="K2489">
        <f t="shared" si="163"/>
        <v>0</v>
      </c>
    </row>
    <row r="2490" spans="3:11" x14ac:dyDescent="0.25">
      <c r="C2490" s="9">
        <f t="shared" si="160"/>
        <v>1</v>
      </c>
      <c r="D2490">
        <f t="shared" si="161"/>
        <v>1900</v>
      </c>
      <c r="E2490">
        <f t="shared" si="162"/>
        <v>0</v>
      </c>
      <c r="K2490">
        <f t="shared" si="163"/>
        <v>0</v>
      </c>
    </row>
    <row r="2491" spans="3:11" x14ac:dyDescent="0.25">
      <c r="C2491" s="9">
        <f t="shared" si="160"/>
        <v>1</v>
      </c>
      <c r="D2491">
        <f t="shared" si="161"/>
        <v>1900</v>
      </c>
      <c r="E2491">
        <f t="shared" si="162"/>
        <v>0</v>
      </c>
      <c r="K2491">
        <f t="shared" si="163"/>
        <v>0</v>
      </c>
    </row>
    <row r="2492" spans="3:11" x14ac:dyDescent="0.25">
      <c r="C2492" s="9">
        <f t="shared" si="160"/>
        <v>1</v>
      </c>
      <c r="D2492">
        <f t="shared" si="161"/>
        <v>1900</v>
      </c>
      <c r="E2492">
        <f t="shared" si="162"/>
        <v>0</v>
      </c>
      <c r="K2492">
        <f t="shared" si="163"/>
        <v>0</v>
      </c>
    </row>
    <row r="2493" spans="3:11" x14ac:dyDescent="0.25">
      <c r="C2493" s="9">
        <f t="shared" si="160"/>
        <v>1</v>
      </c>
      <c r="D2493">
        <f t="shared" si="161"/>
        <v>1900</v>
      </c>
      <c r="E2493">
        <f t="shared" si="162"/>
        <v>0</v>
      </c>
      <c r="K2493">
        <f t="shared" si="163"/>
        <v>0</v>
      </c>
    </row>
    <row r="2494" spans="3:11" x14ac:dyDescent="0.25">
      <c r="C2494" s="9">
        <f t="shared" si="160"/>
        <v>1</v>
      </c>
      <c r="D2494">
        <f t="shared" si="161"/>
        <v>1900</v>
      </c>
      <c r="E2494">
        <f t="shared" si="162"/>
        <v>0</v>
      </c>
      <c r="K2494">
        <f t="shared" si="163"/>
        <v>0</v>
      </c>
    </row>
    <row r="2495" spans="3:11" x14ac:dyDescent="0.25">
      <c r="C2495" s="9">
        <f t="shared" si="160"/>
        <v>1</v>
      </c>
      <c r="D2495">
        <f t="shared" si="161"/>
        <v>1900</v>
      </c>
      <c r="E2495">
        <f t="shared" si="162"/>
        <v>0</v>
      </c>
      <c r="K2495">
        <f t="shared" si="163"/>
        <v>0</v>
      </c>
    </row>
    <row r="2496" spans="3:11" x14ac:dyDescent="0.25">
      <c r="C2496" s="9">
        <f t="shared" si="160"/>
        <v>1</v>
      </c>
      <c r="D2496">
        <f t="shared" si="161"/>
        <v>1900</v>
      </c>
      <c r="E2496">
        <f t="shared" si="162"/>
        <v>0</v>
      </c>
      <c r="K2496">
        <f t="shared" si="163"/>
        <v>0</v>
      </c>
    </row>
    <row r="2497" spans="3:11" x14ac:dyDescent="0.25">
      <c r="C2497" s="9">
        <f t="shared" si="160"/>
        <v>1</v>
      </c>
      <c r="D2497">
        <f t="shared" si="161"/>
        <v>1900</v>
      </c>
      <c r="E2497">
        <f t="shared" si="162"/>
        <v>0</v>
      </c>
      <c r="K2497">
        <f t="shared" si="163"/>
        <v>0</v>
      </c>
    </row>
    <row r="2498" spans="3:11" x14ac:dyDescent="0.25">
      <c r="C2498" s="9">
        <f t="shared" si="160"/>
        <v>1</v>
      </c>
      <c r="D2498">
        <f t="shared" si="161"/>
        <v>1900</v>
      </c>
      <c r="E2498">
        <f t="shared" si="162"/>
        <v>0</v>
      </c>
      <c r="K2498">
        <f t="shared" si="163"/>
        <v>0</v>
      </c>
    </row>
    <row r="2499" spans="3:11" x14ac:dyDescent="0.25">
      <c r="C2499" s="9">
        <f t="shared" si="160"/>
        <v>1</v>
      </c>
      <c r="D2499">
        <f t="shared" si="161"/>
        <v>1900</v>
      </c>
      <c r="E2499">
        <f t="shared" si="162"/>
        <v>0</v>
      </c>
      <c r="K2499">
        <f t="shared" si="163"/>
        <v>0</v>
      </c>
    </row>
    <row r="2500" spans="3:11" x14ac:dyDescent="0.25">
      <c r="C2500" s="9">
        <f t="shared" si="160"/>
        <v>1</v>
      </c>
      <c r="D2500">
        <f t="shared" si="161"/>
        <v>1900</v>
      </c>
      <c r="E2500">
        <f t="shared" si="162"/>
        <v>0</v>
      </c>
      <c r="K2500">
        <f t="shared" si="163"/>
        <v>0</v>
      </c>
    </row>
  </sheetData>
  <autoFilter ref="A1:Q2509" xr:uid="{00000000-0009-0000-0000-000000000000}"/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54"/>
  <sheetViews>
    <sheetView zoomScaleNormal="100" workbookViewId="0">
      <selection activeCell="L39" sqref="L39"/>
    </sheetView>
  </sheetViews>
  <sheetFormatPr baseColWidth="10" defaultColWidth="10.5703125" defaultRowHeight="15" x14ac:dyDescent="0.25"/>
  <cols>
    <col min="1" max="1" width="21.42578125" customWidth="1"/>
    <col min="2" max="2" width="9.42578125" customWidth="1"/>
    <col min="3" max="3" width="7.42578125" bestFit="1" customWidth="1"/>
    <col min="4" max="4" width="5.42578125" bestFit="1" customWidth="1"/>
    <col min="5" max="5" width="5.5703125" bestFit="1" customWidth="1"/>
    <col min="6" max="6" width="14.42578125" style="7" bestFit="1" customWidth="1"/>
    <col min="10" max="10" width="22.42578125" bestFit="1" customWidth="1"/>
    <col min="11" max="11" width="23.7109375" bestFit="1" customWidth="1"/>
    <col min="12" max="12" width="3" bestFit="1" customWidth="1"/>
    <col min="13" max="20" width="4" bestFit="1" customWidth="1"/>
    <col min="21" max="21" width="3" bestFit="1" customWidth="1"/>
    <col min="22" max="22" width="4" bestFit="1" customWidth="1"/>
    <col min="23" max="23" width="15.5703125" bestFit="1" customWidth="1"/>
    <col min="24" max="24" width="13.42578125" customWidth="1"/>
    <col min="25" max="25" width="17.42578125" bestFit="1" customWidth="1"/>
    <col min="26" max="26" width="13.42578125" bestFit="1" customWidth="1"/>
    <col min="27" max="27" width="34.28515625" bestFit="1" customWidth="1"/>
    <col min="28" max="28" width="23.7109375" bestFit="1" customWidth="1"/>
    <col min="29" max="57" width="5" bestFit="1" customWidth="1"/>
    <col min="58" max="58" width="15.5703125" bestFit="1" customWidth="1"/>
    <col min="59" max="59" width="6" bestFit="1" customWidth="1"/>
    <col min="60" max="61" width="5" bestFit="1" customWidth="1"/>
    <col min="62" max="62" width="6.28515625" bestFit="1" customWidth="1"/>
    <col min="63" max="63" width="15.5703125" bestFit="1" customWidth="1"/>
  </cols>
  <sheetData>
    <row r="1" spans="1:58" x14ac:dyDescent="0.25">
      <c r="A1" s="1" t="s">
        <v>340</v>
      </c>
      <c r="B1" t="s">
        <v>339</v>
      </c>
      <c r="AA1" s="1" t="s">
        <v>1014</v>
      </c>
      <c r="AB1" s="1" t="s">
        <v>784</v>
      </c>
    </row>
    <row r="2" spans="1:58" x14ac:dyDescent="0.25">
      <c r="A2" s="1" t="s">
        <v>5</v>
      </c>
      <c r="B2" t="s">
        <v>345</v>
      </c>
      <c r="J2" s="1" t="s">
        <v>340</v>
      </c>
      <c r="K2" t="s">
        <v>339</v>
      </c>
      <c r="AA2" s="1" t="s">
        <v>78</v>
      </c>
      <c r="AB2">
        <v>1995</v>
      </c>
      <c r="AC2">
        <v>1996</v>
      </c>
      <c r="AD2">
        <v>1998</v>
      </c>
      <c r="AE2">
        <v>1999</v>
      </c>
      <c r="AF2">
        <v>2000</v>
      </c>
      <c r="AG2">
        <v>2001</v>
      </c>
      <c r="AH2">
        <v>2002</v>
      </c>
      <c r="AI2">
        <v>2003</v>
      </c>
      <c r="AJ2">
        <v>2005</v>
      </c>
      <c r="AK2">
        <v>2006</v>
      </c>
      <c r="AL2">
        <v>2007</v>
      </c>
      <c r="AM2">
        <v>2008</v>
      </c>
      <c r="AN2">
        <v>2009</v>
      </c>
      <c r="AO2">
        <v>2010</v>
      </c>
      <c r="AP2">
        <v>2011</v>
      </c>
      <c r="AQ2">
        <v>2012</v>
      </c>
      <c r="AR2">
        <v>2013</v>
      </c>
      <c r="AS2">
        <v>2014</v>
      </c>
      <c r="AT2">
        <v>2015</v>
      </c>
      <c r="AU2">
        <v>2016</v>
      </c>
      <c r="AV2">
        <v>2017</v>
      </c>
      <c r="AW2">
        <v>2018</v>
      </c>
      <c r="AX2">
        <v>2019</v>
      </c>
      <c r="AY2">
        <v>2020</v>
      </c>
      <c r="AZ2">
        <v>2021</v>
      </c>
      <c r="BA2">
        <v>2022</v>
      </c>
      <c r="BB2">
        <v>2023</v>
      </c>
      <c r="BC2">
        <v>2024</v>
      </c>
      <c r="BD2">
        <v>2025</v>
      </c>
      <c r="BE2">
        <v>2026</v>
      </c>
      <c r="BF2" t="s">
        <v>79</v>
      </c>
    </row>
    <row r="3" spans="1:58" x14ac:dyDescent="0.25">
      <c r="A3" s="1" t="s">
        <v>1</v>
      </c>
      <c r="B3" t="s">
        <v>345</v>
      </c>
      <c r="J3" s="1" t="s">
        <v>33</v>
      </c>
      <c r="K3" t="s">
        <v>345</v>
      </c>
      <c r="AA3" s="2" t="s">
        <v>192</v>
      </c>
      <c r="AH3">
        <v>397</v>
      </c>
      <c r="BF3">
        <v>397</v>
      </c>
    </row>
    <row r="4" spans="1:58" x14ac:dyDescent="0.25">
      <c r="A4" s="1" t="s">
        <v>3</v>
      </c>
      <c r="B4" t="s">
        <v>345</v>
      </c>
      <c r="AA4" s="2" t="s">
        <v>140</v>
      </c>
      <c r="AD4">
        <v>195</v>
      </c>
      <c r="BF4">
        <v>195</v>
      </c>
    </row>
    <row r="5" spans="1:58" x14ac:dyDescent="0.25">
      <c r="J5" s="1" t="s">
        <v>785</v>
      </c>
      <c r="K5" s="1" t="s">
        <v>784</v>
      </c>
      <c r="AA5" s="2" t="s">
        <v>323</v>
      </c>
      <c r="AM5">
        <v>248</v>
      </c>
      <c r="BF5">
        <v>248</v>
      </c>
    </row>
    <row r="6" spans="1:58" x14ac:dyDescent="0.25">
      <c r="B6" s="1" t="s">
        <v>77</v>
      </c>
      <c r="J6" s="1" t="s">
        <v>78</v>
      </c>
      <c r="K6">
        <v>1</v>
      </c>
      <c r="L6">
        <v>2</v>
      </c>
      <c r="M6">
        <v>3</v>
      </c>
      <c r="N6">
        <v>4</v>
      </c>
      <c r="O6">
        <v>5</v>
      </c>
      <c r="P6">
        <v>6</v>
      </c>
      <c r="Q6">
        <v>7</v>
      </c>
      <c r="R6">
        <v>8</v>
      </c>
      <c r="S6">
        <v>9</v>
      </c>
      <c r="T6">
        <v>10</v>
      </c>
      <c r="U6">
        <v>11</v>
      </c>
      <c r="V6">
        <v>12</v>
      </c>
      <c r="W6" t="s">
        <v>79</v>
      </c>
      <c r="AA6" s="2" t="s">
        <v>239</v>
      </c>
      <c r="AJ6">
        <v>366</v>
      </c>
      <c r="AK6">
        <v>635</v>
      </c>
      <c r="AM6">
        <v>522</v>
      </c>
      <c r="AO6">
        <v>361</v>
      </c>
      <c r="AQ6">
        <v>517</v>
      </c>
      <c r="AR6">
        <v>504</v>
      </c>
      <c r="AS6">
        <v>348</v>
      </c>
      <c r="AU6">
        <v>757</v>
      </c>
      <c r="BF6">
        <v>4010</v>
      </c>
    </row>
    <row r="7" spans="1:58" x14ac:dyDescent="0.25">
      <c r="A7" s="1" t="s">
        <v>78</v>
      </c>
      <c r="B7" t="s">
        <v>82</v>
      </c>
      <c r="C7" t="s">
        <v>83</v>
      </c>
      <c r="D7" t="s">
        <v>84</v>
      </c>
      <c r="E7" t="s">
        <v>81</v>
      </c>
      <c r="J7" s="2">
        <v>1990</v>
      </c>
      <c r="O7">
        <v>3</v>
      </c>
      <c r="P7">
        <v>12</v>
      </c>
      <c r="Q7">
        <v>29</v>
      </c>
      <c r="R7">
        <v>14</v>
      </c>
      <c r="S7">
        <v>5</v>
      </c>
      <c r="T7">
        <v>2</v>
      </c>
      <c r="W7">
        <v>65</v>
      </c>
      <c r="AA7" s="2" t="s">
        <v>102</v>
      </c>
      <c r="AB7">
        <v>504</v>
      </c>
      <c r="BF7">
        <v>504</v>
      </c>
    </row>
    <row r="8" spans="1:58" x14ac:dyDescent="0.25">
      <c r="A8" s="2">
        <v>1990</v>
      </c>
      <c r="B8" s="3">
        <v>17.3</v>
      </c>
      <c r="C8" s="3">
        <v>15.969230769230769</v>
      </c>
      <c r="D8">
        <v>24</v>
      </c>
      <c r="E8">
        <v>65</v>
      </c>
      <c r="F8" s="7">
        <f>GETPIVOTDATA("Flüge",$A$6,"Jahr",1990)/GETPIVOTDATA("Tage",$A$6,"Jahr",1990)</f>
        <v>2.7083333333333335</v>
      </c>
      <c r="J8" s="2">
        <v>1991</v>
      </c>
      <c r="P8">
        <v>9</v>
      </c>
      <c r="Q8">
        <v>4</v>
      </c>
      <c r="R8">
        <v>3</v>
      </c>
      <c r="W8">
        <v>16</v>
      </c>
      <c r="AA8" s="2" t="s">
        <v>663</v>
      </c>
      <c r="AR8">
        <v>251</v>
      </c>
      <c r="BF8">
        <v>251</v>
      </c>
    </row>
    <row r="9" spans="1:58" x14ac:dyDescent="0.25">
      <c r="A9" s="2">
        <v>1991</v>
      </c>
      <c r="B9" s="3">
        <v>3.5166666666666666</v>
      </c>
      <c r="C9" s="3">
        <v>13.1875</v>
      </c>
      <c r="D9">
        <v>7</v>
      </c>
      <c r="E9">
        <v>16</v>
      </c>
      <c r="F9" s="7">
        <f>GETPIVOTDATA("Flüge",$A$6,"Jahr",1991)/GETPIVOTDATA("Tage",$A$6,"Jahr",1991)</f>
        <v>2.2857142857142856</v>
      </c>
      <c r="J9" s="2">
        <v>1993</v>
      </c>
      <c r="Q9">
        <v>3</v>
      </c>
      <c r="R9">
        <v>2</v>
      </c>
      <c r="S9">
        <v>3</v>
      </c>
      <c r="W9">
        <v>8</v>
      </c>
      <c r="AA9" s="2" t="s">
        <v>656</v>
      </c>
      <c r="AR9">
        <v>244</v>
      </c>
      <c r="AV9">
        <v>290</v>
      </c>
      <c r="BF9">
        <v>534</v>
      </c>
    </row>
    <row r="10" spans="1:58" x14ac:dyDescent="0.25">
      <c r="A10" s="2">
        <v>1993</v>
      </c>
      <c r="B10" s="3">
        <v>1.8666666666666667</v>
      </c>
      <c r="C10" s="3">
        <v>14</v>
      </c>
      <c r="D10">
        <v>8</v>
      </c>
      <c r="E10">
        <v>8</v>
      </c>
      <c r="F10" s="7">
        <f>GETPIVOTDATA("Flüge",$A$6,"Jahr",1993)/GETPIVOTDATA("Tage",$A$6,"Jahr",1993)</f>
        <v>1</v>
      </c>
      <c r="J10" s="2">
        <v>1994</v>
      </c>
      <c r="O10">
        <v>1</v>
      </c>
      <c r="P10">
        <v>2</v>
      </c>
      <c r="Q10">
        <v>2</v>
      </c>
      <c r="R10">
        <v>5</v>
      </c>
      <c r="S10">
        <v>5</v>
      </c>
      <c r="W10">
        <v>15</v>
      </c>
      <c r="AA10" s="2" t="s">
        <v>809</v>
      </c>
      <c r="AW10">
        <v>1057</v>
      </c>
      <c r="BF10">
        <v>1057</v>
      </c>
    </row>
    <row r="11" spans="1:58" x14ac:dyDescent="0.25">
      <c r="A11" s="2">
        <v>1994</v>
      </c>
      <c r="B11" s="3">
        <v>3.5333333333333332</v>
      </c>
      <c r="C11" s="3">
        <v>14.133333333333333</v>
      </c>
      <c r="D11">
        <v>7</v>
      </c>
      <c r="E11">
        <v>15</v>
      </c>
      <c r="J11" s="2">
        <v>1995</v>
      </c>
      <c r="O11">
        <v>2</v>
      </c>
      <c r="P11">
        <v>14</v>
      </c>
      <c r="Q11">
        <v>7</v>
      </c>
      <c r="R11">
        <v>1</v>
      </c>
      <c r="W11">
        <v>24</v>
      </c>
      <c r="AA11" s="2" t="s">
        <v>937</v>
      </c>
      <c r="AY11">
        <v>699</v>
      </c>
      <c r="BF11">
        <v>699</v>
      </c>
    </row>
    <row r="12" spans="1:58" x14ac:dyDescent="0.25">
      <c r="A12" s="2">
        <v>1995</v>
      </c>
      <c r="B12" s="3">
        <v>14.4</v>
      </c>
      <c r="C12" s="3">
        <v>36</v>
      </c>
      <c r="D12">
        <v>15</v>
      </c>
      <c r="E12">
        <v>24</v>
      </c>
      <c r="J12" s="2">
        <v>1996</v>
      </c>
      <c r="O12">
        <v>1</v>
      </c>
      <c r="P12">
        <v>1</v>
      </c>
      <c r="Q12">
        <v>2</v>
      </c>
      <c r="R12">
        <v>1</v>
      </c>
      <c r="S12">
        <v>2</v>
      </c>
      <c r="U12">
        <v>4</v>
      </c>
      <c r="W12">
        <v>11</v>
      </c>
      <c r="AA12" s="2" t="s">
        <v>872</v>
      </c>
      <c r="AX12">
        <v>1126</v>
      </c>
      <c r="BF12">
        <v>1126</v>
      </c>
    </row>
    <row r="13" spans="1:58" x14ac:dyDescent="0.25">
      <c r="A13" s="2">
        <v>1996</v>
      </c>
      <c r="B13" s="3">
        <v>7.8166666666666664</v>
      </c>
      <c r="C13" s="3">
        <v>42.636363636363633</v>
      </c>
      <c r="D13">
        <v>9</v>
      </c>
      <c r="E13">
        <v>11</v>
      </c>
      <c r="J13" s="2">
        <v>1997</v>
      </c>
      <c r="L13">
        <v>1</v>
      </c>
      <c r="M13">
        <v>3</v>
      </c>
      <c r="P13">
        <v>2</v>
      </c>
      <c r="Q13">
        <v>7</v>
      </c>
      <c r="R13">
        <v>3</v>
      </c>
      <c r="S13">
        <v>1</v>
      </c>
      <c r="W13">
        <v>17</v>
      </c>
      <c r="AA13" s="2" t="s">
        <v>611</v>
      </c>
      <c r="AU13">
        <v>1535</v>
      </c>
      <c r="AY13">
        <v>2423</v>
      </c>
      <c r="BF13">
        <v>3958</v>
      </c>
    </row>
    <row r="14" spans="1:58" x14ac:dyDescent="0.25">
      <c r="A14" s="2">
        <v>1997</v>
      </c>
      <c r="B14" s="3">
        <v>10.633333333333333</v>
      </c>
      <c r="C14" s="3">
        <v>37.529411764705884</v>
      </c>
      <c r="D14">
        <v>16</v>
      </c>
      <c r="E14">
        <v>17</v>
      </c>
      <c r="J14" s="2">
        <v>1998</v>
      </c>
      <c r="N14">
        <v>3</v>
      </c>
      <c r="P14">
        <v>1</v>
      </c>
      <c r="Q14">
        <v>3</v>
      </c>
      <c r="R14">
        <v>3</v>
      </c>
      <c r="W14">
        <v>10</v>
      </c>
      <c r="AA14" s="2" t="s">
        <v>763</v>
      </c>
      <c r="AW14">
        <v>584</v>
      </c>
      <c r="AX14">
        <v>1105</v>
      </c>
      <c r="AY14">
        <v>1216</v>
      </c>
      <c r="BB14">
        <v>1047</v>
      </c>
      <c r="BC14">
        <v>635</v>
      </c>
      <c r="BE14">
        <v>434</v>
      </c>
      <c r="BF14">
        <v>5021</v>
      </c>
    </row>
    <row r="15" spans="1:58" x14ac:dyDescent="0.25">
      <c r="A15" s="2">
        <v>1998</v>
      </c>
      <c r="B15" s="3">
        <v>10.366666666666667</v>
      </c>
      <c r="C15" s="3">
        <v>62.2</v>
      </c>
      <c r="D15">
        <v>9</v>
      </c>
      <c r="E15">
        <v>10</v>
      </c>
      <c r="J15" s="2">
        <v>1999</v>
      </c>
      <c r="N15">
        <v>3</v>
      </c>
      <c r="O15">
        <v>10</v>
      </c>
      <c r="P15">
        <v>1</v>
      </c>
      <c r="R15">
        <v>3</v>
      </c>
      <c r="S15">
        <v>2</v>
      </c>
      <c r="W15">
        <v>19</v>
      </c>
      <c r="AA15" s="2" t="s">
        <v>969</v>
      </c>
      <c r="AZ15">
        <v>503</v>
      </c>
      <c r="BF15">
        <v>503</v>
      </c>
    </row>
    <row r="16" spans="1:58" x14ac:dyDescent="0.25">
      <c r="A16" s="2">
        <v>1999</v>
      </c>
      <c r="B16" s="3">
        <v>11.25</v>
      </c>
      <c r="C16" s="3">
        <v>35.526315789473685</v>
      </c>
      <c r="D16">
        <v>16</v>
      </c>
      <c r="E16">
        <v>19</v>
      </c>
      <c r="J16" s="2">
        <v>2000</v>
      </c>
      <c r="N16">
        <v>1</v>
      </c>
      <c r="O16">
        <v>8</v>
      </c>
      <c r="P16">
        <v>7</v>
      </c>
      <c r="Q16">
        <v>7</v>
      </c>
      <c r="R16">
        <v>7</v>
      </c>
      <c r="S16">
        <v>1</v>
      </c>
      <c r="W16">
        <v>31</v>
      </c>
      <c r="AA16" s="2" t="s">
        <v>736</v>
      </c>
      <c r="AW16">
        <v>188</v>
      </c>
      <c r="BF16">
        <v>188</v>
      </c>
    </row>
    <row r="17" spans="1:58" x14ac:dyDescent="0.25">
      <c r="A17" s="2">
        <v>2000</v>
      </c>
      <c r="B17" s="3">
        <v>22.45</v>
      </c>
      <c r="C17" s="3">
        <v>43.451612903225808</v>
      </c>
      <c r="D17">
        <v>25</v>
      </c>
      <c r="E17">
        <v>31</v>
      </c>
      <c r="J17" s="2">
        <v>2001</v>
      </c>
      <c r="N17">
        <v>8</v>
      </c>
      <c r="O17">
        <v>6</v>
      </c>
      <c r="P17">
        <v>6</v>
      </c>
      <c r="Q17">
        <v>4</v>
      </c>
      <c r="R17">
        <v>4</v>
      </c>
      <c r="T17">
        <v>1</v>
      </c>
      <c r="W17">
        <v>29</v>
      </c>
      <c r="AA17" s="2" t="s">
        <v>900</v>
      </c>
      <c r="AY17">
        <v>952</v>
      </c>
      <c r="BF17">
        <v>952</v>
      </c>
    </row>
    <row r="18" spans="1:58" x14ac:dyDescent="0.25">
      <c r="A18" s="2">
        <v>2001</v>
      </c>
      <c r="B18" s="3">
        <v>20.173333333333336</v>
      </c>
      <c r="C18" s="3">
        <v>41.737931034482763</v>
      </c>
      <c r="D18">
        <v>23</v>
      </c>
      <c r="E18">
        <v>29</v>
      </c>
      <c r="J18" s="2">
        <v>2002</v>
      </c>
      <c r="N18">
        <v>11</v>
      </c>
      <c r="O18">
        <v>6</v>
      </c>
      <c r="P18">
        <v>6</v>
      </c>
      <c r="Q18">
        <v>3</v>
      </c>
      <c r="R18">
        <v>3</v>
      </c>
      <c r="S18">
        <v>2</v>
      </c>
      <c r="W18">
        <v>31</v>
      </c>
      <c r="AA18" s="2" t="s">
        <v>509</v>
      </c>
      <c r="AS18">
        <v>736</v>
      </c>
      <c r="AT18">
        <v>718</v>
      </c>
      <c r="AU18">
        <v>839</v>
      </c>
      <c r="AV18">
        <v>818</v>
      </c>
      <c r="AX18">
        <v>374</v>
      </c>
      <c r="AZ18">
        <v>771</v>
      </c>
      <c r="BA18">
        <v>348</v>
      </c>
      <c r="BB18">
        <v>381</v>
      </c>
      <c r="BF18">
        <v>4985</v>
      </c>
    </row>
    <row r="19" spans="1:58" x14ac:dyDescent="0.25">
      <c r="A19" s="2">
        <v>2002</v>
      </c>
      <c r="B19" s="3">
        <v>29.133333333333333</v>
      </c>
      <c r="C19" s="3">
        <v>56.387096774193552</v>
      </c>
      <c r="D19">
        <v>25</v>
      </c>
      <c r="E19">
        <v>31</v>
      </c>
      <c r="J19" s="2">
        <v>2003</v>
      </c>
      <c r="M19">
        <v>2</v>
      </c>
      <c r="N19">
        <v>3</v>
      </c>
      <c r="O19">
        <v>10</v>
      </c>
      <c r="P19">
        <v>7</v>
      </c>
      <c r="Q19">
        <v>3</v>
      </c>
      <c r="R19">
        <v>1</v>
      </c>
      <c r="W19">
        <v>26</v>
      </c>
      <c r="AA19" s="2" t="s">
        <v>545</v>
      </c>
      <c r="AT19">
        <v>364</v>
      </c>
      <c r="BF19">
        <v>364</v>
      </c>
    </row>
    <row r="20" spans="1:58" x14ac:dyDescent="0.25">
      <c r="A20" s="2">
        <v>2003</v>
      </c>
      <c r="B20" s="3">
        <v>35.733333333333334</v>
      </c>
      <c r="C20" s="3">
        <v>82.461538461538467</v>
      </c>
      <c r="D20">
        <v>23</v>
      </c>
      <c r="E20">
        <v>26</v>
      </c>
      <c r="J20" s="2">
        <v>2004</v>
      </c>
      <c r="O20">
        <v>3</v>
      </c>
      <c r="P20">
        <v>2</v>
      </c>
      <c r="Q20">
        <v>5</v>
      </c>
      <c r="R20">
        <v>2</v>
      </c>
      <c r="S20">
        <v>1</v>
      </c>
      <c r="W20">
        <v>13</v>
      </c>
      <c r="AA20" s="2" t="s">
        <v>696</v>
      </c>
      <c r="AV20">
        <v>932</v>
      </c>
      <c r="AW20">
        <v>694</v>
      </c>
      <c r="BB20">
        <v>640</v>
      </c>
      <c r="BD20">
        <v>635</v>
      </c>
      <c r="BF20">
        <v>2901</v>
      </c>
    </row>
    <row r="21" spans="1:58" x14ac:dyDescent="0.25">
      <c r="A21" s="2">
        <v>2004</v>
      </c>
      <c r="B21" s="3">
        <v>16.95</v>
      </c>
      <c r="C21" s="3">
        <v>78.230769230769226</v>
      </c>
      <c r="D21">
        <v>12</v>
      </c>
      <c r="E21">
        <v>13</v>
      </c>
      <c r="J21" s="2">
        <v>2005</v>
      </c>
      <c r="N21">
        <v>5</v>
      </c>
      <c r="O21">
        <v>3</v>
      </c>
      <c r="P21">
        <v>4</v>
      </c>
      <c r="Q21">
        <v>4</v>
      </c>
      <c r="S21">
        <v>11</v>
      </c>
      <c r="T21">
        <v>5</v>
      </c>
      <c r="W21">
        <v>32</v>
      </c>
      <c r="AA21" s="2" t="s">
        <v>617</v>
      </c>
      <c r="AU21">
        <v>203</v>
      </c>
      <c r="AV21">
        <v>211</v>
      </c>
      <c r="AX21">
        <v>363</v>
      </c>
      <c r="BB21">
        <v>155</v>
      </c>
      <c r="BF21">
        <v>932</v>
      </c>
    </row>
    <row r="22" spans="1:58" x14ac:dyDescent="0.25">
      <c r="A22" s="2">
        <v>2005</v>
      </c>
      <c r="B22" s="3">
        <v>28.75</v>
      </c>
      <c r="C22" s="3">
        <v>53.90625</v>
      </c>
      <c r="D22">
        <v>25</v>
      </c>
      <c r="E22">
        <v>32</v>
      </c>
      <c r="J22" s="2">
        <v>2006</v>
      </c>
      <c r="N22">
        <v>2</v>
      </c>
      <c r="O22">
        <v>1</v>
      </c>
      <c r="P22">
        <v>8</v>
      </c>
      <c r="Q22">
        <v>5</v>
      </c>
      <c r="S22">
        <v>10</v>
      </c>
      <c r="W22">
        <v>26</v>
      </c>
      <c r="AA22" s="2" t="s">
        <v>841</v>
      </c>
      <c r="AX22">
        <v>493</v>
      </c>
      <c r="BA22">
        <v>516</v>
      </c>
      <c r="BF22">
        <v>1009</v>
      </c>
    </row>
    <row r="23" spans="1:58" x14ac:dyDescent="0.25">
      <c r="A23" s="2">
        <v>2006</v>
      </c>
      <c r="B23" s="3">
        <v>32.75</v>
      </c>
      <c r="C23" s="3">
        <v>75.57692307692308</v>
      </c>
      <c r="D23">
        <v>20</v>
      </c>
      <c r="E23">
        <v>26</v>
      </c>
      <c r="J23" s="2">
        <v>2007</v>
      </c>
      <c r="L23">
        <v>1</v>
      </c>
      <c r="N23">
        <v>4</v>
      </c>
      <c r="O23">
        <v>10</v>
      </c>
      <c r="P23">
        <v>2</v>
      </c>
      <c r="Q23">
        <v>8</v>
      </c>
      <c r="R23">
        <v>3</v>
      </c>
      <c r="T23">
        <v>15</v>
      </c>
      <c r="U23">
        <v>4</v>
      </c>
      <c r="W23">
        <v>47</v>
      </c>
      <c r="AA23" s="2" t="s">
        <v>731</v>
      </c>
      <c r="AV23">
        <v>1515</v>
      </c>
      <c r="BF23">
        <v>1515</v>
      </c>
    </row>
    <row r="24" spans="1:58" x14ac:dyDescent="0.25">
      <c r="A24" s="2">
        <v>2007</v>
      </c>
      <c r="B24" s="3">
        <v>36.9</v>
      </c>
      <c r="C24" s="3">
        <v>47.106382978723403</v>
      </c>
      <c r="D24">
        <v>32</v>
      </c>
      <c r="E24">
        <v>47</v>
      </c>
      <c r="J24" s="2">
        <v>2008</v>
      </c>
      <c r="L24">
        <v>2</v>
      </c>
      <c r="M24">
        <v>3</v>
      </c>
      <c r="N24">
        <v>9</v>
      </c>
      <c r="O24">
        <v>8</v>
      </c>
      <c r="P24">
        <v>4</v>
      </c>
      <c r="Q24">
        <v>8</v>
      </c>
      <c r="R24">
        <v>10</v>
      </c>
      <c r="S24">
        <v>17</v>
      </c>
      <c r="V24">
        <v>3</v>
      </c>
      <c r="W24">
        <v>64</v>
      </c>
      <c r="AA24" s="2" t="s">
        <v>643</v>
      </c>
      <c r="BB24">
        <v>945</v>
      </c>
      <c r="BC24">
        <v>616</v>
      </c>
      <c r="BF24">
        <v>1561</v>
      </c>
    </row>
    <row r="25" spans="1:58" x14ac:dyDescent="0.25">
      <c r="A25" s="2">
        <v>2008</v>
      </c>
      <c r="B25" s="3">
        <v>59.716666666666669</v>
      </c>
      <c r="C25" s="3">
        <v>55.984375</v>
      </c>
      <c r="D25">
        <v>46</v>
      </c>
      <c r="E25">
        <v>64</v>
      </c>
      <c r="J25" s="2">
        <v>2009</v>
      </c>
      <c r="K25">
        <v>17</v>
      </c>
      <c r="L25">
        <v>2</v>
      </c>
      <c r="M25">
        <v>2</v>
      </c>
      <c r="N25">
        <v>5</v>
      </c>
      <c r="O25">
        <v>6</v>
      </c>
      <c r="P25">
        <v>9</v>
      </c>
      <c r="Q25">
        <v>7</v>
      </c>
      <c r="R25">
        <v>4</v>
      </c>
      <c r="S25">
        <v>7</v>
      </c>
      <c r="T25">
        <v>4</v>
      </c>
      <c r="W25">
        <v>63</v>
      </c>
      <c r="AA25" s="2" t="s">
        <v>946</v>
      </c>
      <c r="AZ25">
        <v>91</v>
      </c>
      <c r="BF25">
        <v>91</v>
      </c>
    </row>
    <row r="26" spans="1:58" x14ac:dyDescent="0.25">
      <c r="A26" s="2">
        <v>2009</v>
      </c>
      <c r="B26" s="3">
        <v>39.15</v>
      </c>
      <c r="C26" s="3">
        <v>37.285714285714285</v>
      </c>
      <c r="D26">
        <v>45</v>
      </c>
      <c r="E26">
        <v>63</v>
      </c>
      <c r="J26" s="2">
        <v>2010</v>
      </c>
      <c r="K26">
        <v>1</v>
      </c>
      <c r="M26">
        <v>1</v>
      </c>
      <c r="N26">
        <v>6</v>
      </c>
      <c r="O26">
        <v>10</v>
      </c>
      <c r="P26">
        <v>14</v>
      </c>
      <c r="Q26">
        <v>7</v>
      </c>
      <c r="R26">
        <v>6</v>
      </c>
      <c r="S26">
        <v>15</v>
      </c>
      <c r="T26">
        <v>12</v>
      </c>
      <c r="W26">
        <v>72</v>
      </c>
      <c r="AA26" s="2" t="s">
        <v>787</v>
      </c>
      <c r="AW26">
        <v>747</v>
      </c>
      <c r="BA26">
        <v>642</v>
      </c>
      <c r="BB26">
        <v>497</v>
      </c>
      <c r="BD26">
        <v>710</v>
      </c>
      <c r="BF26">
        <v>2596</v>
      </c>
    </row>
    <row r="27" spans="1:58" x14ac:dyDescent="0.25">
      <c r="A27" s="2">
        <v>2010</v>
      </c>
      <c r="B27" s="3">
        <v>55.766666666666666</v>
      </c>
      <c r="C27" s="3">
        <v>46.472222222222221</v>
      </c>
      <c r="D27">
        <v>50</v>
      </c>
      <c r="E27">
        <v>72</v>
      </c>
      <c r="J27" s="2">
        <v>2011</v>
      </c>
      <c r="K27">
        <v>2</v>
      </c>
      <c r="M27">
        <v>10</v>
      </c>
      <c r="N27">
        <v>7</v>
      </c>
      <c r="O27">
        <v>7</v>
      </c>
      <c r="P27">
        <v>6</v>
      </c>
      <c r="Q27">
        <v>10</v>
      </c>
      <c r="R27">
        <v>8</v>
      </c>
      <c r="T27">
        <v>9</v>
      </c>
      <c r="V27">
        <v>2</v>
      </c>
      <c r="W27">
        <v>61</v>
      </c>
      <c r="AA27" s="2" t="s">
        <v>759</v>
      </c>
      <c r="AW27">
        <v>306</v>
      </c>
      <c r="BF27">
        <v>306</v>
      </c>
    </row>
    <row r="28" spans="1:58" x14ac:dyDescent="0.25">
      <c r="A28" s="2">
        <v>2011</v>
      </c>
      <c r="B28" s="3">
        <v>60.5</v>
      </c>
      <c r="C28" s="3">
        <v>59.508196721311478</v>
      </c>
      <c r="D28">
        <v>52</v>
      </c>
      <c r="E28">
        <v>61</v>
      </c>
      <c r="J28" s="2">
        <v>2012</v>
      </c>
      <c r="L28">
        <v>10</v>
      </c>
      <c r="M28">
        <v>9</v>
      </c>
      <c r="O28">
        <v>12</v>
      </c>
      <c r="P28">
        <v>6</v>
      </c>
      <c r="Q28">
        <v>2</v>
      </c>
      <c r="R28">
        <v>11</v>
      </c>
      <c r="S28">
        <v>20</v>
      </c>
      <c r="T28">
        <v>1</v>
      </c>
      <c r="W28">
        <v>71</v>
      </c>
      <c r="AA28" s="2" t="s">
        <v>216</v>
      </c>
      <c r="AI28">
        <v>697</v>
      </c>
      <c r="BF28">
        <v>697</v>
      </c>
    </row>
    <row r="29" spans="1:58" x14ac:dyDescent="0.25">
      <c r="A29" s="2">
        <v>2012</v>
      </c>
      <c r="B29" s="3">
        <v>66.13333333333334</v>
      </c>
      <c r="C29" s="3">
        <v>55.887323943661968</v>
      </c>
      <c r="D29">
        <v>56</v>
      </c>
      <c r="E29">
        <v>71</v>
      </c>
      <c r="J29" s="2">
        <v>2013</v>
      </c>
      <c r="L29">
        <v>10</v>
      </c>
      <c r="M29">
        <v>8</v>
      </c>
      <c r="N29">
        <v>3</v>
      </c>
      <c r="O29">
        <v>10</v>
      </c>
      <c r="P29">
        <v>7</v>
      </c>
      <c r="Q29">
        <v>12</v>
      </c>
      <c r="R29">
        <v>12</v>
      </c>
      <c r="S29">
        <v>9</v>
      </c>
      <c r="T29">
        <v>6</v>
      </c>
      <c r="V29">
        <v>2</v>
      </c>
      <c r="W29">
        <v>79</v>
      </c>
      <c r="AA29" s="2" t="s">
        <v>144</v>
      </c>
      <c r="AE29">
        <v>212</v>
      </c>
      <c r="BF29">
        <v>212</v>
      </c>
    </row>
    <row r="30" spans="1:58" x14ac:dyDescent="0.25">
      <c r="A30" s="2">
        <v>2013</v>
      </c>
      <c r="B30" s="3">
        <v>65.233333333333334</v>
      </c>
      <c r="C30" s="3">
        <v>49.544303797468352</v>
      </c>
      <c r="D30">
        <v>58</v>
      </c>
      <c r="E30">
        <v>79</v>
      </c>
      <c r="J30" s="2">
        <v>2014</v>
      </c>
      <c r="M30">
        <v>5</v>
      </c>
      <c r="O30">
        <v>6</v>
      </c>
      <c r="P30">
        <v>14</v>
      </c>
      <c r="Q30">
        <v>3</v>
      </c>
      <c r="R30">
        <v>5</v>
      </c>
      <c r="S30">
        <v>12</v>
      </c>
      <c r="T30">
        <v>13</v>
      </c>
      <c r="U30">
        <v>7</v>
      </c>
      <c r="W30">
        <v>65</v>
      </c>
      <c r="AA30" s="2" t="s">
        <v>419</v>
      </c>
      <c r="AC30">
        <v>158</v>
      </c>
      <c r="AL30">
        <v>488</v>
      </c>
      <c r="AO30">
        <v>325</v>
      </c>
      <c r="BF30">
        <v>971</v>
      </c>
    </row>
    <row r="31" spans="1:58" x14ac:dyDescent="0.25">
      <c r="A31" s="2">
        <v>2014</v>
      </c>
      <c r="B31" s="3">
        <v>55.366666666666667</v>
      </c>
      <c r="C31" s="3">
        <v>51.107692307692311</v>
      </c>
      <c r="D31">
        <v>46</v>
      </c>
      <c r="E31">
        <v>65</v>
      </c>
      <c r="J31" s="2">
        <v>2015</v>
      </c>
      <c r="M31">
        <v>2</v>
      </c>
      <c r="N31">
        <v>3</v>
      </c>
      <c r="O31">
        <v>16</v>
      </c>
      <c r="P31">
        <v>10</v>
      </c>
      <c r="Q31">
        <v>9</v>
      </c>
      <c r="R31">
        <v>9</v>
      </c>
      <c r="S31">
        <v>7</v>
      </c>
      <c r="T31">
        <v>30</v>
      </c>
      <c r="U31">
        <v>5</v>
      </c>
      <c r="V31">
        <v>16</v>
      </c>
      <c r="W31">
        <v>107</v>
      </c>
      <c r="AA31" s="2" t="s">
        <v>531</v>
      </c>
      <c r="AS31">
        <v>792</v>
      </c>
      <c r="AT31">
        <v>1269</v>
      </c>
      <c r="BF31">
        <v>2061</v>
      </c>
    </row>
    <row r="32" spans="1:58" x14ac:dyDescent="0.25">
      <c r="A32" s="2">
        <v>2015</v>
      </c>
      <c r="B32" s="3">
        <v>112.26666666666667</v>
      </c>
      <c r="C32" s="3">
        <v>62.953271028037385</v>
      </c>
      <c r="D32">
        <v>77</v>
      </c>
      <c r="E32">
        <v>107</v>
      </c>
      <c r="J32" s="2">
        <v>2016</v>
      </c>
      <c r="K32">
        <v>8</v>
      </c>
      <c r="L32">
        <v>5</v>
      </c>
      <c r="M32">
        <v>7</v>
      </c>
      <c r="N32">
        <v>1</v>
      </c>
      <c r="O32">
        <v>10</v>
      </c>
      <c r="P32">
        <v>5</v>
      </c>
      <c r="Q32">
        <v>13</v>
      </c>
      <c r="R32">
        <v>15</v>
      </c>
      <c r="S32">
        <v>16</v>
      </c>
      <c r="T32">
        <v>17</v>
      </c>
      <c r="V32">
        <v>10</v>
      </c>
      <c r="W32">
        <v>107</v>
      </c>
      <c r="AA32" s="2" t="s">
        <v>173</v>
      </c>
      <c r="AG32">
        <v>385</v>
      </c>
      <c r="AH32">
        <v>396</v>
      </c>
      <c r="AL32">
        <v>611</v>
      </c>
      <c r="AN32">
        <v>194</v>
      </c>
      <c r="BF32">
        <v>1586</v>
      </c>
    </row>
    <row r="33" spans="1:58" x14ac:dyDescent="0.25">
      <c r="A33" s="2">
        <v>2016</v>
      </c>
      <c r="B33" s="3">
        <v>131.15</v>
      </c>
      <c r="C33" s="3">
        <v>73.54205607476635</v>
      </c>
      <c r="D33">
        <v>90</v>
      </c>
      <c r="E33">
        <v>107</v>
      </c>
      <c r="J33" s="2">
        <v>2017</v>
      </c>
      <c r="K33">
        <v>1</v>
      </c>
      <c r="L33">
        <v>2</v>
      </c>
      <c r="M33">
        <v>8</v>
      </c>
      <c r="N33">
        <v>6</v>
      </c>
      <c r="O33">
        <v>19</v>
      </c>
      <c r="P33">
        <v>10</v>
      </c>
      <c r="Q33">
        <v>3</v>
      </c>
      <c r="R33">
        <v>13</v>
      </c>
      <c r="S33">
        <v>20</v>
      </c>
      <c r="T33">
        <v>17</v>
      </c>
      <c r="U33">
        <v>5</v>
      </c>
      <c r="V33">
        <v>23</v>
      </c>
      <c r="W33">
        <v>127</v>
      </c>
      <c r="AA33" s="2" t="s">
        <v>152</v>
      </c>
      <c r="AF33">
        <v>115</v>
      </c>
      <c r="AJ33">
        <v>163</v>
      </c>
      <c r="AK33">
        <v>540</v>
      </c>
      <c r="AM33">
        <v>248</v>
      </c>
      <c r="BF33">
        <v>1066</v>
      </c>
    </row>
    <row r="34" spans="1:58" x14ac:dyDescent="0.25">
      <c r="A34" s="2">
        <v>2017</v>
      </c>
      <c r="B34" s="3">
        <v>129.51666666666668</v>
      </c>
      <c r="C34" s="3">
        <v>61.188976377952756</v>
      </c>
      <c r="D34">
        <v>86</v>
      </c>
      <c r="E34">
        <v>127</v>
      </c>
      <c r="J34" s="2">
        <v>2018</v>
      </c>
      <c r="K34">
        <v>4</v>
      </c>
      <c r="L34">
        <v>2</v>
      </c>
      <c r="M34">
        <v>2</v>
      </c>
      <c r="N34">
        <v>4</v>
      </c>
      <c r="O34">
        <v>6</v>
      </c>
      <c r="P34">
        <v>21</v>
      </c>
      <c r="Q34">
        <v>6</v>
      </c>
      <c r="R34">
        <v>7</v>
      </c>
      <c r="S34">
        <v>25</v>
      </c>
      <c r="T34">
        <v>4</v>
      </c>
      <c r="U34">
        <v>4</v>
      </c>
      <c r="V34">
        <v>11</v>
      </c>
      <c r="W34">
        <v>96</v>
      </c>
      <c r="AA34" s="2" t="s">
        <v>295</v>
      </c>
      <c r="AM34">
        <v>348</v>
      </c>
      <c r="AO34">
        <v>369</v>
      </c>
      <c r="AP34">
        <v>302</v>
      </c>
      <c r="AQ34">
        <v>387</v>
      </c>
      <c r="AR34">
        <v>119</v>
      </c>
      <c r="BF34">
        <v>1525</v>
      </c>
    </row>
    <row r="35" spans="1:58" x14ac:dyDescent="0.25">
      <c r="A35" s="2">
        <v>2018</v>
      </c>
      <c r="B35" s="3">
        <v>96.45</v>
      </c>
      <c r="C35" s="3">
        <v>60.28125</v>
      </c>
      <c r="D35">
        <v>74</v>
      </c>
      <c r="E35">
        <v>96</v>
      </c>
      <c r="J35" s="2">
        <v>2019</v>
      </c>
      <c r="L35">
        <v>1</v>
      </c>
      <c r="M35">
        <v>3</v>
      </c>
      <c r="N35">
        <v>11</v>
      </c>
      <c r="O35">
        <v>2</v>
      </c>
      <c r="P35">
        <v>17</v>
      </c>
      <c r="Q35">
        <v>7</v>
      </c>
      <c r="R35">
        <v>10</v>
      </c>
      <c r="S35">
        <v>19</v>
      </c>
      <c r="T35">
        <v>16</v>
      </c>
      <c r="V35">
        <v>2</v>
      </c>
      <c r="W35">
        <v>88</v>
      </c>
      <c r="AA35" s="2" t="s">
        <v>364</v>
      </c>
      <c r="AN35">
        <v>186</v>
      </c>
      <c r="AO35">
        <v>323</v>
      </c>
      <c r="AP35">
        <v>271</v>
      </c>
      <c r="BF35">
        <v>780</v>
      </c>
    </row>
    <row r="36" spans="1:58" x14ac:dyDescent="0.25">
      <c r="A36" s="2">
        <v>2019</v>
      </c>
      <c r="B36" s="3">
        <v>100.83333333333333</v>
      </c>
      <c r="C36" s="3">
        <v>68.75</v>
      </c>
      <c r="D36">
        <v>65</v>
      </c>
      <c r="E36">
        <v>88</v>
      </c>
      <c r="J36" s="2">
        <v>2020</v>
      </c>
      <c r="K36">
        <v>28</v>
      </c>
      <c r="L36">
        <v>8</v>
      </c>
      <c r="M36">
        <v>2</v>
      </c>
      <c r="N36">
        <v>2</v>
      </c>
      <c r="O36">
        <v>4</v>
      </c>
      <c r="P36">
        <v>17</v>
      </c>
      <c r="Q36">
        <v>12</v>
      </c>
      <c r="R36">
        <v>10</v>
      </c>
      <c r="S36">
        <v>13</v>
      </c>
      <c r="T36">
        <v>12</v>
      </c>
      <c r="U36">
        <v>5</v>
      </c>
      <c r="V36">
        <v>2</v>
      </c>
      <c r="W36">
        <v>115</v>
      </c>
      <c r="AA36" s="2" t="s">
        <v>1033</v>
      </c>
      <c r="BB36">
        <v>349</v>
      </c>
      <c r="BF36">
        <v>349</v>
      </c>
    </row>
    <row r="37" spans="1:58" x14ac:dyDescent="0.25">
      <c r="A37" s="2">
        <v>2020</v>
      </c>
      <c r="B37" s="3">
        <v>176.21666666666667</v>
      </c>
      <c r="C37" s="3">
        <v>91.939130434782612</v>
      </c>
      <c r="D37">
        <v>93</v>
      </c>
      <c r="E37">
        <v>115</v>
      </c>
      <c r="J37" s="2">
        <v>2021</v>
      </c>
      <c r="M37">
        <v>7</v>
      </c>
      <c r="N37">
        <v>6</v>
      </c>
      <c r="O37">
        <v>6</v>
      </c>
      <c r="P37">
        <v>17</v>
      </c>
      <c r="Q37">
        <v>5</v>
      </c>
      <c r="R37">
        <v>4</v>
      </c>
      <c r="S37">
        <v>8</v>
      </c>
      <c r="U37">
        <v>2</v>
      </c>
      <c r="V37">
        <v>2</v>
      </c>
      <c r="W37">
        <v>57</v>
      </c>
      <c r="AA37" s="2" t="s">
        <v>1099</v>
      </c>
      <c r="BB37">
        <v>334</v>
      </c>
      <c r="BF37">
        <v>334</v>
      </c>
    </row>
    <row r="38" spans="1:58" x14ac:dyDescent="0.25">
      <c r="A38" s="2">
        <v>2021</v>
      </c>
      <c r="B38" s="3">
        <v>69.849999999999994</v>
      </c>
      <c r="C38" s="3">
        <v>73.526315789473685</v>
      </c>
      <c r="D38">
        <v>48</v>
      </c>
      <c r="E38">
        <v>57</v>
      </c>
      <c r="J38" s="2">
        <v>2022</v>
      </c>
      <c r="K38">
        <v>3</v>
      </c>
      <c r="L38">
        <v>2</v>
      </c>
      <c r="M38">
        <v>4</v>
      </c>
      <c r="N38">
        <v>15</v>
      </c>
      <c r="O38">
        <v>12</v>
      </c>
      <c r="P38">
        <v>8</v>
      </c>
      <c r="Q38">
        <v>13</v>
      </c>
      <c r="R38">
        <v>15</v>
      </c>
      <c r="S38">
        <v>12</v>
      </c>
      <c r="T38">
        <v>13</v>
      </c>
      <c r="V38">
        <v>2</v>
      </c>
      <c r="W38">
        <v>99</v>
      </c>
      <c r="AA38" s="2" t="s">
        <v>1134</v>
      </c>
      <c r="BC38">
        <v>592</v>
      </c>
      <c r="BF38">
        <v>592</v>
      </c>
    </row>
    <row r="39" spans="1:58" x14ac:dyDescent="0.25">
      <c r="A39" s="2">
        <v>2022</v>
      </c>
      <c r="B39" s="3">
        <v>142.33333333333334</v>
      </c>
      <c r="C39" s="3">
        <v>86.262626262626256</v>
      </c>
      <c r="D39">
        <v>94</v>
      </c>
      <c r="E39">
        <v>99</v>
      </c>
      <c r="J39" s="2">
        <v>2023</v>
      </c>
      <c r="K39">
        <v>3</v>
      </c>
      <c r="L39">
        <v>5</v>
      </c>
      <c r="M39">
        <v>7</v>
      </c>
      <c r="N39">
        <v>7</v>
      </c>
      <c r="O39">
        <v>10</v>
      </c>
      <c r="P39">
        <v>24</v>
      </c>
      <c r="Q39">
        <v>10</v>
      </c>
      <c r="R39">
        <v>17</v>
      </c>
      <c r="S39">
        <v>18</v>
      </c>
      <c r="T39">
        <v>15</v>
      </c>
      <c r="U39">
        <v>7</v>
      </c>
      <c r="V39">
        <v>5</v>
      </c>
      <c r="W39">
        <v>128</v>
      </c>
      <c r="AA39" s="2" t="s">
        <v>1135</v>
      </c>
      <c r="BC39">
        <v>367</v>
      </c>
      <c r="BF39">
        <v>367</v>
      </c>
    </row>
    <row r="40" spans="1:58" x14ac:dyDescent="0.25">
      <c r="A40" s="2">
        <v>2023</v>
      </c>
      <c r="B40" s="3">
        <v>155.1</v>
      </c>
      <c r="C40" s="3">
        <v>72.703125</v>
      </c>
      <c r="D40">
        <v>113</v>
      </c>
      <c r="E40">
        <v>128</v>
      </c>
      <c r="J40" s="2">
        <v>2024</v>
      </c>
      <c r="K40">
        <v>5</v>
      </c>
      <c r="L40">
        <v>6</v>
      </c>
      <c r="M40">
        <v>7</v>
      </c>
      <c r="N40">
        <v>15</v>
      </c>
      <c r="O40">
        <v>13</v>
      </c>
      <c r="P40">
        <v>26</v>
      </c>
      <c r="Q40">
        <v>19</v>
      </c>
      <c r="R40">
        <v>21</v>
      </c>
      <c r="S40">
        <v>12</v>
      </c>
      <c r="T40">
        <v>19</v>
      </c>
      <c r="U40">
        <v>13</v>
      </c>
      <c r="V40">
        <v>9</v>
      </c>
      <c r="W40">
        <v>165</v>
      </c>
      <c r="AA40" s="2" t="s">
        <v>1146</v>
      </c>
      <c r="BC40">
        <v>641</v>
      </c>
      <c r="BD40">
        <v>736</v>
      </c>
      <c r="BF40">
        <v>1377</v>
      </c>
    </row>
    <row r="41" spans="1:58" x14ac:dyDescent="0.25">
      <c r="A41" s="2">
        <v>2024</v>
      </c>
      <c r="B41" s="3">
        <v>173.56666666666666</v>
      </c>
      <c r="C41" s="3">
        <v>63.115151515151517</v>
      </c>
      <c r="D41">
        <v>145</v>
      </c>
      <c r="E41">
        <v>165</v>
      </c>
      <c r="F41" s="7">
        <f>GETPIVOTDATA("Flüge",$A$6,"Jahr",2024)/GETPIVOTDATA("Tage",$A$6,"Jahr",2024)</f>
        <v>1.1379310344827587</v>
      </c>
      <c r="J41" s="2">
        <v>2025</v>
      </c>
      <c r="K41">
        <v>4</v>
      </c>
      <c r="L41">
        <v>15</v>
      </c>
      <c r="M41">
        <v>14</v>
      </c>
      <c r="N41">
        <v>19</v>
      </c>
      <c r="O41">
        <v>20</v>
      </c>
      <c r="P41">
        <v>10</v>
      </c>
      <c r="Q41">
        <v>16</v>
      </c>
      <c r="R41">
        <v>21</v>
      </c>
      <c r="S41">
        <v>18</v>
      </c>
      <c r="T41">
        <v>17</v>
      </c>
      <c r="U41">
        <v>5</v>
      </c>
      <c r="V41">
        <v>11</v>
      </c>
      <c r="W41">
        <v>170</v>
      </c>
      <c r="AA41" s="2" t="s">
        <v>1203</v>
      </c>
      <c r="AT41">
        <v>816</v>
      </c>
      <c r="AU41">
        <v>596</v>
      </c>
      <c r="AV41">
        <v>892</v>
      </c>
      <c r="AX41">
        <v>785</v>
      </c>
      <c r="BA41">
        <v>729</v>
      </c>
      <c r="BC41">
        <v>311</v>
      </c>
      <c r="BF41">
        <v>4129</v>
      </c>
    </row>
    <row r="42" spans="1:58" x14ac:dyDescent="0.25">
      <c r="A42" s="2">
        <v>2025</v>
      </c>
      <c r="B42" s="3">
        <v>208.63333333333333</v>
      </c>
      <c r="C42" s="3">
        <v>73.635294117647064</v>
      </c>
      <c r="D42">
        <v>153</v>
      </c>
      <c r="E42">
        <v>170</v>
      </c>
      <c r="F42" s="7">
        <f>GETPIVOTDATA("Flüge",$A$6,"Jahr",2025)/GETPIVOTDATA("Tage",$A$6,"Jahr",2025)</f>
        <v>1.1111111111111112</v>
      </c>
      <c r="J42" s="2">
        <v>2026</v>
      </c>
      <c r="K42">
        <v>9</v>
      </c>
      <c r="L42">
        <v>12</v>
      </c>
      <c r="M42">
        <v>19</v>
      </c>
      <c r="N42">
        <v>25</v>
      </c>
      <c r="O42">
        <v>17</v>
      </c>
      <c r="P42">
        <v>28</v>
      </c>
      <c r="Q42">
        <v>16</v>
      </c>
      <c r="R42">
        <v>8</v>
      </c>
      <c r="W42">
        <v>134</v>
      </c>
      <c r="AA42" s="2" t="s">
        <v>1205</v>
      </c>
      <c r="BC42">
        <v>160</v>
      </c>
      <c r="BF42">
        <v>160</v>
      </c>
    </row>
    <row r="43" spans="1:58" x14ac:dyDescent="0.25">
      <c r="A43" s="2">
        <v>2026</v>
      </c>
      <c r="B43" s="3">
        <v>160.66666666666666</v>
      </c>
      <c r="C43" s="3">
        <v>71.940298507462686</v>
      </c>
      <c r="D43">
        <v>117</v>
      </c>
      <c r="E43">
        <v>134</v>
      </c>
      <c r="F43" s="7">
        <f>GETPIVOTDATA("Flüge",$A$6,"Jahr",2026)/GETPIVOTDATA("Tage",$A$6,"Jahr",2026)</f>
        <v>1.1452991452991452</v>
      </c>
      <c r="J43" s="2" t="s">
        <v>79</v>
      </c>
      <c r="K43">
        <v>85</v>
      </c>
      <c r="L43">
        <v>84</v>
      </c>
      <c r="M43">
        <v>125</v>
      </c>
      <c r="N43">
        <v>184</v>
      </c>
      <c r="O43">
        <v>258</v>
      </c>
      <c r="P43">
        <v>337</v>
      </c>
      <c r="Q43">
        <v>274</v>
      </c>
      <c r="R43">
        <v>261</v>
      </c>
      <c r="S43">
        <v>291</v>
      </c>
      <c r="T43">
        <v>228</v>
      </c>
      <c r="U43">
        <v>61</v>
      </c>
      <c r="V43">
        <v>100</v>
      </c>
      <c r="W43">
        <v>2288</v>
      </c>
      <c r="AA43" s="2" t="s">
        <v>1235</v>
      </c>
      <c r="BD43">
        <v>495</v>
      </c>
      <c r="BF43">
        <v>495</v>
      </c>
    </row>
    <row r="44" spans="1:58" x14ac:dyDescent="0.25">
      <c r="A44" s="2" t="s">
        <v>79</v>
      </c>
      <c r="B44" s="3">
        <v>2361.9733333333334</v>
      </c>
      <c r="C44" s="3">
        <v>61.939860139860137</v>
      </c>
      <c r="D44">
        <v>1804</v>
      </c>
      <c r="E44">
        <v>2288</v>
      </c>
      <c r="AA44" s="2" t="s">
        <v>1236</v>
      </c>
      <c r="BD44">
        <v>911</v>
      </c>
      <c r="BF44">
        <v>911</v>
      </c>
    </row>
    <row r="45" spans="1:58" x14ac:dyDescent="0.25">
      <c r="AA45" s="2" t="s">
        <v>1249</v>
      </c>
      <c r="AT45">
        <v>631</v>
      </c>
      <c r="BF45">
        <v>631</v>
      </c>
    </row>
    <row r="46" spans="1:58" x14ac:dyDescent="0.25">
      <c r="AA46" s="2" t="s">
        <v>1248</v>
      </c>
      <c r="BD46">
        <v>287</v>
      </c>
      <c r="BF46">
        <v>287</v>
      </c>
    </row>
    <row r="47" spans="1:58" x14ac:dyDescent="0.25">
      <c r="AA47" s="2" t="s">
        <v>1260</v>
      </c>
      <c r="BD47">
        <v>626</v>
      </c>
      <c r="BF47">
        <v>626</v>
      </c>
    </row>
    <row r="48" spans="1:58" x14ac:dyDescent="0.25">
      <c r="AA48" s="2" t="s">
        <v>1271</v>
      </c>
      <c r="BD48">
        <v>414</v>
      </c>
      <c r="BE48">
        <v>170</v>
      </c>
      <c r="BF48">
        <v>584</v>
      </c>
    </row>
    <row r="49" spans="27:58" x14ac:dyDescent="0.25">
      <c r="AA49" s="2" t="s">
        <v>1287</v>
      </c>
      <c r="BE49">
        <v>419</v>
      </c>
      <c r="BF49">
        <v>419</v>
      </c>
    </row>
    <row r="50" spans="27:58" x14ac:dyDescent="0.25">
      <c r="AA50" s="2" t="s">
        <v>1292</v>
      </c>
      <c r="BE50">
        <v>1207</v>
      </c>
      <c r="BF50">
        <v>1207</v>
      </c>
    </row>
    <row r="51" spans="27:58" x14ac:dyDescent="0.25">
      <c r="AA51" s="2" t="s">
        <v>1312</v>
      </c>
      <c r="BE51">
        <v>316</v>
      </c>
      <c r="BF51">
        <v>316</v>
      </c>
    </row>
    <row r="52" spans="27:58" x14ac:dyDescent="0.25">
      <c r="AA52" s="2" t="s">
        <v>1322</v>
      </c>
      <c r="BE52">
        <v>779</v>
      </c>
      <c r="BF52">
        <v>779</v>
      </c>
    </row>
    <row r="53" spans="27:58" x14ac:dyDescent="0.25">
      <c r="AA53" s="2" t="s">
        <v>1327</v>
      </c>
      <c r="BE53">
        <v>784</v>
      </c>
      <c r="BF53">
        <v>784</v>
      </c>
    </row>
    <row r="54" spans="27:58" x14ac:dyDescent="0.25">
      <c r="AA54" s="2" t="s">
        <v>79</v>
      </c>
      <c r="AB54">
        <v>504</v>
      </c>
      <c r="AC54">
        <v>158</v>
      </c>
      <c r="AD54">
        <v>195</v>
      </c>
      <c r="AE54">
        <v>212</v>
      </c>
      <c r="AF54">
        <v>115</v>
      </c>
      <c r="AG54">
        <v>385</v>
      </c>
      <c r="AH54">
        <v>793</v>
      </c>
      <c r="AI54">
        <v>697</v>
      </c>
      <c r="AJ54">
        <v>529</v>
      </c>
      <c r="AK54">
        <v>1175</v>
      </c>
      <c r="AL54">
        <v>1099</v>
      </c>
      <c r="AM54">
        <v>1366</v>
      </c>
      <c r="AN54">
        <v>380</v>
      </c>
      <c r="AO54">
        <v>1378</v>
      </c>
      <c r="AP54">
        <v>573</v>
      </c>
      <c r="AQ54">
        <v>904</v>
      </c>
      <c r="AR54">
        <v>1118</v>
      </c>
      <c r="AS54">
        <v>1876</v>
      </c>
      <c r="AT54">
        <v>3798</v>
      </c>
      <c r="AU54">
        <v>3930</v>
      </c>
      <c r="AV54">
        <v>4658</v>
      </c>
      <c r="AW54">
        <v>3576</v>
      </c>
      <c r="AX54">
        <v>4246</v>
      </c>
      <c r="AY54">
        <v>5290</v>
      </c>
      <c r="AZ54">
        <v>1365</v>
      </c>
      <c r="BA54">
        <v>2235</v>
      </c>
      <c r="BB54">
        <v>4348</v>
      </c>
      <c r="BC54">
        <v>3322</v>
      </c>
      <c r="BD54">
        <v>4814</v>
      </c>
      <c r="BE54">
        <v>4109</v>
      </c>
      <c r="BF54">
        <v>59148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64"/>
  <sheetViews>
    <sheetView workbookViewId="0">
      <selection activeCell="J65" sqref="J65"/>
    </sheetView>
  </sheetViews>
  <sheetFormatPr baseColWidth="10" defaultColWidth="10.5703125" defaultRowHeight="15" x14ac:dyDescent="0.25"/>
  <cols>
    <col min="3" max="3" width="18.5703125" style="2" customWidth="1"/>
    <col min="4" max="4" width="11.42578125" style="2"/>
    <col min="5" max="5" width="13.42578125" style="2" customWidth="1"/>
    <col min="6" max="7" width="11.42578125" style="2"/>
    <col min="8" max="8" width="30.5703125" style="2" customWidth="1"/>
    <col min="9" max="9" width="11.42578125" style="2"/>
    <col min="10" max="10" width="10.5703125" style="7"/>
    <col min="11" max="11" width="10.5703125" style="2"/>
  </cols>
  <sheetData>
    <row r="2" spans="1:11" x14ac:dyDescent="0.25">
      <c r="A2" t="s">
        <v>0</v>
      </c>
      <c r="B2" t="s">
        <v>747</v>
      </c>
      <c r="C2" s="2" t="s">
        <v>340</v>
      </c>
      <c r="D2" s="2" t="s">
        <v>748</v>
      </c>
      <c r="E2" s="2" t="s">
        <v>580</v>
      </c>
      <c r="F2" s="2" t="s">
        <v>582</v>
      </c>
      <c r="G2" s="2" t="s">
        <v>583</v>
      </c>
      <c r="H2" s="2" t="s">
        <v>749</v>
      </c>
      <c r="I2" s="2" t="s">
        <v>750</v>
      </c>
      <c r="J2" s="8" t="s">
        <v>751</v>
      </c>
      <c r="K2" s="2" t="s">
        <v>4</v>
      </c>
    </row>
    <row r="3" spans="1:11" x14ac:dyDescent="0.25">
      <c r="A3" s="5">
        <v>41787</v>
      </c>
      <c r="B3" s="5" t="s">
        <v>1</v>
      </c>
      <c r="C3" s="2" t="s">
        <v>673</v>
      </c>
      <c r="D3" s="2" t="s">
        <v>579</v>
      </c>
      <c r="F3" s="2">
        <v>2014</v>
      </c>
      <c r="G3" s="2" t="s">
        <v>615</v>
      </c>
      <c r="I3" s="2" t="s">
        <v>585</v>
      </c>
      <c r="J3" s="7">
        <v>3996</v>
      </c>
    </row>
    <row r="4" spans="1:11" x14ac:dyDescent="0.25">
      <c r="A4" s="5">
        <v>42056</v>
      </c>
      <c r="B4" s="5" t="s">
        <v>746</v>
      </c>
      <c r="C4" s="2" t="s">
        <v>672</v>
      </c>
      <c r="D4" s="2" t="s">
        <v>579</v>
      </c>
      <c r="G4" s="2" t="s">
        <v>615</v>
      </c>
      <c r="I4" s="2" t="s">
        <v>254</v>
      </c>
      <c r="J4" s="7">
        <v>1393</v>
      </c>
    </row>
    <row r="5" spans="1:11" x14ac:dyDescent="0.25">
      <c r="A5" s="5">
        <v>42360</v>
      </c>
      <c r="B5" s="5" t="s">
        <v>311</v>
      </c>
      <c r="C5" s="2" t="s">
        <v>578</v>
      </c>
      <c r="D5" s="2" t="s">
        <v>579</v>
      </c>
      <c r="E5" s="2" t="s">
        <v>581</v>
      </c>
      <c r="F5" s="2">
        <v>2012</v>
      </c>
      <c r="G5" s="2" t="s">
        <v>584</v>
      </c>
      <c r="H5" s="2" t="s">
        <v>668</v>
      </c>
      <c r="I5" s="2" t="s">
        <v>585</v>
      </c>
    </row>
    <row r="6" spans="1:11" x14ac:dyDescent="0.25">
      <c r="A6" s="5">
        <v>42360</v>
      </c>
      <c r="B6" s="5" t="s">
        <v>311</v>
      </c>
      <c r="C6" s="2" t="s">
        <v>586</v>
      </c>
      <c r="D6" s="2" t="s">
        <v>587</v>
      </c>
      <c r="E6" s="2">
        <v>5216</v>
      </c>
      <c r="F6" s="2">
        <v>2006</v>
      </c>
      <c r="G6" s="2" t="s">
        <v>588</v>
      </c>
      <c r="H6" s="2" t="s">
        <v>668</v>
      </c>
      <c r="I6" s="2" t="s">
        <v>585</v>
      </c>
    </row>
    <row r="7" spans="1:11" x14ac:dyDescent="0.25">
      <c r="A7" s="5">
        <v>42360</v>
      </c>
      <c r="B7" s="5" t="s">
        <v>311</v>
      </c>
      <c r="C7" s="2" t="s">
        <v>589</v>
      </c>
      <c r="D7" s="2" t="s">
        <v>587</v>
      </c>
      <c r="E7" s="2" t="s">
        <v>590</v>
      </c>
      <c r="F7" s="2">
        <v>2013</v>
      </c>
      <c r="G7" s="2" t="s">
        <v>584</v>
      </c>
      <c r="H7" s="2" t="s">
        <v>668</v>
      </c>
      <c r="I7" s="2" t="s">
        <v>585</v>
      </c>
    </row>
    <row r="8" spans="1:11" x14ac:dyDescent="0.25">
      <c r="A8" s="5">
        <v>42452</v>
      </c>
      <c r="B8" s="5" t="s">
        <v>1</v>
      </c>
      <c r="C8" s="2" t="s">
        <v>613</v>
      </c>
      <c r="D8" s="2" t="s">
        <v>579</v>
      </c>
      <c r="F8" s="2">
        <v>2016</v>
      </c>
      <c r="G8" s="2" t="s">
        <v>615</v>
      </c>
      <c r="K8" s="2" t="s">
        <v>616</v>
      </c>
    </row>
    <row r="9" spans="1:11" x14ac:dyDescent="0.25">
      <c r="A9" s="5">
        <v>42658</v>
      </c>
      <c r="B9" s="5" t="s">
        <v>311</v>
      </c>
      <c r="C9" s="2" t="s">
        <v>651</v>
      </c>
      <c r="D9" s="2" t="s">
        <v>587</v>
      </c>
      <c r="E9" s="2">
        <v>1030</v>
      </c>
      <c r="F9" s="2">
        <v>2016</v>
      </c>
      <c r="G9" s="2" t="s">
        <v>652</v>
      </c>
      <c r="H9" s="2" t="s">
        <v>671</v>
      </c>
      <c r="I9" s="2" t="s">
        <v>670</v>
      </c>
    </row>
    <row r="10" spans="1:11" x14ac:dyDescent="0.25">
      <c r="A10" s="5">
        <v>42658</v>
      </c>
      <c r="B10" s="5" t="s">
        <v>311</v>
      </c>
      <c r="C10" s="2" t="s">
        <v>586</v>
      </c>
      <c r="D10" s="2" t="s">
        <v>587</v>
      </c>
      <c r="E10" s="2">
        <v>5216</v>
      </c>
      <c r="F10" s="2">
        <v>2006</v>
      </c>
      <c r="G10" s="2" t="s">
        <v>588</v>
      </c>
      <c r="H10" s="2" t="s">
        <v>669</v>
      </c>
    </row>
    <row r="11" spans="1:11" x14ac:dyDescent="0.25">
      <c r="A11" s="5">
        <v>42724</v>
      </c>
      <c r="B11" s="5" t="s">
        <v>1</v>
      </c>
      <c r="C11" s="2" t="s">
        <v>655</v>
      </c>
      <c r="D11" s="2" t="s">
        <v>579</v>
      </c>
      <c r="F11" s="2">
        <v>2011</v>
      </c>
      <c r="G11" s="2" t="s">
        <v>615</v>
      </c>
      <c r="I11" s="2" t="s">
        <v>654</v>
      </c>
    </row>
    <row r="12" spans="1:11" x14ac:dyDescent="0.25">
      <c r="A12" s="5">
        <v>42831</v>
      </c>
      <c r="B12" s="5" t="s">
        <v>1</v>
      </c>
      <c r="C12" s="2" t="s">
        <v>665</v>
      </c>
      <c r="D12" s="2" t="s">
        <v>579</v>
      </c>
      <c r="F12" s="2">
        <v>2017</v>
      </c>
      <c r="G12" s="2" t="s">
        <v>615</v>
      </c>
      <c r="I12" s="2" t="s">
        <v>585</v>
      </c>
      <c r="J12" s="7">
        <v>3872</v>
      </c>
    </row>
    <row r="13" spans="1:11" x14ac:dyDescent="0.25">
      <c r="A13" s="5">
        <v>42838</v>
      </c>
      <c r="B13" s="5" t="s">
        <v>311</v>
      </c>
      <c r="C13" s="2" t="s">
        <v>311</v>
      </c>
      <c r="D13" s="2" t="s">
        <v>579</v>
      </c>
      <c r="H13" s="2" t="s">
        <v>668</v>
      </c>
      <c r="I13" s="2" t="s">
        <v>585</v>
      </c>
      <c r="J13" s="7">
        <v>110</v>
      </c>
    </row>
    <row r="14" spans="1:11" x14ac:dyDescent="0.25">
      <c r="A14" s="5">
        <v>42962</v>
      </c>
      <c r="B14" s="5" t="s">
        <v>746</v>
      </c>
      <c r="C14" s="2" t="s">
        <v>672</v>
      </c>
      <c r="D14" s="2" t="s">
        <v>579</v>
      </c>
      <c r="G14" s="2" t="s">
        <v>615</v>
      </c>
      <c r="H14" s="2" t="s">
        <v>691</v>
      </c>
      <c r="I14" s="2" t="s">
        <v>254</v>
      </c>
      <c r="J14" s="7">
        <v>20</v>
      </c>
    </row>
    <row r="15" spans="1:11" x14ac:dyDescent="0.25">
      <c r="A15" s="5">
        <v>42971</v>
      </c>
      <c r="B15" s="5" t="s">
        <v>342</v>
      </c>
      <c r="C15" s="2" t="s">
        <v>695</v>
      </c>
      <c r="D15" s="2" t="s">
        <v>579</v>
      </c>
      <c r="G15" s="2" t="s">
        <v>693</v>
      </c>
      <c r="K15" s="2" t="s">
        <v>694</v>
      </c>
    </row>
    <row r="16" spans="1:11" x14ac:dyDescent="0.25">
      <c r="A16" s="5">
        <v>43229</v>
      </c>
      <c r="B16" s="5" t="s">
        <v>311</v>
      </c>
      <c r="C16" s="2" t="s">
        <v>744</v>
      </c>
      <c r="D16" s="2" t="s">
        <v>743</v>
      </c>
      <c r="G16" s="2" t="s">
        <v>652</v>
      </c>
      <c r="H16" s="2" t="s">
        <v>671</v>
      </c>
      <c r="I16" s="2" t="s">
        <v>585</v>
      </c>
      <c r="J16" s="7">
        <v>1000</v>
      </c>
    </row>
    <row r="17" spans="1:11" x14ac:dyDescent="0.25">
      <c r="A17" s="5">
        <v>43229</v>
      </c>
      <c r="B17" s="5" t="s">
        <v>746</v>
      </c>
      <c r="C17" s="2" t="s">
        <v>742</v>
      </c>
      <c r="D17" s="2" t="s">
        <v>743</v>
      </c>
      <c r="G17" s="2" t="s">
        <v>615</v>
      </c>
      <c r="H17" s="2" t="s">
        <v>671</v>
      </c>
      <c r="I17" s="2" t="s">
        <v>254</v>
      </c>
      <c r="J17" s="7">
        <v>960</v>
      </c>
    </row>
    <row r="18" spans="1:11" x14ac:dyDescent="0.25">
      <c r="A18" s="5">
        <v>43229</v>
      </c>
      <c r="B18" s="5" t="s">
        <v>342</v>
      </c>
      <c r="C18" s="2" t="s">
        <v>745</v>
      </c>
      <c r="D18" s="2" t="s">
        <v>743</v>
      </c>
      <c r="H18" s="2" t="s">
        <v>671</v>
      </c>
      <c r="I18" s="2" t="s">
        <v>254</v>
      </c>
      <c r="J18" s="7">
        <v>304</v>
      </c>
    </row>
    <row r="19" spans="1:11" x14ac:dyDescent="0.25">
      <c r="A19" s="5">
        <v>43271</v>
      </c>
      <c r="B19" s="5" t="s">
        <v>342</v>
      </c>
      <c r="C19" s="2" t="s">
        <v>782</v>
      </c>
      <c r="D19" s="2" t="s">
        <v>579</v>
      </c>
      <c r="G19" s="2" t="s">
        <v>615</v>
      </c>
      <c r="H19" s="2" t="s">
        <v>671</v>
      </c>
      <c r="I19" s="2" t="s">
        <v>254</v>
      </c>
      <c r="J19" s="7">
        <v>133.19999999999999</v>
      </c>
    </row>
    <row r="20" spans="1:11" x14ac:dyDescent="0.25">
      <c r="A20" s="5">
        <v>43473</v>
      </c>
      <c r="B20" s="5" t="s">
        <v>311</v>
      </c>
      <c r="C20" s="2" t="s">
        <v>578</v>
      </c>
      <c r="D20" s="2" t="s">
        <v>579</v>
      </c>
      <c r="E20" s="2" t="s">
        <v>581</v>
      </c>
      <c r="F20" s="2">
        <v>2012</v>
      </c>
      <c r="G20" s="2" t="s">
        <v>584</v>
      </c>
      <c r="H20" s="2" t="s">
        <v>668</v>
      </c>
      <c r="I20" s="2" t="s">
        <v>254</v>
      </c>
      <c r="J20" s="7">
        <v>80</v>
      </c>
    </row>
    <row r="21" spans="1:11" x14ac:dyDescent="0.25">
      <c r="A21" s="5">
        <v>43473</v>
      </c>
      <c r="B21" s="5" t="s">
        <v>311</v>
      </c>
      <c r="C21" s="2" t="s">
        <v>589</v>
      </c>
      <c r="D21" s="2" t="s">
        <v>587</v>
      </c>
      <c r="E21" s="2" t="s">
        <v>590</v>
      </c>
      <c r="F21" s="2">
        <v>2013</v>
      </c>
      <c r="G21" s="2" t="s">
        <v>584</v>
      </c>
      <c r="H21" s="2" t="s">
        <v>668</v>
      </c>
      <c r="I21" s="2" t="s">
        <v>254</v>
      </c>
      <c r="J21" s="7">
        <v>80</v>
      </c>
    </row>
    <row r="22" spans="1:11" x14ac:dyDescent="0.25">
      <c r="A22" s="5">
        <v>43473</v>
      </c>
      <c r="B22" s="5" t="s">
        <v>311</v>
      </c>
      <c r="C22" s="2" t="s">
        <v>651</v>
      </c>
      <c r="D22" s="2" t="s">
        <v>587</v>
      </c>
      <c r="E22" s="2">
        <v>1030</v>
      </c>
      <c r="F22" s="2">
        <v>2016</v>
      </c>
      <c r="G22" s="2" t="s">
        <v>652</v>
      </c>
      <c r="H22" s="2" t="s">
        <v>668</v>
      </c>
      <c r="I22" s="2" t="s">
        <v>254</v>
      </c>
      <c r="J22" s="7">
        <v>110</v>
      </c>
      <c r="K22" s="2" t="s">
        <v>826</v>
      </c>
    </row>
    <row r="23" spans="1:11" x14ac:dyDescent="0.25">
      <c r="A23" s="5">
        <v>43624</v>
      </c>
      <c r="B23" s="5" t="s">
        <v>746</v>
      </c>
      <c r="C23" s="5" t="s">
        <v>846</v>
      </c>
      <c r="D23" s="2" t="s">
        <v>579</v>
      </c>
      <c r="E23" s="2" t="s">
        <v>847</v>
      </c>
      <c r="F23" s="2">
        <v>2019</v>
      </c>
      <c r="G23" s="2" t="s">
        <v>615</v>
      </c>
      <c r="I23" s="2" t="s">
        <v>254</v>
      </c>
      <c r="J23" s="7">
        <v>1495</v>
      </c>
    </row>
    <row r="24" spans="1:11" x14ac:dyDescent="0.25">
      <c r="A24" s="5">
        <v>43894</v>
      </c>
      <c r="B24" s="5" t="s">
        <v>908</v>
      </c>
      <c r="D24" s="2" t="s">
        <v>579</v>
      </c>
      <c r="E24" s="2">
        <v>380</v>
      </c>
      <c r="G24" s="2" t="s">
        <v>909</v>
      </c>
      <c r="H24" s="2" t="s">
        <v>910</v>
      </c>
      <c r="I24" s="2" t="s">
        <v>911</v>
      </c>
      <c r="J24" s="7">
        <v>143</v>
      </c>
    </row>
    <row r="25" spans="1:11" x14ac:dyDescent="0.25">
      <c r="A25" s="5">
        <v>44062</v>
      </c>
      <c r="B25" s="5" t="s">
        <v>1</v>
      </c>
      <c r="C25" s="2" t="s">
        <v>665</v>
      </c>
      <c r="D25" s="2" t="s">
        <v>579</v>
      </c>
      <c r="E25" s="2">
        <v>71062</v>
      </c>
      <c r="G25" s="2" t="s">
        <v>615</v>
      </c>
      <c r="H25" s="2" t="s">
        <v>943</v>
      </c>
      <c r="I25" s="2" t="s">
        <v>944</v>
      </c>
      <c r="J25" s="7">
        <v>371</v>
      </c>
    </row>
    <row r="26" spans="1:11" x14ac:dyDescent="0.25">
      <c r="A26" s="5">
        <v>44304</v>
      </c>
      <c r="B26" s="5" t="s">
        <v>1</v>
      </c>
      <c r="C26" s="2" t="s">
        <v>948</v>
      </c>
      <c r="D26" s="2" t="s">
        <v>579</v>
      </c>
      <c r="F26" s="2">
        <v>2021</v>
      </c>
      <c r="G26" s="2" t="s">
        <v>615</v>
      </c>
      <c r="H26" s="2" t="s">
        <v>671</v>
      </c>
      <c r="I26" s="2" t="s">
        <v>254</v>
      </c>
      <c r="J26" s="7">
        <v>4353.6000000000004</v>
      </c>
    </row>
    <row r="27" spans="1:11" x14ac:dyDescent="0.25">
      <c r="A27" s="5">
        <v>44304</v>
      </c>
      <c r="B27" s="5" t="s">
        <v>1</v>
      </c>
      <c r="C27" s="2" t="s">
        <v>948</v>
      </c>
      <c r="D27" s="2" t="s">
        <v>579</v>
      </c>
      <c r="H27" s="2" t="s">
        <v>949</v>
      </c>
      <c r="J27" s="7">
        <v>97</v>
      </c>
    </row>
    <row r="28" spans="1:11" x14ac:dyDescent="0.25">
      <c r="A28" s="5">
        <v>44304</v>
      </c>
      <c r="B28" s="5" t="s">
        <v>1</v>
      </c>
      <c r="C28" s="2" t="s">
        <v>950</v>
      </c>
      <c r="D28" s="2" t="s">
        <v>579</v>
      </c>
      <c r="H28" s="2" t="s">
        <v>949</v>
      </c>
      <c r="J28" s="7">
        <v>97</v>
      </c>
    </row>
    <row r="29" spans="1:11" x14ac:dyDescent="0.25">
      <c r="A29" s="5">
        <v>44304</v>
      </c>
      <c r="B29" s="5" t="s">
        <v>1</v>
      </c>
      <c r="C29" s="2" t="s">
        <v>951</v>
      </c>
      <c r="D29" s="2" t="s">
        <v>579</v>
      </c>
      <c r="H29" s="2" t="s">
        <v>952</v>
      </c>
      <c r="I29" s="2" t="s">
        <v>254</v>
      </c>
      <c r="J29" s="7">
        <v>-350</v>
      </c>
    </row>
    <row r="30" spans="1:11" x14ac:dyDescent="0.25">
      <c r="A30" s="5">
        <v>44351</v>
      </c>
      <c r="B30" s="5" t="s">
        <v>1</v>
      </c>
      <c r="C30" s="2" t="s">
        <v>962</v>
      </c>
      <c r="D30" s="2" t="s">
        <v>587</v>
      </c>
      <c r="E30" s="2">
        <v>51996</v>
      </c>
      <c r="G30" s="2" t="s">
        <v>615</v>
      </c>
      <c r="H30" s="2" t="s">
        <v>963</v>
      </c>
      <c r="I30" s="2" t="s">
        <v>964</v>
      </c>
      <c r="J30" s="7">
        <v>314</v>
      </c>
      <c r="K30" s="2" t="s">
        <v>965</v>
      </c>
    </row>
    <row r="31" spans="1:11" x14ac:dyDescent="0.25">
      <c r="A31" s="5">
        <v>44351</v>
      </c>
      <c r="B31" s="5" t="s">
        <v>311</v>
      </c>
      <c r="C31" s="2" t="s">
        <v>578</v>
      </c>
      <c r="D31" s="2" t="s">
        <v>579</v>
      </c>
      <c r="E31" s="2" t="s">
        <v>581</v>
      </c>
      <c r="F31" s="2">
        <v>2012</v>
      </c>
      <c r="G31" s="2" t="s">
        <v>584</v>
      </c>
      <c r="H31" s="2" t="s">
        <v>668</v>
      </c>
      <c r="I31" s="2" t="s">
        <v>254</v>
      </c>
      <c r="J31" s="7">
        <v>80</v>
      </c>
    </row>
    <row r="32" spans="1:11" x14ac:dyDescent="0.25">
      <c r="A32" s="5">
        <v>44351</v>
      </c>
      <c r="B32" s="5" t="s">
        <v>311</v>
      </c>
      <c r="C32" s="2" t="s">
        <v>589</v>
      </c>
      <c r="D32" s="2" t="s">
        <v>587</v>
      </c>
      <c r="E32" s="2" t="s">
        <v>590</v>
      </c>
      <c r="F32" s="2">
        <v>2013</v>
      </c>
      <c r="G32" s="2" t="s">
        <v>584</v>
      </c>
      <c r="H32" s="2" t="s">
        <v>668</v>
      </c>
      <c r="I32" s="2" t="s">
        <v>254</v>
      </c>
      <c r="J32" s="7">
        <v>80</v>
      </c>
    </row>
    <row r="33" spans="1:11" x14ac:dyDescent="0.25">
      <c r="A33" s="5">
        <v>44351</v>
      </c>
      <c r="B33" s="5" t="s">
        <v>311</v>
      </c>
      <c r="C33" s="2" t="s">
        <v>651</v>
      </c>
      <c r="D33" s="2" t="s">
        <v>587</v>
      </c>
      <c r="E33" s="2">
        <v>1030</v>
      </c>
      <c r="F33" s="2">
        <v>2016</v>
      </c>
      <c r="G33" s="2" t="s">
        <v>652</v>
      </c>
      <c r="H33" s="2" t="s">
        <v>668</v>
      </c>
      <c r="I33" s="2" t="s">
        <v>254</v>
      </c>
      <c r="J33" s="7">
        <v>110</v>
      </c>
    </row>
    <row r="34" spans="1:11" x14ac:dyDescent="0.25">
      <c r="A34" s="5">
        <v>44356</v>
      </c>
      <c r="B34" s="5" t="s">
        <v>311</v>
      </c>
      <c r="C34" s="2" t="s">
        <v>966</v>
      </c>
      <c r="D34" s="2" t="s">
        <v>579</v>
      </c>
      <c r="E34" s="2">
        <v>1006800</v>
      </c>
      <c r="F34" s="2">
        <v>2011</v>
      </c>
      <c r="G34" s="2" t="s">
        <v>967</v>
      </c>
      <c r="H34" s="2" t="s">
        <v>668</v>
      </c>
      <c r="I34" s="2" t="s">
        <v>254</v>
      </c>
      <c r="J34" s="7">
        <v>110</v>
      </c>
    </row>
    <row r="35" spans="1:11" x14ac:dyDescent="0.25">
      <c r="A35" s="5">
        <v>44534</v>
      </c>
      <c r="B35" s="5" t="s">
        <v>984</v>
      </c>
      <c r="C35" s="2" t="s">
        <v>985</v>
      </c>
      <c r="D35" s="2" t="s">
        <v>579</v>
      </c>
      <c r="F35" s="2">
        <v>2021</v>
      </c>
      <c r="G35" s="2" t="s">
        <v>986</v>
      </c>
      <c r="H35" s="2" t="s">
        <v>671</v>
      </c>
      <c r="I35" s="2" t="s">
        <v>987</v>
      </c>
      <c r="J35" s="7">
        <v>183</v>
      </c>
    </row>
    <row r="36" spans="1:11" x14ac:dyDescent="0.25">
      <c r="A36" s="5">
        <v>44548</v>
      </c>
      <c r="B36" s="5" t="s">
        <v>989</v>
      </c>
      <c r="C36" s="5" t="s">
        <v>989</v>
      </c>
      <c r="D36" s="2" t="s">
        <v>579</v>
      </c>
      <c r="F36" s="2">
        <v>2021</v>
      </c>
      <c r="G36" s="2" t="s">
        <v>990</v>
      </c>
      <c r="H36" s="2" t="s">
        <v>671</v>
      </c>
      <c r="I36" s="2" t="s">
        <v>991</v>
      </c>
      <c r="J36" s="7">
        <v>919</v>
      </c>
    </row>
    <row r="37" spans="1:11" x14ac:dyDescent="0.25">
      <c r="A37" s="5">
        <v>44677</v>
      </c>
      <c r="B37" s="5" t="s">
        <v>1002</v>
      </c>
      <c r="C37" s="5" t="s">
        <v>1002</v>
      </c>
      <c r="D37" s="2" t="s">
        <v>579</v>
      </c>
      <c r="E37" s="2">
        <v>380</v>
      </c>
      <c r="H37" s="2" t="s">
        <v>1003</v>
      </c>
      <c r="I37" s="2" t="s">
        <v>805</v>
      </c>
      <c r="J37" s="7">
        <v>400</v>
      </c>
      <c r="K37" s="2" t="s">
        <v>1004</v>
      </c>
    </row>
    <row r="38" spans="1:11" x14ac:dyDescent="0.25">
      <c r="A38" s="5">
        <v>44826</v>
      </c>
      <c r="B38" s="5" t="s">
        <v>1015</v>
      </c>
      <c r="D38" s="2" t="s">
        <v>579</v>
      </c>
      <c r="F38" s="2">
        <v>2022</v>
      </c>
      <c r="G38" s="2" t="s">
        <v>584</v>
      </c>
      <c r="I38" s="2" t="s">
        <v>254</v>
      </c>
      <c r="J38" s="7">
        <v>115</v>
      </c>
    </row>
    <row r="39" spans="1:11" x14ac:dyDescent="0.25">
      <c r="A39" s="5">
        <v>44901</v>
      </c>
      <c r="B39" s="5" t="s">
        <v>311</v>
      </c>
      <c r="C39" s="2" t="s">
        <v>1022</v>
      </c>
      <c r="D39" s="2" t="s">
        <v>579</v>
      </c>
      <c r="E39" s="2" t="s">
        <v>1023</v>
      </c>
      <c r="F39" s="2">
        <v>2022</v>
      </c>
      <c r="G39" s="2" t="s">
        <v>1024</v>
      </c>
      <c r="H39" s="2" t="s">
        <v>1025</v>
      </c>
      <c r="I39" s="2" t="s">
        <v>254</v>
      </c>
      <c r="J39" s="7">
        <v>1074</v>
      </c>
    </row>
    <row r="40" spans="1:11" x14ac:dyDescent="0.25">
      <c r="A40" s="5">
        <v>44901</v>
      </c>
      <c r="B40" s="5" t="s">
        <v>1</v>
      </c>
      <c r="C40" s="2" t="s">
        <v>1026</v>
      </c>
      <c r="D40" s="2" t="s">
        <v>579</v>
      </c>
      <c r="G40" s="2" t="s">
        <v>615</v>
      </c>
      <c r="H40" s="2" t="s">
        <v>963</v>
      </c>
      <c r="I40" s="2" t="s">
        <v>254</v>
      </c>
      <c r="J40" s="7">
        <v>326</v>
      </c>
    </row>
    <row r="41" spans="1:11" x14ac:dyDescent="0.25">
      <c r="A41" s="5">
        <v>45037</v>
      </c>
      <c r="B41" s="5" t="s">
        <v>1</v>
      </c>
      <c r="C41" s="2" t="s">
        <v>1034</v>
      </c>
      <c r="D41" s="2" t="s">
        <v>579</v>
      </c>
      <c r="E41" s="2" t="s">
        <v>1111</v>
      </c>
      <c r="F41" s="2">
        <v>2023</v>
      </c>
      <c r="G41" s="2" t="s">
        <v>1039</v>
      </c>
      <c r="H41" s="2" t="s">
        <v>671</v>
      </c>
      <c r="I41" s="2" t="s">
        <v>1040</v>
      </c>
      <c r="J41" s="7">
        <v>3950</v>
      </c>
    </row>
    <row r="42" spans="1:11" x14ac:dyDescent="0.25">
      <c r="A42" s="5">
        <v>45227</v>
      </c>
      <c r="B42" s="5" t="s">
        <v>342</v>
      </c>
      <c r="C42" s="2" t="s">
        <v>1094</v>
      </c>
      <c r="D42" s="2" t="s">
        <v>579</v>
      </c>
      <c r="F42" s="2">
        <v>2023</v>
      </c>
      <c r="G42" s="2" t="s">
        <v>584</v>
      </c>
      <c r="H42" s="2" t="s">
        <v>671</v>
      </c>
      <c r="I42" s="2" t="s">
        <v>254</v>
      </c>
      <c r="J42" s="7">
        <v>140</v>
      </c>
    </row>
    <row r="43" spans="1:11" x14ac:dyDescent="0.25">
      <c r="A43" s="5">
        <v>45227</v>
      </c>
      <c r="B43" s="5" t="s">
        <v>342</v>
      </c>
      <c r="C43" s="2" t="s">
        <v>1095</v>
      </c>
      <c r="D43" s="2" t="s">
        <v>579</v>
      </c>
      <c r="F43" s="2">
        <v>2023</v>
      </c>
      <c r="G43" s="2" t="s">
        <v>1096</v>
      </c>
      <c r="H43" s="2" t="s">
        <v>671</v>
      </c>
      <c r="I43" s="2" t="s">
        <v>1097</v>
      </c>
      <c r="J43" s="7">
        <v>190</v>
      </c>
    </row>
    <row r="44" spans="1:11" x14ac:dyDescent="0.25">
      <c r="A44" s="5">
        <v>45244</v>
      </c>
      <c r="B44" s="5" t="s">
        <v>342</v>
      </c>
      <c r="C44" s="2" t="s">
        <v>1108</v>
      </c>
      <c r="D44" s="2" t="s">
        <v>579</v>
      </c>
      <c r="F44" s="2">
        <v>2023</v>
      </c>
      <c r="G44" s="2" t="s">
        <v>1109</v>
      </c>
      <c r="H44" s="2" t="s">
        <v>671</v>
      </c>
      <c r="I44" s="2" t="s">
        <v>1110</v>
      </c>
      <c r="J44" s="7">
        <v>191</v>
      </c>
    </row>
    <row r="45" spans="1:11" x14ac:dyDescent="0.25">
      <c r="A45" s="5">
        <v>45244</v>
      </c>
      <c r="B45" s="5" t="s">
        <v>1</v>
      </c>
      <c r="C45" s="2" t="s">
        <v>1034</v>
      </c>
      <c r="D45" s="2" t="s">
        <v>579</v>
      </c>
      <c r="E45" s="2" t="s">
        <v>1111</v>
      </c>
      <c r="F45" s="2">
        <v>2023</v>
      </c>
      <c r="G45" s="2" t="s">
        <v>1039</v>
      </c>
      <c r="H45" s="2" t="s">
        <v>1178</v>
      </c>
      <c r="I45" s="2" t="s">
        <v>1110</v>
      </c>
      <c r="J45" s="7">
        <v>170</v>
      </c>
    </row>
    <row r="46" spans="1:11" x14ac:dyDescent="0.25">
      <c r="A46" s="5">
        <v>45244</v>
      </c>
      <c r="B46" s="5" t="s">
        <v>746</v>
      </c>
      <c r="C46" s="5" t="s">
        <v>846</v>
      </c>
      <c r="D46" s="2" t="s">
        <v>579</v>
      </c>
      <c r="E46" s="2" t="s">
        <v>847</v>
      </c>
      <c r="F46" s="2">
        <v>2019</v>
      </c>
      <c r="G46" s="2" t="s">
        <v>615</v>
      </c>
      <c r="H46" s="2" t="s">
        <v>691</v>
      </c>
      <c r="I46" s="2" t="s">
        <v>1110</v>
      </c>
      <c r="J46" s="7">
        <v>20</v>
      </c>
    </row>
    <row r="47" spans="1:11" x14ac:dyDescent="0.25">
      <c r="A47" s="5">
        <v>45258</v>
      </c>
      <c r="B47" s="5" t="s">
        <v>311</v>
      </c>
      <c r="C47" s="2" t="s">
        <v>1112</v>
      </c>
      <c r="D47" s="2" t="s">
        <v>579</v>
      </c>
      <c r="E47" s="2" t="s">
        <v>1113</v>
      </c>
      <c r="F47" s="2">
        <v>2023</v>
      </c>
      <c r="G47" s="2" t="s">
        <v>615</v>
      </c>
      <c r="H47" s="2" t="s">
        <v>1025</v>
      </c>
      <c r="I47" s="2" t="s">
        <v>254</v>
      </c>
      <c r="J47" s="7">
        <v>984</v>
      </c>
    </row>
    <row r="48" spans="1:11" x14ac:dyDescent="0.25">
      <c r="A48" s="5">
        <v>45258</v>
      </c>
      <c r="B48" s="5" t="s">
        <v>1</v>
      </c>
      <c r="C48" s="2" t="s">
        <v>950</v>
      </c>
      <c r="D48" s="2" t="s">
        <v>579</v>
      </c>
      <c r="G48" s="2" t="s">
        <v>615</v>
      </c>
      <c r="H48" s="2" t="s">
        <v>1114</v>
      </c>
      <c r="I48" s="2" t="s">
        <v>254</v>
      </c>
      <c r="J48" s="7">
        <v>120</v>
      </c>
    </row>
    <row r="49" spans="1:11" x14ac:dyDescent="0.25">
      <c r="A49" s="5">
        <v>45274</v>
      </c>
      <c r="B49" s="5" t="s">
        <v>311</v>
      </c>
      <c r="C49" s="2" t="s">
        <v>1022</v>
      </c>
      <c r="D49" s="2" t="s">
        <v>579</v>
      </c>
      <c r="E49" s="2" t="s">
        <v>1023</v>
      </c>
      <c r="G49" s="2" t="s">
        <v>1024</v>
      </c>
      <c r="H49" s="2" t="s">
        <v>668</v>
      </c>
      <c r="I49" s="2" t="s">
        <v>254</v>
      </c>
      <c r="J49" s="7">
        <v>110</v>
      </c>
    </row>
    <row r="50" spans="1:11" x14ac:dyDescent="0.25">
      <c r="A50" s="5">
        <v>45481</v>
      </c>
      <c r="B50" s="5" t="s">
        <v>746</v>
      </c>
      <c r="C50" s="2" t="s">
        <v>846</v>
      </c>
      <c r="D50" s="2" t="s">
        <v>579</v>
      </c>
      <c r="F50" s="2">
        <v>2019</v>
      </c>
      <c r="G50" s="2" t="s">
        <v>615</v>
      </c>
      <c r="H50" s="2" t="s">
        <v>952</v>
      </c>
      <c r="I50" s="2" t="s">
        <v>1173</v>
      </c>
      <c r="J50" s="7">
        <v>-385</v>
      </c>
      <c r="K50" s="2" t="s">
        <v>1190</v>
      </c>
    </row>
    <row r="51" spans="1:11" x14ac:dyDescent="0.25">
      <c r="A51" s="5">
        <v>45491</v>
      </c>
      <c r="B51" s="5" t="s">
        <v>746</v>
      </c>
      <c r="C51" s="2" t="s">
        <v>1175</v>
      </c>
      <c r="D51" s="2" t="s">
        <v>579</v>
      </c>
      <c r="E51" s="2" t="s">
        <v>1174</v>
      </c>
      <c r="F51" s="2">
        <v>2024</v>
      </c>
      <c r="G51" s="2" t="s">
        <v>615</v>
      </c>
      <c r="H51" s="2" t="s">
        <v>671</v>
      </c>
      <c r="I51" s="2" t="s">
        <v>254</v>
      </c>
      <c r="J51" s="7">
        <v>1893</v>
      </c>
    </row>
    <row r="52" spans="1:11" x14ac:dyDescent="0.25">
      <c r="A52" s="5">
        <v>45517</v>
      </c>
      <c r="B52" s="5" t="s">
        <v>1</v>
      </c>
      <c r="C52" s="2" t="s">
        <v>1034</v>
      </c>
      <c r="D52" s="2" t="s">
        <v>579</v>
      </c>
      <c r="E52" s="2" t="s">
        <v>1111</v>
      </c>
      <c r="F52" s="2">
        <v>2023</v>
      </c>
      <c r="G52" s="2" t="s">
        <v>1039</v>
      </c>
      <c r="H52" s="2" t="s">
        <v>1180</v>
      </c>
      <c r="I52" s="2" t="s">
        <v>1110</v>
      </c>
      <c r="J52" s="7">
        <v>351.5</v>
      </c>
    </row>
    <row r="53" spans="1:11" x14ac:dyDescent="0.25">
      <c r="A53" s="5">
        <v>45544</v>
      </c>
      <c r="B53" s="5" t="s">
        <v>342</v>
      </c>
      <c r="C53" s="2" t="s">
        <v>1186</v>
      </c>
      <c r="D53" s="2" t="s">
        <v>579</v>
      </c>
      <c r="F53" s="2">
        <v>2024</v>
      </c>
      <c r="G53" s="2" t="s">
        <v>615</v>
      </c>
      <c r="H53" s="2" t="s">
        <v>671</v>
      </c>
      <c r="I53" s="2" t="s">
        <v>254</v>
      </c>
      <c r="J53" s="7">
        <v>120</v>
      </c>
    </row>
    <row r="54" spans="1:11" x14ac:dyDescent="0.25">
      <c r="A54" s="5">
        <v>45543</v>
      </c>
      <c r="B54" s="5" t="s">
        <v>342</v>
      </c>
      <c r="C54" s="2" t="s">
        <v>1187</v>
      </c>
      <c r="D54" s="2" t="s">
        <v>579</v>
      </c>
      <c r="F54" s="2">
        <v>2024</v>
      </c>
      <c r="H54" s="2" t="s">
        <v>671</v>
      </c>
      <c r="I54" s="2" t="s">
        <v>1110</v>
      </c>
      <c r="J54" s="7">
        <v>38</v>
      </c>
    </row>
    <row r="55" spans="1:11" x14ac:dyDescent="0.25">
      <c r="A55" s="5">
        <v>45544</v>
      </c>
      <c r="B55" s="5" t="s">
        <v>1</v>
      </c>
      <c r="C55" s="2" t="s">
        <v>1188</v>
      </c>
      <c r="D55" s="2" t="s">
        <v>579</v>
      </c>
      <c r="F55" s="2">
        <v>2024</v>
      </c>
      <c r="G55" s="2" t="s">
        <v>615</v>
      </c>
      <c r="H55" s="2" t="s">
        <v>671</v>
      </c>
      <c r="I55" s="2" t="s">
        <v>1189</v>
      </c>
      <c r="J55" s="7">
        <f>3319.05+319.9</f>
        <v>3638.9500000000003</v>
      </c>
    </row>
    <row r="56" spans="1:11" x14ac:dyDescent="0.25">
      <c r="A56" s="5">
        <v>45640</v>
      </c>
      <c r="B56" s="5" t="s">
        <v>1</v>
      </c>
      <c r="C56" s="2" t="s">
        <v>948</v>
      </c>
      <c r="D56" s="2" t="s">
        <v>579</v>
      </c>
      <c r="H56" s="2" t="s">
        <v>1210</v>
      </c>
      <c r="I56" s="2" t="s">
        <v>579</v>
      </c>
      <c r="J56" s="7">
        <v>0</v>
      </c>
    </row>
    <row r="57" spans="1:11" x14ac:dyDescent="0.25">
      <c r="A57" s="5">
        <v>45647</v>
      </c>
      <c r="B57" s="5" t="s">
        <v>1211</v>
      </c>
      <c r="H57" s="2" t="s">
        <v>1212</v>
      </c>
    </row>
    <row r="58" spans="1:11" x14ac:dyDescent="0.25">
      <c r="A58" s="5">
        <v>45653</v>
      </c>
      <c r="C58" s="2" t="s">
        <v>1213</v>
      </c>
      <c r="D58" s="2" t="s">
        <v>579</v>
      </c>
      <c r="E58" s="10" t="s">
        <v>1216</v>
      </c>
      <c r="I58" s="2" t="s">
        <v>254</v>
      </c>
      <c r="J58" s="7">
        <v>949</v>
      </c>
    </row>
    <row r="59" spans="1:11" x14ac:dyDescent="0.25">
      <c r="A59" s="5">
        <v>45654</v>
      </c>
      <c r="C59" s="2" t="s">
        <v>1215</v>
      </c>
      <c r="D59" s="2" t="s">
        <v>579</v>
      </c>
      <c r="E59" s="2" t="s">
        <v>1217</v>
      </c>
      <c r="I59" s="2" t="s">
        <v>1214</v>
      </c>
    </row>
    <row r="60" spans="1:11" x14ac:dyDescent="0.25">
      <c r="A60" s="5">
        <v>45691</v>
      </c>
      <c r="B60" s="5" t="s">
        <v>746</v>
      </c>
      <c r="C60" s="2" t="s">
        <v>1175</v>
      </c>
      <c r="D60" s="2" t="s">
        <v>579</v>
      </c>
      <c r="E60" s="2" t="s">
        <v>1218</v>
      </c>
      <c r="F60" s="2">
        <v>2025</v>
      </c>
      <c r="G60" s="2" t="s">
        <v>615</v>
      </c>
      <c r="H60" s="2" t="s">
        <v>671</v>
      </c>
      <c r="I60" s="2" t="s">
        <v>254</v>
      </c>
      <c r="J60" s="7">
        <v>1892.8</v>
      </c>
    </row>
    <row r="61" spans="1:11" x14ac:dyDescent="0.25">
      <c r="A61" s="5">
        <v>45691</v>
      </c>
      <c r="B61" s="5" t="s">
        <v>311</v>
      </c>
      <c r="C61" s="2" t="s">
        <v>1022</v>
      </c>
      <c r="D61" s="2" t="s">
        <v>579</v>
      </c>
      <c r="E61" s="2" t="s">
        <v>1219</v>
      </c>
      <c r="F61" s="2">
        <v>2025</v>
      </c>
      <c r="G61" s="2" t="s">
        <v>1024</v>
      </c>
      <c r="H61" s="2" t="s">
        <v>671</v>
      </c>
      <c r="I61" s="2" t="s">
        <v>254</v>
      </c>
      <c r="J61" s="7">
        <v>1168.75</v>
      </c>
    </row>
    <row r="62" spans="1:11" x14ac:dyDescent="0.25">
      <c r="A62" s="5">
        <v>45691</v>
      </c>
      <c r="B62" s="5" t="s">
        <v>986</v>
      </c>
      <c r="C62" s="2" t="s">
        <v>1220</v>
      </c>
      <c r="D62" s="2" t="s">
        <v>579</v>
      </c>
      <c r="H62" s="2" t="s">
        <v>671</v>
      </c>
      <c r="I62" s="2" t="s">
        <v>254</v>
      </c>
      <c r="J62" s="7">
        <v>172</v>
      </c>
    </row>
    <row r="63" spans="1:11" x14ac:dyDescent="0.25">
      <c r="A63" s="5">
        <v>46073</v>
      </c>
      <c r="B63" s="5" t="s">
        <v>1</v>
      </c>
      <c r="C63" s="2" t="s">
        <v>1307</v>
      </c>
      <c r="D63" s="2" t="s">
        <v>579</v>
      </c>
      <c r="E63" s="2" t="s">
        <v>1289</v>
      </c>
      <c r="F63" s="2">
        <v>2026</v>
      </c>
      <c r="G63" s="2" t="s">
        <v>1039</v>
      </c>
      <c r="H63" s="2" t="s">
        <v>671</v>
      </c>
      <c r="I63" s="2" t="s">
        <v>1040</v>
      </c>
      <c r="J63" s="7">
        <v>3600</v>
      </c>
    </row>
    <row r="64" spans="1:11" x14ac:dyDescent="0.25">
      <c r="A64" s="5">
        <v>46109</v>
      </c>
      <c r="B64" s="5" t="s">
        <v>1</v>
      </c>
      <c r="C64" s="2" t="s">
        <v>1188</v>
      </c>
      <c r="D64" s="2" t="s">
        <v>579</v>
      </c>
      <c r="G64" s="2" t="s">
        <v>615</v>
      </c>
      <c r="H64" s="2" t="s">
        <v>952</v>
      </c>
      <c r="I64" s="2" t="s">
        <v>1308</v>
      </c>
      <c r="J64" s="7">
        <v>-1700</v>
      </c>
    </row>
  </sheetData>
  <autoFilter ref="A2:K64" xr:uid="{00000000-0009-0000-0000-000002000000}"/>
  <sortState xmlns:xlrd2="http://schemas.microsoft.com/office/spreadsheetml/2017/richdata2" ref="A3:K18">
    <sortCondition ref="A3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Flüge</vt:lpstr>
      <vt:lpstr>Übersicht</vt:lpstr>
      <vt:lpstr>Diverses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Bucher</dc:creator>
  <cp:lastModifiedBy>Sepp Bucher</cp:lastModifiedBy>
  <dcterms:created xsi:type="dcterms:W3CDTF">2008-11-16T16:00:21Z</dcterms:created>
  <dcterms:modified xsi:type="dcterms:W3CDTF">2026-08-21T10:58:37Z</dcterms:modified>
</cp:coreProperties>
</file>